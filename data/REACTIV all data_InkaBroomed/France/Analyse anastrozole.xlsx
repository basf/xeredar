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20B12E13-96A6-49DB-AF76-8730C456A878}" xr6:coauthVersionLast="47" xr6:coauthVersionMax="47" xr10:uidLastSave="{00000000-0000-0000-0000-000000000000}"/>
  <bookViews>
    <workbookView xWindow="-110" yWindow="-110" windowWidth="19420" windowHeight="10420" firstSheet="5"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81029"/>
  <pivotCaches>
    <pivotCache cacheId="32" r:id="rId21"/>
    <pivotCache cacheId="33" r:id="rId22"/>
    <pivotCache cacheId="34" r:id="rId23"/>
    <pivotCache cacheId="35"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I81" i="4" l="1"/>
  <c r="J81" i="4"/>
  <c r="K81" i="4"/>
  <c r="L81" i="4"/>
  <c r="M81" i="4"/>
  <c r="O60" i="33"/>
  <c r="E60" i="33"/>
  <c r="F60" i="33"/>
  <c r="G60" i="33"/>
  <c r="H60" i="33"/>
  <c r="J60" i="33"/>
  <c r="M60" i="33"/>
  <c r="S60" i="23"/>
  <c r="Q60" i="23"/>
  <c r="P60" i="23"/>
  <c r="O61" i="23"/>
  <c r="O60" i="23"/>
  <c r="F60" i="23"/>
  <c r="E60" i="23"/>
  <c r="G60" i="23"/>
  <c r="H60" i="23"/>
  <c r="I60" i="23"/>
  <c r="J60" i="23"/>
  <c r="K60" i="23"/>
  <c r="L60" i="23"/>
  <c r="M60" i="23"/>
  <c r="C60" i="23"/>
  <c r="R60" i="1"/>
  <c r="S60" i="1"/>
  <c r="T60" i="1"/>
  <c r="U60" i="1"/>
  <c r="V60" i="1"/>
  <c r="Q60" i="1"/>
  <c r="I60" i="33"/>
  <c r="L60" i="33"/>
  <c r="K60" i="33"/>
  <c r="D60" i="33"/>
  <c r="C56" i="33"/>
  <c r="G56" i="33"/>
  <c r="K56" i="33"/>
  <c r="O56" i="33"/>
  <c r="S56" i="33"/>
  <c r="N56" i="33"/>
  <c r="D56" i="33"/>
  <c r="H56" i="33"/>
  <c r="L56" i="33"/>
  <c r="P56" i="33"/>
  <c r="T56" i="33"/>
  <c r="J56" i="33"/>
  <c r="E56" i="33"/>
  <c r="I56" i="33"/>
  <c r="M56" i="33"/>
  <c r="Q56" i="33"/>
  <c r="U56" i="33"/>
  <c r="F56" i="33"/>
  <c r="R56" i="33"/>
  <c r="V56" i="33"/>
  <c r="B56" i="33"/>
  <c r="T60" i="23"/>
  <c r="U60" i="23"/>
  <c r="V60" i="23"/>
  <c r="D60" i="23"/>
  <c r="C56" i="23"/>
  <c r="G56" i="23"/>
  <c r="K56" i="23"/>
  <c r="O56" i="23"/>
  <c r="S56" i="23"/>
  <c r="J56" i="23"/>
  <c r="D56" i="23"/>
  <c r="H56" i="23"/>
  <c r="L56" i="23"/>
  <c r="P56" i="23"/>
  <c r="T56" i="23"/>
  <c r="N56" i="23"/>
  <c r="E56" i="23"/>
  <c r="I56" i="23"/>
  <c r="M56" i="23"/>
  <c r="Q56" i="23"/>
  <c r="U56" i="23"/>
  <c r="F56" i="23"/>
  <c r="R56" i="23"/>
  <c r="V56" i="23"/>
  <c r="B56" i="23"/>
  <c r="P60" i="1"/>
  <c r="M60" i="1"/>
  <c r="L60" i="1"/>
  <c r="K60" i="1"/>
  <c r="J60" i="1"/>
  <c r="I60" i="1"/>
  <c r="H60" i="1"/>
  <c r="G60" i="1"/>
  <c r="F60" i="1"/>
  <c r="E60" i="1"/>
  <c r="D60" i="1"/>
  <c r="C60" i="1"/>
  <c r="O60" i="1"/>
  <c r="N57" i="23" l="1"/>
  <c r="P61" i="1"/>
  <c r="I4" i="1" l="1"/>
  <c r="I22" i="1" s="1"/>
  <c r="J4" i="1"/>
  <c r="J22" i="1" s="1"/>
  <c r="K4" i="1"/>
  <c r="K45" i="1" s="1"/>
  <c r="L4" i="1"/>
  <c r="L27" i="1" s="1"/>
  <c r="L52" i="1" s="1"/>
  <c r="M4" i="1"/>
  <c r="M22" i="1"/>
  <c r="I23" i="1"/>
  <c r="J23" i="1"/>
  <c r="K23" i="1"/>
  <c r="L23" i="1"/>
  <c r="M23" i="1"/>
  <c r="I24" i="1"/>
  <c r="J24" i="1"/>
  <c r="K24" i="1"/>
  <c r="L24" i="1"/>
  <c r="M24" i="1"/>
  <c r="J27" i="1"/>
  <c r="M27" i="1"/>
  <c r="M52" i="1" s="1"/>
  <c r="I35" i="1"/>
  <c r="L35" i="1"/>
  <c r="I36" i="1"/>
  <c r="J36" i="1"/>
  <c r="K36" i="1"/>
  <c r="L36" i="1"/>
  <c r="M36" i="1"/>
  <c r="I37" i="1"/>
  <c r="J37" i="1"/>
  <c r="K37" i="1"/>
  <c r="L37" i="1"/>
  <c r="M37" i="1"/>
  <c r="I38" i="1"/>
  <c r="J38" i="1"/>
  <c r="K38" i="1"/>
  <c r="L38" i="1"/>
  <c r="M38" i="1"/>
  <c r="I39" i="1"/>
  <c r="J39" i="1"/>
  <c r="K39" i="1"/>
  <c r="L39" i="1"/>
  <c r="M39" i="1"/>
  <c r="I40" i="1"/>
  <c r="J40" i="1"/>
  <c r="K40" i="1"/>
  <c r="L40" i="1"/>
  <c r="M40" i="1"/>
  <c r="I41" i="1"/>
  <c r="J41" i="1"/>
  <c r="K41" i="1"/>
  <c r="L41" i="1"/>
  <c r="M41" i="1"/>
  <c r="I42" i="1"/>
  <c r="J42" i="1"/>
  <c r="K42" i="1"/>
  <c r="L42" i="1"/>
  <c r="M42" i="1"/>
  <c r="I43" i="1"/>
  <c r="J43" i="1"/>
  <c r="K43" i="1"/>
  <c r="L43" i="1"/>
  <c r="M43" i="1"/>
  <c r="I45" i="1"/>
  <c r="L45" i="1"/>
  <c r="M45" i="1"/>
  <c r="I52" i="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M56" i="1"/>
  <c r="M57" i="1" l="1"/>
  <c r="K22" i="1"/>
  <c r="K27" i="1"/>
  <c r="K52" i="1" s="1"/>
  <c r="I27" i="1"/>
  <c r="J52" i="1"/>
  <c r="J45" i="1"/>
  <c r="L22" i="1"/>
  <c r="B40" i="10"/>
  <c r="C40" i="10"/>
  <c r="D40" i="10"/>
  <c r="B41" i="10"/>
  <c r="C41" i="10"/>
  <c r="D41" i="10"/>
  <c r="B42" i="10"/>
  <c r="C42" i="10"/>
  <c r="D42" i="10"/>
  <c r="B43" i="10"/>
  <c r="C43" i="10"/>
  <c r="D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AK43" i="33"/>
  <c r="AK53" i="4" s="1"/>
  <c r="AJ43" i="33"/>
  <c r="AJ53" i="4" s="1"/>
  <c r="AI43" i="33"/>
  <c r="AI53" i="4" s="1"/>
  <c r="AH43" i="33"/>
  <c r="AH53" i="4" s="1"/>
  <c r="AG43" i="33"/>
  <c r="AG53" i="4" s="1"/>
  <c r="AF43" i="33"/>
  <c r="AF53" i="4" s="1"/>
  <c r="AE43" i="33"/>
  <c r="AE53" i="4" s="1"/>
  <c r="AD43" i="33"/>
  <c r="AD53" i="4" s="1"/>
  <c r="AC43" i="33"/>
  <c r="AC53" i="4" s="1"/>
  <c r="AB43" i="33"/>
  <c r="AB53" i="4" s="1"/>
  <c r="AA43" i="33"/>
  <c r="AA53" i="4" s="1"/>
  <c r="Z43" i="33"/>
  <c r="Z53" i="4" s="1"/>
  <c r="Y43" i="33"/>
  <c r="Y53" i="4" s="1"/>
  <c r="X43" i="33"/>
  <c r="X53" i="4" s="1"/>
  <c r="W43" i="33"/>
  <c r="W53" i="4" s="1"/>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K52" i="4" s="1"/>
  <c r="AJ42" i="33"/>
  <c r="AJ52" i="4" s="1"/>
  <c r="AI42" i="33"/>
  <c r="AI52" i="4" s="1"/>
  <c r="AH42" i="33"/>
  <c r="AH52" i="4" s="1"/>
  <c r="AG42" i="33"/>
  <c r="AG52" i="4" s="1"/>
  <c r="AF42" i="33"/>
  <c r="AF52" i="4" s="1"/>
  <c r="AE42" i="33"/>
  <c r="AE52" i="4" s="1"/>
  <c r="AD42" i="33"/>
  <c r="AD52" i="4" s="1"/>
  <c r="AC42" i="33"/>
  <c r="AC52" i="4" s="1"/>
  <c r="AB42" i="33"/>
  <c r="AB52" i="4" s="1"/>
  <c r="AA42" i="33"/>
  <c r="AA52" i="4" s="1"/>
  <c r="Z42" i="33"/>
  <c r="Z52" i="4" s="1"/>
  <c r="Y42" i="33"/>
  <c r="Y52" i="4" s="1"/>
  <c r="X42" i="33"/>
  <c r="X52" i="4" s="1"/>
  <c r="W42" i="33"/>
  <c r="W52"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K51" i="4" s="1"/>
  <c r="AJ41" i="33"/>
  <c r="AJ51" i="4" s="1"/>
  <c r="AI41" i="33"/>
  <c r="AI51" i="4" s="1"/>
  <c r="AH41" i="33"/>
  <c r="AH51" i="4" s="1"/>
  <c r="AG41" i="33"/>
  <c r="AG51" i="4" s="1"/>
  <c r="AF41" i="33"/>
  <c r="AF51" i="4" s="1"/>
  <c r="AE41" i="33"/>
  <c r="AE51" i="4" s="1"/>
  <c r="AD41" i="33"/>
  <c r="AD51" i="4" s="1"/>
  <c r="AC41" i="33"/>
  <c r="AC51" i="4" s="1"/>
  <c r="AB41" i="33"/>
  <c r="AB51" i="4" s="1"/>
  <c r="AA41" i="33"/>
  <c r="AA51" i="4" s="1"/>
  <c r="Z41" i="33"/>
  <c r="Z51" i="4" s="1"/>
  <c r="Y41" i="33"/>
  <c r="Y51" i="4" s="1"/>
  <c r="X41" i="33"/>
  <c r="X51" i="4" s="1"/>
  <c r="W41" i="33"/>
  <c r="W51"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K50" i="4" s="1"/>
  <c r="AJ40" i="33"/>
  <c r="AJ50" i="4" s="1"/>
  <c r="AI40" i="33"/>
  <c r="AI50" i="4" s="1"/>
  <c r="AH40" i="33"/>
  <c r="AH50" i="4" s="1"/>
  <c r="AG40" i="33"/>
  <c r="AG50" i="4" s="1"/>
  <c r="AF40" i="33"/>
  <c r="AF50" i="4" s="1"/>
  <c r="AE40" i="33"/>
  <c r="AE50" i="4" s="1"/>
  <c r="AD40" i="33"/>
  <c r="AD50" i="4" s="1"/>
  <c r="AC40" i="33"/>
  <c r="AC50" i="4" s="1"/>
  <c r="AB40" i="33"/>
  <c r="AB50" i="4" s="1"/>
  <c r="AA40" i="33"/>
  <c r="AA50" i="4" s="1"/>
  <c r="Z40" i="33"/>
  <c r="Z50" i="4" s="1"/>
  <c r="Y40" i="33"/>
  <c r="Y50" i="4" s="1"/>
  <c r="X40" i="33"/>
  <c r="X50" i="4" s="1"/>
  <c r="W40" i="33"/>
  <c r="W50"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K49" i="4" s="1"/>
  <c r="AJ39" i="33"/>
  <c r="AJ49" i="4" s="1"/>
  <c r="AI39" i="33"/>
  <c r="AI49" i="4" s="1"/>
  <c r="AH39" i="33"/>
  <c r="AH49" i="4" s="1"/>
  <c r="AG39" i="33"/>
  <c r="AG49" i="4" s="1"/>
  <c r="AF39" i="33"/>
  <c r="AF49" i="4" s="1"/>
  <c r="AE39" i="33"/>
  <c r="AE49" i="4" s="1"/>
  <c r="AD39" i="33"/>
  <c r="AD49" i="4" s="1"/>
  <c r="AC39" i="33"/>
  <c r="AC49" i="4" s="1"/>
  <c r="AB39" i="33"/>
  <c r="AB49" i="4" s="1"/>
  <c r="AA39" i="33"/>
  <c r="AA49" i="4" s="1"/>
  <c r="Z39" i="33"/>
  <c r="Z49" i="4" s="1"/>
  <c r="Y39" i="33"/>
  <c r="Y49" i="4" s="1"/>
  <c r="X39" i="33"/>
  <c r="X49" i="4" s="1"/>
  <c r="W39" i="33"/>
  <c r="W49"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K48" i="4" s="1"/>
  <c r="AJ38" i="33"/>
  <c r="AJ48" i="4" s="1"/>
  <c r="AI38" i="33"/>
  <c r="AI48" i="4" s="1"/>
  <c r="AH38" i="33"/>
  <c r="AH48" i="4" s="1"/>
  <c r="AG38" i="33"/>
  <c r="AG48" i="4" s="1"/>
  <c r="AF38" i="33"/>
  <c r="AF48" i="4" s="1"/>
  <c r="AE38" i="33"/>
  <c r="AE48" i="4" s="1"/>
  <c r="AD38" i="33"/>
  <c r="AD48" i="4" s="1"/>
  <c r="AC38" i="33"/>
  <c r="AC48" i="4" s="1"/>
  <c r="AB38" i="33"/>
  <c r="AB48" i="4" s="1"/>
  <c r="AA38" i="33"/>
  <c r="AA48" i="4" s="1"/>
  <c r="Z38" i="33"/>
  <c r="Z48" i="4" s="1"/>
  <c r="Y38" i="33"/>
  <c r="Y48" i="4" s="1"/>
  <c r="X38" i="33"/>
  <c r="X48" i="4" s="1"/>
  <c r="W38" i="33"/>
  <c r="W48"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K47" i="4" s="1"/>
  <c r="AJ37" i="33"/>
  <c r="AJ47" i="4" s="1"/>
  <c r="AI37" i="33"/>
  <c r="AI47" i="4" s="1"/>
  <c r="AH37" i="33"/>
  <c r="AH47" i="4" s="1"/>
  <c r="AG37" i="33"/>
  <c r="AG47" i="4" s="1"/>
  <c r="AF37" i="33"/>
  <c r="AF47" i="4" s="1"/>
  <c r="AE37" i="33"/>
  <c r="AE47" i="4" s="1"/>
  <c r="AD37" i="33"/>
  <c r="AD47" i="4" s="1"/>
  <c r="AC37" i="33"/>
  <c r="AC47" i="4" s="1"/>
  <c r="AB37" i="33"/>
  <c r="AB47" i="4" s="1"/>
  <c r="AA37" i="33"/>
  <c r="AA47" i="4" s="1"/>
  <c r="Z37" i="33"/>
  <c r="Z47" i="4" s="1"/>
  <c r="Y37" i="33"/>
  <c r="Y47" i="4" s="1"/>
  <c r="X37" i="33"/>
  <c r="X47" i="4" s="1"/>
  <c r="W37" i="33"/>
  <c r="W47"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K46" i="4" s="1"/>
  <c r="AJ36" i="33"/>
  <c r="AJ46" i="4" s="1"/>
  <c r="AI36" i="33"/>
  <c r="AI46" i="4" s="1"/>
  <c r="AH36" i="33"/>
  <c r="AH46" i="4" s="1"/>
  <c r="AG36" i="33"/>
  <c r="AG46" i="4" s="1"/>
  <c r="AF36" i="33"/>
  <c r="AF46" i="4" s="1"/>
  <c r="AE36" i="33"/>
  <c r="AE46" i="4" s="1"/>
  <c r="AD36" i="33"/>
  <c r="AD46" i="4" s="1"/>
  <c r="AC36" i="33"/>
  <c r="AC46" i="4" s="1"/>
  <c r="AB36" i="33"/>
  <c r="AB46" i="4" s="1"/>
  <c r="AA36" i="33"/>
  <c r="AA46" i="4" s="1"/>
  <c r="Z36" i="33"/>
  <c r="Z46" i="4" s="1"/>
  <c r="Y36" i="33"/>
  <c r="Y46" i="4" s="1"/>
  <c r="X36" i="33"/>
  <c r="X46" i="4" s="1"/>
  <c r="W36" i="33"/>
  <c r="W46"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K45" i="4" s="1"/>
  <c r="AJ35" i="33"/>
  <c r="AJ45" i="4" s="1"/>
  <c r="AI35" i="33"/>
  <c r="AI45" i="4" s="1"/>
  <c r="AH35" i="33"/>
  <c r="AH45" i="4" s="1"/>
  <c r="AG35" i="33"/>
  <c r="AG45" i="4" s="1"/>
  <c r="AF35" i="33"/>
  <c r="AF45" i="4" s="1"/>
  <c r="AE35" i="33"/>
  <c r="AE45" i="4" s="1"/>
  <c r="AD35" i="33"/>
  <c r="AD45" i="4" s="1"/>
  <c r="AC35" i="33"/>
  <c r="AC45" i="4" s="1"/>
  <c r="AB35" i="33"/>
  <c r="AB45" i="4" s="1"/>
  <c r="AA35" i="33"/>
  <c r="AA45" i="4" s="1"/>
  <c r="Z35" i="33"/>
  <c r="Z45" i="4" s="1"/>
  <c r="Y35" i="33"/>
  <c r="Y45" i="4" s="1"/>
  <c r="X35" i="33"/>
  <c r="X45" i="4" s="1"/>
  <c r="W35" i="33"/>
  <c r="W45" i="4" s="1"/>
  <c r="V35" i="33"/>
  <c r="V45" i="4" s="1"/>
  <c r="U35" i="33"/>
  <c r="U45" i="4" s="1"/>
  <c r="T35" i="33"/>
  <c r="T45" i="4" s="1"/>
  <c r="S35" i="33"/>
  <c r="S45" i="4" s="1"/>
  <c r="R35" i="33"/>
  <c r="R45" i="4" s="1"/>
  <c r="Q35" i="33"/>
  <c r="Q45" i="4" s="1"/>
  <c r="P35" i="33"/>
  <c r="P45" i="4" s="1"/>
  <c r="B35" i="33"/>
  <c r="B45" i="4" s="1"/>
  <c r="AK34" i="33"/>
  <c r="AK44" i="4" s="1"/>
  <c r="AJ34" i="33"/>
  <c r="AJ44" i="4" s="1"/>
  <c r="AI34" i="33"/>
  <c r="AI44" i="4" s="1"/>
  <c r="AH34" i="33"/>
  <c r="AH44" i="4" s="1"/>
  <c r="AG34" i="33"/>
  <c r="AG44" i="4" s="1"/>
  <c r="AF34" i="33"/>
  <c r="AF44" i="4" s="1"/>
  <c r="AE34" i="33"/>
  <c r="AE44" i="4" s="1"/>
  <c r="AD34" i="33"/>
  <c r="AD44" i="4" s="1"/>
  <c r="AC34" i="33"/>
  <c r="AC44" i="4" s="1"/>
  <c r="AB34" i="33"/>
  <c r="AB44" i="4" s="1"/>
  <c r="AA34" i="33"/>
  <c r="AA44" i="4" s="1"/>
  <c r="Z34" i="33"/>
  <c r="Z44" i="4" s="1"/>
  <c r="Y34" i="33"/>
  <c r="Y44" i="4" s="1"/>
  <c r="X34" i="33"/>
  <c r="X44" i="4" s="1"/>
  <c r="W34" i="33"/>
  <c r="W44" i="4" s="1"/>
  <c r="V34" i="33"/>
  <c r="V44" i="4" s="1"/>
  <c r="U34" i="33"/>
  <c r="U44" i="4" s="1"/>
  <c r="T34" i="33"/>
  <c r="T44" i="4" s="1"/>
  <c r="S34" i="33"/>
  <c r="S44" i="4" s="1"/>
  <c r="R34" i="33"/>
  <c r="R44" i="4" s="1"/>
  <c r="Q34" i="33"/>
  <c r="Q44" i="4" s="1"/>
  <c r="P34" i="33"/>
  <c r="P44" i="4" s="1"/>
  <c r="AK33" i="33"/>
  <c r="AK43" i="4" s="1"/>
  <c r="AJ33" i="33"/>
  <c r="AJ43" i="4" s="1"/>
  <c r="AI33" i="33"/>
  <c r="AI43" i="4" s="1"/>
  <c r="AH33" i="33"/>
  <c r="AH43" i="4" s="1"/>
  <c r="AG33" i="33"/>
  <c r="AG43" i="4" s="1"/>
  <c r="AF33" i="33"/>
  <c r="AF43" i="4" s="1"/>
  <c r="AE33" i="33"/>
  <c r="AE43" i="4" s="1"/>
  <c r="AD33" i="33"/>
  <c r="AD43" i="4" s="1"/>
  <c r="AC33" i="33"/>
  <c r="AC43" i="4" s="1"/>
  <c r="AB33" i="33"/>
  <c r="AB43" i="4" s="1"/>
  <c r="AA33" i="33"/>
  <c r="AA43" i="4" s="1"/>
  <c r="Z33" i="33"/>
  <c r="Z43" i="4" s="1"/>
  <c r="Y33" i="33"/>
  <c r="Y43" i="4" s="1"/>
  <c r="X33" i="33"/>
  <c r="X43" i="4" s="1"/>
  <c r="W33" i="33"/>
  <c r="W43" i="4" s="1"/>
  <c r="V33" i="33"/>
  <c r="V43" i="4" s="1"/>
  <c r="U33" i="33"/>
  <c r="U43" i="4" s="1"/>
  <c r="T33" i="33"/>
  <c r="T43" i="4" s="1"/>
  <c r="S33" i="33"/>
  <c r="S43" i="4" s="1"/>
  <c r="R33" i="33"/>
  <c r="R43" i="4" s="1"/>
  <c r="Q33" i="33"/>
  <c r="Q43" i="4" s="1"/>
  <c r="P33" i="33"/>
  <c r="P43" i="4" s="1"/>
  <c r="AK32" i="33"/>
  <c r="AK42" i="4" s="1"/>
  <c r="AJ32" i="33"/>
  <c r="AJ42" i="4" s="1"/>
  <c r="AI32" i="33"/>
  <c r="AI42" i="4" s="1"/>
  <c r="AH32" i="33"/>
  <c r="AH42" i="4" s="1"/>
  <c r="AG32" i="33"/>
  <c r="AG42" i="4" s="1"/>
  <c r="AF32" i="33"/>
  <c r="AF42" i="4" s="1"/>
  <c r="AE32" i="33"/>
  <c r="AE42" i="4" s="1"/>
  <c r="AD32" i="33"/>
  <c r="AD42" i="4" s="1"/>
  <c r="AC32" i="33"/>
  <c r="AC42" i="4" s="1"/>
  <c r="AB32" i="33"/>
  <c r="AB42" i="4" s="1"/>
  <c r="AA32" i="33"/>
  <c r="AA42" i="4" s="1"/>
  <c r="Z32" i="33"/>
  <c r="Z42" i="4" s="1"/>
  <c r="Y32" i="33"/>
  <c r="Y42" i="4" s="1"/>
  <c r="X32" i="33"/>
  <c r="X42" i="4" s="1"/>
  <c r="W32" i="33"/>
  <c r="W42" i="4" s="1"/>
  <c r="V32" i="33"/>
  <c r="V42" i="4" s="1"/>
  <c r="U32" i="33"/>
  <c r="U42" i="4" s="1"/>
  <c r="T32" i="33"/>
  <c r="T42" i="4" s="1"/>
  <c r="S32" i="33"/>
  <c r="S42" i="4" s="1"/>
  <c r="R32" i="33"/>
  <c r="R42" i="4" s="1"/>
  <c r="Q32" i="33"/>
  <c r="Q42" i="4" s="1"/>
  <c r="P32" i="33"/>
  <c r="P42" i="4" s="1"/>
  <c r="E32" i="33"/>
  <c r="E42" i="4" s="1"/>
  <c r="AK31" i="33"/>
  <c r="AK41" i="4" s="1"/>
  <c r="AJ31" i="33"/>
  <c r="AJ41" i="4" s="1"/>
  <c r="AI31" i="33"/>
  <c r="AI41" i="4" s="1"/>
  <c r="AH31" i="33"/>
  <c r="AH41" i="4" s="1"/>
  <c r="AG31" i="33"/>
  <c r="AG41" i="4" s="1"/>
  <c r="AF31" i="33"/>
  <c r="AF41" i="4" s="1"/>
  <c r="AE31" i="33"/>
  <c r="AE41" i="4" s="1"/>
  <c r="AD31" i="33"/>
  <c r="AD41" i="4" s="1"/>
  <c r="AC31" i="33"/>
  <c r="AC41" i="4" s="1"/>
  <c r="AB31" i="33"/>
  <c r="AB41" i="4" s="1"/>
  <c r="AA31" i="33"/>
  <c r="AA41" i="4" s="1"/>
  <c r="Z31" i="33"/>
  <c r="Z41" i="4" s="1"/>
  <c r="Y31" i="33"/>
  <c r="Y41" i="4" s="1"/>
  <c r="X31" i="33"/>
  <c r="X41" i="4" s="1"/>
  <c r="W31" i="33"/>
  <c r="W41" i="4" s="1"/>
  <c r="V31" i="33"/>
  <c r="V41" i="4" s="1"/>
  <c r="U31" i="33"/>
  <c r="U41" i="4" s="1"/>
  <c r="T31" i="33"/>
  <c r="T41" i="4" s="1"/>
  <c r="S31" i="33"/>
  <c r="S41" i="4" s="1"/>
  <c r="R31" i="33"/>
  <c r="R41" i="4" s="1"/>
  <c r="Q31" i="33"/>
  <c r="Q41" i="4" s="1"/>
  <c r="P31" i="33"/>
  <c r="P41" i="4" s="1"/>
  <c r="AK30" i="33"/>
  <c r="AK40" i="4" s="1"/>
  <c r="AJ30" i="33"/>
  <c r="AJ40" i="4" s="1"/>
  <c r="AI30" i="33"/>
  <c r="AI40" i="4" s="1"/>
  <c r="AH30" i="33"/>
  <c r="AH40" i="4" s="1"/>
  <c r="AG30" i="33"/>
  <c r="AG40" i="4" s="1"/>
  <c r="AF30" i="33"/>
  <c r="AF40" i="4" s="1"/>
  <c r="AE30" i="33"/>
  <c r="AE40" i="4" s="1"/>
  <c r="AD30" i="33"/>
  <c r="AD40" i="4" s="1"/>
  <c r="AC30" i="33"/>
  <c r="AC40" i="4" s="1"/>
  <c r="AB30" i="33"/>
  <c r="AB40" i="4" s="1"/>
  <c r="AA30" i="33"/>
  <c r="AA40" i="4" s="1"/>
  <c r="Z30" i="33"/>
  <c r="Z40" i="4" s="1"/>
  <c r="Y30" i="33"/>
  <c r="Y40" i="4" s="1"/>
  <c r="X30" i="33"/>
  <c r="X40" i="4" s="1"/>
  <c r="W30" i="33"/>
  <c r="W40" i="4" s="1"/>
  <c r="V30" i="33"/>
  <c r="V40" i="4" s="1"/>
  <c r="U30" i="33"/>
  <c r="U40" i="4" s="1"/>
  <c r="T30" i="33"/>
  <c r="T40" i="4" s="1"/>
  <c r="S30" i="33"/>
  <c r="S40" i="4" s="1"/>
  <c r="R30" i="33"/>
  <c r="R40" i="4" s="1"/>
  <c r="Q30" i="33"/>
  <c r="Q40" i="4" s="1"/>
  <c r="P30" i="33"/>
  <c r="P40" i="4" s="1"/>
  <c r="AK29" i="33"/>
  <c r="AK39" i="4" s="1"/>
  <c r="AJ29" i="33"/>
  <c r="AJ39" i="4" s="1"/>
  <c r="AI29" i="33"/>
  <c r="AI39" i="4" s="1"/>
  <c r="AH29" i="33"/>
  <c r="AH39" i="4" s="1"/>
  <c r="AG29" i="33"/>
  <c r="AG39" i="4" s="1"/>
  <c r="AF29" i="33"/>
  <c r="AF39" i="4" s="1"/>
  <c r="AE29" i="33"/>
  <c r="AE39" i="4" s="1"/>
  <c r="AD29" i="33"/>
  <c r="AD39" i="4" s="1"/>
  <c r="AC29" i="33"/>
  <c r="AC39" i="4" s="1"/>
  <c r="AB29" i="33"/>
  <c r="AB39" i="4" s="1"/>
  <c r="AA29" i="33"/>
  <c r="AA39" i="4" s="1"/>
  <c r="Z29" i="33"/>
  <c r="Z39" i="4" s="1"/>
  <c r="Y29" i="33"/>
  <c r="Y39" i="4" s="1"/>
  <c r="X29" i="33"/>
  <c r="X39" i="4" s="1"/>
  <c r="W29" i="33"/>
  <c r="W39" i="4" s="1"/>
  <c r="V29" i="33"/>
  <c r="V39" i="4" s="1"/>
  <c r="U29" i="33"/>
  <c r="U39" i="4" s="1"/>
  <c r="T29" i="33"/>
  <c r="T39" i="4" s="1"/>
  <c r="S29" i="33"/>
  <c r="S39" i="4" s="1"/>
  <c r="R29" i="33"/>
  <c r="R39" i="4" s="1"/>
  <c r="Q29" i="33"/>
  <c r="Q39" i="4" s="1"/>
  <c r="P29" i="33"/>
  <c r="P39" i="4" s="1"/>
  <c r="AK28" i="33"/>
  <c r="AJ28" i="33"/>
  <c r="AI28" i="33"/>
  <c r="AH28" i="33"/>
  <c r="AG28" i="33"/>
  <c r="AF28" i="33"/>
  <c r="AE28" i="33"/>
  <c r="AD28" i="33"/>
  <c r="AC28" i="33"/>
  <c r="AB28" i="33"/>
  <c r="AA28" i="33"/>
  <c r="Z28" i="33"/>
  <c r="Y28" i="33"/>
  <c r="X28" i="33"/>
  <c r="W28" i="33"/>
  <c r="V28" i="33"/>
  <c r="U28" i="33"/>
  <c r="T28" i="33"/>
  <c r="S28" i="33"/>
  <c r="R28" i="33"/>
  <c r="Q28" i="33"/>
  <c r="P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J35" i="33" s="1"/>
  <c r="J45" i="4" s="1"/>
  <c r="L23" i="33"/>
  <c r="J23" i="33"/>
  <c r="I23" i="33"/>
  <c r="H23" i="33"/>
  <c r="G23" i="33"/>
  <c r="F23" i="33"/>
  <c r="E23" i="33"/>
  <c r="D23" i="33"/>
  <c r="C23" i="33"/>
  <c r="B23" i="33"/>
  <c r="A22" i="33"/>
  <c r="H22" i="33"/>
  <c r="G45" i="33"/>
  <c r="F27" i="33"/>
  <c r="F52" i="33" s="1"/>
  <c r="E45" i="33"/>
  <c r="D22" i="33"/>
  <c r="C45" i="33"/>
  <c r="B45" i="33"/>
  <c r="X56" i="33"/>
  <c r="AE56" i="33"/>
  <c r="AK56" i="33"/>
  <c r="AB56" i="33"/>
  <c r="W56" i="33"/>
  <c r="AI56" i="33"/>
  <c r="Z56" i="33"/>
  <c r="AD56" i="33"/>
  <c r="AG56" i="33"/>
  <c r="AC56" i="33"/>
  <c r="AH56" i="33"/>
  <c r="Y56" i="33"/>
  <c r="AF56" i="33"/>
  <c r="AJ56" i="33"/>
  <c r="AA56" i="33"/>
  <c r="O28" i="33" l="1"/>
  <c r="C29" i="33"/>
  <c r="C39" i="4" s="1"/>
  <c r="G30" i="33"/>
  <c r="G40" i="4" s="1"/>
  <c r="K31" i="33"/>
  <c r="K41" i="4" s="1"/>
  <c r="I28" i="33"/>
  <c r="I38" i="4" s="1"/>
  <c r="K32" i="33"/>
  <c r="K42" i="4" s="1"/>
  <c r="O33" i="33"/>
  <c r="O43" i="4" s="1"/>
  <c r="C34" i="33"/>
  <c r="C44" i="4" s="1"/>
  <c r="C35" i="33"/>
  <c r="C45" i="4" s="1"/>
  <c r="O36" i="33"/>
  <c r="O46" i="4" s="1"/>
  <c r="O37" i="33"/>
  <c r="O47" i="4" s="1"/>
  <c r="O38" i="33"/>
  <c r="O48" i="4" s="1"/>
  <c r="O39" i="33"/>
  <c r="O49" i="4" s="1"/>
  <c r="O40" i="33"/>
  <c r="O50" i="4" s="1"/>
  <c r="O41" i="33"/>
  <c r="O51" i="4" s="1"/>
  <c r="O42" i="33"/>
  <c r="O52" i="4" s="1"/>
  <c r="O43" i="33"/>
  <c r="O53" i="4" s="1"/>
  <c r="M28" i="33"/>
  <c r="M38" i="4" s="1"/>
  <c r="G29" i="33"/>
  <c r="G39" i="4" s="1"/>
  <c r="K30" i="33"/>
  <c r="K40" i="4" s="1"/>
  <c r="O31" i="33"/>
  <c r="O41" i="4" s="1"/>
  <c r="C32" i="33"/>
  <c r="C42" i="4" s="1"/>
  <c r="O32" i="33"/>
  <c r="O42" i="4" s="1"/>
  <c r="C33" i="33"/>
  <c r="C43" i="4" s="1"/>
  <c r="G34" i="33"/>
  <c r="G44" i="4" s="1"/>
  <c r="G35" i="33"/>
  <c r="G45" i="4" s="1"/>
  <c r="K29" i="33"/>
  <c r="K39" i="4" s="1"/>
  <c r="O30" i="33"/>
  <c r="O40" i="4" s="1"/>
  <c r="C31" i="33"/>
  <c r="C41" i="4" s="1"/>
  <c r="G33" i="33"/>
  <c r="G43" i="4" s="1"/>
  <c r="K34" i="33"/>
  <c r="K44" i="4" s="1"/>
  <c r="K35" i="33"/>
  <c r="K45" i="4" s="1"/>
  <c r="E28" i="33"/>
  <c r="E38" i="4" s="1"/>
  <c r="O29" i="33"/>
  <c r="O39" i="4" s="1"/>
  <c r="C30" i="33"/>
  <c r="C40" i="4" s="1"/>
  <c r="G31" i="33"/>
  <c r="G41" i="4" s="1"/>
  <c r="G32" i="33"/>
  <c r="G42" i="4" s="1"/>
  <c r="K33" i="33"/>
  <c r="K43" i="4" s="1"/>
  <c r="O34" i="33"/>
  <c r="O44" i="4" s="1"/>
  <c r="O35" i="33"/>
  <c r="O45" i="4" s="1"/>
  <c r="B28" i="33"/>
  <c r="B38" i="4" s="1"/>
  <c r="F28" i="33"/>
  <c r="J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C28" i="33"/>
  <c r="C38" i="4" s="1"/>
  <c r="G28" i="33"/>
  <c r="K28" i="33"/>
  <c r="B29" i="33"/>
  <c r="B39" i="4" s="1"/>
  <c r="E29" i="33"/>
  <c r="E39" i="4" s="1"/>
  <c r="I29" i="33"/>
  <c r="I39" i="4" s="1"/>
  <c r="M29" i="33"/>
  <c r="M39" i="4" s="1"/>
  <c r="B30" i="33"/>
  <c r="B40" i="4" s="1"/>
  <c r="E30" i="33"/>
  <c r="E40" i="4" s="1"/>
  <c r="I30" i="33"/>
  <c r="I40" i="4" s="1"/>
  <c r="M30" i="33"/>
  <c r="M40" i="4" s="1"/>
  <c r="B31" i="33"/>
  <c r="B41" i="4" s="1"/>
  <c r="E31" i="33"/>
  <c r="E41" i="4" s="1"/>
  <c r="I31" i="33"/>
  <c r="I41" i="4" s="1"/>
  <c r="M31" i="33"/>
  <c r="M41" i="4" s="1"/>
  <c r="B32" i="33"/>
  <c r="B42" i="4" s="1"/>
  <c r="I32" i="33"/>
  <c r="I42" i="4" s="1"/>
  <c r="M32" i="33"/>
  <c r="M42" i="4" s="1"/>
  <c r="B33" i="33"/>
  <c r="B43" i="4" s="1"/>
  <c r="E33" i="33"/>
  <c r="E43" i="4" s="1"/>
  <c r="I33" i="33"/>
  <c r="I43" i="4" s="1"/>
  <c r="M33" i="33"/>
  <c r="M43" i="4" s="1"/>
  <c r="B34" i="33"/>
  <c r="B44" i="4" s="1"/>
  <c r="E34" i="33"/>
  <c r="E44" i="4" s="1"/>
  <c r="I34" i="33"/>
  <c r="I44" i="4" s="1"/>
  <c r="M34" i="33"/>
  <c r="M44" i="4" s="1"/>
  <c r="E35" i="33"/>
  <c r="E45" i="4" s="1"/>
  <c r="I35" i="33"/>
  <c r="I45" i="4" s="1"/>
  <c r="M35" i="33"/>
  <c r="M45" i="4" s="1"/>
  <c r="D28" i="33"/>
  <c r="D38" i="4" s="1"/>
  <c r="H28" i="33"/>
  <c r="H38" i="4" s="1"/>
  <c r="L28" i="33"/>
  <c r="F29" i="33"/>
  <c r="F39" i="4" s="1"/>
  <c r="J29" i="33"/>
  <c r="J39" i="4" s="1"/>
  <c r="F30" i="33"/>
  <c r="F40" i="4" s="1"/>
  <c r="J30" i="33"/>
  <c r="J40" i="4" s="1"/>
  <c r="F31" i="33"/>
  <c r="F41" i="4" s="1"/>
  <c r="J31" i="33"/>
  <c r="J41" i="4" s="1"/>
  <c r="F32" i="33"/>
  <c r="F42" i="4" s="1"/>
  <c r="J32" i="33"/>
  <c r="J42" i="4" s="1"/>
  <c r="F33" i="33"/>
  <c r="F43" i="4" s="1"/>
  <c r="J33" i="33"/>
  <c r="J43" i="4" s="1"/>
  <c r="F34" i="33"/>
  <c r="F44" i="4" s="1"/>
  <c r="J34" i="33"/>
  <c r="J44" i="4" s="1"/>
  <c r="F35" i="33"/>
  <c r="F45" i="4" s="1"/>
  <c r="U38" i="4"/>
  <c r="Y38" i="4"/>
  <c r="AK38" i="4"/>
  <c r="R38" i="4"/>
  <c r="V38" i="4"/>
  <c r="Z38" i="4"/>
  <c r="AD38" i="4"/>
  <c r="AH38" i="4"/>
  <c r="B22" i="33"/>
  <c r="E22" i="33"/>
  <c r="I45" i="33"/>
  <c r="I52" i="33"/>
  <c r="I27" i="33"/>
  <c r="G38" i="4"/>
  <c r="K38" i="4"/>
  <c r="P46" i="33"/>
  <c r="P53" i="33" s="1"/>
  <c r="P38" i="4"/>
  <c r="P47" i="33"/>
  <c r="P48" i="33" s="1"/>
  <c r="P54" i="33" s="1"/>
  <c r="T38" i="4"/>
  <c r="T46" i="33"/>
  <c r="T53" i="33" s="1"/>
  <c r="T47" i="33"/>
  <c r="T48" i="33" s="1"/>
  <c r="T54" i="33" s="1"/>
  <c r="X38" i="4"/>
  <c r="X47" i="33"/>
  <c r="X48" i="33" s="1"/>
  <c r="X54" i="33" s="1"/>
  <c r="X46" i="33"/>
  <c r="X53" i="33" s="1"/>
  <c r="AB47" i="33"/>
  <c r="AB48" i="33" s="1"/>
  <c r="AB54" i="33" s="1"/>
  <c r="AB38" i="4"/>
  <c r="AB46" i="33"/>
  <c r="AB53" i="33" s="1"/>
  <c r="AF46" i="33"/>
  <c r="AF53" i="33" s="1"/>
  <c r="AF38" i="4"/>
  <c r="AF47" i="33"/>
  <c r="AF48" i="33" s="1"/>
  <c r="AF54" i="33" s="1"/>
  <c r="AJ38" i="4"/>
  <c r="AJ46" i="33"/>
  <c r="AJ53" i="33" s="1"/>
  <c r="AJ47" i="33"/>
  <c r="AJ48" i="33" s="1"/>
  <c r="AJ54" i="33" s="1"/>
  <c r="B27" i="33"/>
  <c r="B52" i="33" s="1"/>
  <c r="Q47" i="33"/>
  <c r="Q48" i="33" s="1"/>
  <c r="Q54" i="33" s="1"/>
  <c r="Q38" i="4"/>
  <c r="AC46" i="33"/>
  <c r="AC53" i="33" s="1"/>
  <c r="AC38" i="4"/>
  <c r="AG47" i="33"/>
  <c r="AG48" i="33" s="1"/>
  <c r="AG54" i="33" s="1"/>
  <c r="AG38" i="4"/>
  <c r="D27" i="33"/>
  <c r="D52" i="33" s="1"/>
  <c r="I22" i="33"/>
  <c r="E27" i="33"/>
  <c r="E52" i="33" s="1"/>
  <c r="F38" i="4"/>
  <c r="J38" i="4"/>
  <c r="O38" i="4"/>
  <c r="O47" i="33"/>
  <c r="O48" i="33" s="1"/>
  <c r="O54" i="33" s="1"/>
  <c r="S38" i="4"/>
  <c r="S46" i="33"/>
  <c r="S53" i="33" s="1"/>
  <c r="S47" i="33"/>
  <c r="S48" i="33" s="1"/>
  <c r="S54" i="33" s="1"/>
  <c r="W38" i="4"/>
  <c r="W46" i="33"/>
  <c r="W53" i="33" s="1"/>
  <c r="W47" i="33"/>
  <c r="W48" i="33" s="1"/>
  <c r="W54" i="33" s="1"/>
  <c r="AA38" i="4"/>
  <c r="AA46" i="33"/>
  <c r="AA53" i="33" s="1"/>
  <c r="AA47" i="33"/>
  <c r="AA48" i="33" s="1"/>
  <c r="AA54" i="33" s="1"/>
  <c r="AE38" i="4"/>
  <c r="AE46" i="33"/>
  <c r="AE53" i="33" s="1"/>
  <c r="AE47" i="33"/>
  <c r="AE48" i="33" s="1"/>
  <c r="AE54" i="33" s="1"/>
  <c r="AI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H47" i="33"/>
  <c r="U46" i="33"/>
  <c r="U53" i="33" s="1"/>
  <c r="U47" i="33"/>
  <c r="U48" i="33" s="1"/>
  <c r="U54" i="33" s="1"/>
  <c r="Y46" i="33"/>
  <c r="Y53" i="33" s="1"/>
  <c r="Y47" i="33"/>
  <c r="Y48" i="33" s="1"/>
  <c r="Y54" i="33" s="1"/>
  <c r="AK46" i="33"/>
  <c r="AK53" i="33" s="1"/>
  <c r="AK47" i="33"/>
  <c r="AK48" i="33" s="1"/>
  <c r="AK54" i="33" s="1"/>
  <c r="Q46" i="33"/>
  <c r="Q53" i="33" s="1"/>
  <c r="AG46" i="33"/>
  <c r="AG53" i="33" s="1"/>
  <c r="AC47" i="33"/>
  <c r="AC48" i="33" s="1"/>
  <c r="AC54" i="33" s="1"/>
  <c r="F22" i="33"/>
  <c r="I47" i="33"/>
  <c r="R47" i="33"/>
  <c r="R48" i="33" s="1"/>
  <c r="R54" i="33" s="1"/>
  <c r="R46" i="33"/>
  <c r="R53" i="33" s="1"/>
  <c r="V47" i="33"/>
  <c r="V48" i="33" s="1"/>
  <c r="V54" i="33" s="1"/>
  <c r="V46" i="33"/>
  <c r="V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B47" i="33" l="1"/>
  <c r="K46" i="33"/>
  <c r="K53" i="33" s="1"/>
  <c r="C46" i="33"/>
  <c r="C53" i="33" s="1"/>
  <c r="J47" i="33"/>
  <c r="J48" i="33" s="1"/>
  <c r="J54" i="33" s="1"/>
  <c r="J46" i="33"/>
  <c r="J53" i="33" s="1"/>
  <c r="K47" i="33"/>
  <c r="K48" i="33" s="1"/>
  <c r="K54" i="33" s="1"/>
  <c r="E46" i="33"/>
  <c r="E53" i="33" s="1"/>
  <c r="H46" i="33"/>
  <c r="H53" i="33" s="1"/>
  <c r="F47" i="33"/>
  <c r="F48" i="33" s="1"/>
  <c r="F54" i="33" s="1"/>
  <c r="C47" i="33"/>
  <c r="C48" i="33" s="1"/>
  <c r="C54" i="33" s="1"/>
  <c r="L46" i="33"/>
  <c r="L53" i="33" s="1"/>
  <c r="M46" i="33"/>
  <c r="M53" i="33" s="1"/>
  <c r="M47" i="33"/>
  <c r="M48" i="33" s="1"/>
  <c r="M54" i="33" s="1"/>
  <c r="E47" i="33"/>
  <c r="E48" i="33" s="1"/>
  <c r="E54" i="33" s="1"/>
  <c r="D47" i="33"/>
  <c r="G47" i="33"/>
  <c r="G48" i="33" s="1"/>
  <c r="G54" i="33" s="1"/>
  <c r="I46" i="33"/>
  <c r="I53" i="33" s="1"/>
  <c r="B46" i="33"/>
  <c r="B53" i="33" s="1"/>
  <c r="L47" i="33"/>
  <c r="L48" i="33" s="1"/>
  <c r="L54" i="33" s="1"/>
  <c r="D46" i="33"/>
  <c r="D53" i="33" s="1"/>
  <c r="O46" i="33"/>
  <c r="O53" i="33" s="1"/>
  <c r="O55" i="33" s="1"/>
  <c r="G46" i="33"/>
  <c r="G53" i="33" s="1"/>
  <c r="F46" i="33"/>
  <c r="F53" i="33" s="1"/>
  <c r="I48" i="33"/>
  <c r="I54" i="33" s="1"/>
  <c r="B48" i="33"/>
  <c r="B54" i="33" s="1"/>
  <c r="H48" i="33"/>
  <c r="H54" i="33" s="1"/>
  <c r="L38" i="4"/>
  <c r="D48" i="33"/>
  <c r="D54" i="33" s="1"/>
  <c r="AD55" i="33"/>
  <c r="U55" i="33"/>
  <c r="X55" i="33"/>
  <c r="Z55" i="33"/>
  <c r="AE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M55" i="33" l="1"/>
  <c r="B64" i="33"/>
  <c r="AI55" i="33"/>
  <c r="AH55" i="33"/>
  <c r="AF55" i="33"/>
  <c r="AK55" i="33"/>
  <c r="S55" i="33"/>
  <c r="AA55" i="33"/>
  <c r="B65" i="33"/>
  <c r="AB55" i="33"/>
  <c r="Y55" i="33"/>
  <c r="P55" i="33"/>
  <c r="AJ55" i="33"/>
  <c r="AG55" i="33"/>
  <c r="Q55" i="33"/>
  <c r="AC55" i="33"/>
  <c r="R55" i="33"/>
  <c r="T55" i="33"/>
  <c r="W55" i="33"/>
  <c r="V55" i="33"/>
  <c r="V60" i="33"/>
  <c r="V61" i="33" s="1"/>
  <c r="AI60" i="33"/>
  <c r="AI61" i="33" s="1"/>
  <c r="AG60" i="33"/>
  <c r="AG61" i="33" s="1"/>
  <c r="S60" i="33"/>
  <c r="S61" i="33" s="1"/>
  <c r="AD60" i="33"/>
  <c r="AD61" i="33" s="1"/>
  <c r="X60" i="33"/>
  <c r="X61" i="33" s="1"/>
  <c r="U60" i="33"/>
  <c r="U61" i="33" s="1"/>
  <c r="T60" i="33"/>
  <c r="T61" i="33" s="1"/>
  <c r="AC60" i="33"/>
  <c r="AC61" i="33" s="1"/>
  <c r="Z60" i="33"/>
  <c r="Z61" i="33" s="1"/>
  <c r="W60" i="33"/>
  <c r="W61" i="33" s="1"/>
  <c r="R60" i="33"/>
  <c r="R61" i="33" s="1"/>
  <c r="AB60" i="33"/>
  <c r="AB61" i="33" s="1"/>
  <c r="AJ60" i="33"/>
  <c r="AJ61" i="33" s="1"/>
  <c r="AF60" i="33"/>
  <c r="AF61" i="33" s="1"/>
  <c r="AA60" i="33"/>
  <c r="AA61" i="33" s="1"/>
  <c r="Q60" i="33"/>
  <c r="Q61" i="33" s="1"/>
  <c r="Y60" i="33"/>
  <c r="Y61" i="33" s="1"/>
  <c r="AH60" i="33"/>
  <c r="AH61" i="33" s="1"/>
  <c r="P60" i="33"/>
  <c r="P61" i="33" s="1"/>
  <c r="AK60" i="33"/>
  <c r="AK61" i="33" s="1"/>
  <c r="AE60" i="33"/>
  <c r="AE61" i="33" s="1"/>
  <c r="J61" i="33"/>
  <c r="C60" i="33"/>
  <c r="C61" i="33" s="1"/>
  <c r="E61" i="33"/>
  <c r="G61" i="33"/>
  <c r="H61" i="33"/>
  <c r="D61" i="33"/>
  <c r="O61" i="33"/>
  <c r="K61" i="33"/>
  <c r="L61" i="33"/>
  <c r="M61" i="33"/>
  <c r="I61" i="33"/>
  <c r="F61" i="33"/>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S22" i="4" s="1"/>
  <c r="T28" i="23"/>
  <c r="T22" i="4" s="1"/>
  <c r="U28" i="23"/>
  <c r="U22" i="4" s="1"/>
  <c r="V28" i="23"/>
  <c r="W28" i="23"/>
  <c r="W22" i="4" s="1"/>
  <c r="X28" i="23"/>
  <c r="Y28" i="23"/>
  <c r="Z28" i="23"/>
  <c r="AA28" i="23"/>
  <c r="AA22" i="4" s="1"/>
  <c r="AB28" i="23"/>
  <c r="AC28" i="23"/>
  <c r="AD28" i="23"/>
  <c r="AE28" i="23"/>
  <c r="AE22" i="4" s="1"/>
  <c r="AF28" i="23"/>
  <c r="AG28" i="23"/>
  <c r="AH28" i="23"/>
  <c r="AI28" i="23"/>
  <c r="AJ28" i="23"/>
  <c r="AK28" i="23"/>
  <c r="P29" i="23"/>
  <c r="Q29" i="23"/>
  <c r="Q23" i="4" s="1"/>
  <c r="R29" i="23"/>
  <c r="R23" i="4" s="1"/>
  <c r="S29" i="23"/>
  <c r="S23" i="4" s="1"/>
  <c r="T29" i="23"/>
  <c r="T23" i="4" s="1"/>
  <c r="U29" i="23"/>
  <c r="U23" i="4" s="1"/>
  <c r="V29" i="23"/>
  <c r="V23" i="4" s="1"/>
  <c r="W29" i="23"/>
  <c r="W23" i="4" s="1"/>
  <c r="X29" i="23"/>
  <c r="X23" i="4" s="1"/>
  <c r="Y29" i="23"/>
  <c r="Z29" i="23"/>
  <c r="Z23" i="4" s="1"/>
  <c r="AA29" i="23"/>
  <c r="AB29" i="23"/>
  <c r="AC29" i="23"/>
  <c r="AC23" i="4" s="1"/>
  <c r="AD29" i="23"/>
  <c r="AD23" i="4" s="1"/>
  <c r="AE29" i="23"/>
  <c r="AE23" i="4" s="1"/>
  <c r="AF29" i="23"/>
  <c r="AF23" i="4" s="1"/>
  <c r="AG29" i="23"/>
  <c r="AG23" i="4" s="1"/>
  <c r="AH29" i="23"/>
  <c r="AH23" i="4" s="1"/>
  <c r="AI29" i="23"/>
  <c r="AI23" i="4" s="1"/>
  <c r="AJ29" i="23"/>
  <c r="AJ23" i="4" s="1"/>
  <c r="AK29" i="23"/>
  <c r="AK23" i="4" s="1"/>
  <c r="P30" i="23"/>
  <c r="Q30" i="23"/>
  <c r="Q24" i="4" s="1"/>
  <c r="R30" i="23"/>
  <c r="R24" i="4" s="1"/>
  <c r="S30" i="23"/>
  <c r="S24" i="4" s="1"/>
  <c r="T30" i="23"/>
  <c r="T24" i="4" s="1"/>
  <c r="U30" i="23"/>
  <c r="U24" i="4" s="1"/>
  <c r="V30" i="23"/>
  <c r="V24" i="4" s="1"/>
  <c r="W30" i="23"/>
  <c r="X30" i="23"/>
  <c r="X24" i="4" s="1"/>
  <c r="Y30" i="23"/>
  <c r="Y24" i="4" s="1"/>
  <c r="Z30" i="23"/>
  <c r="Z24" i="4" s="1"/>
  <c r="AA30" i="23"/>
  <c r="AA24" i="4" s="1"/>
  <c r="AB30" i="23"/>
  <c r="AB24" i="4" s="1"/>
  <c r="AC30" i="23"/>
  <c r="AC24" i="4" s="1"/>
  <c r="AD30" i="23"/>
  <c r="AD24" i="4" s="1"/>
  <c r="AE30" i="23"/>
  <c r="AE24" i="4" s="1"/>
  <c r="AF30" i="23"/>
  <c r="AF24" i="4" s="1"/>
  <c r="AG30" i="23"/>
  <c r="AG24" i="4" s="1"/>
  <c r="AH30" i="23"/>
  <c r="AH24" i="4" s="1"/>
  <c r="AI30" i="23"/>
  <c r="AI24" i="4" s="1"/>
  <c r="AJ30" i="23"/>
  <c r="AJ24" i="4" s="1"/>
  <c r="AK30" i="23"/>
  <c r="AK24" i="4" s="1"/>
  <c r="P31" i="23"/>
  <c r="P25" i="4" s="1"/>
  <c r="Q31" i="23"/>
  <c r="Q25" i="4" s="1"/>
  <c r="R31" i="23"/>
  <c r="R25" i="4" s="1"/>
  <c r="S31" i="23"/>
  <c r="S25" i="4" s="1"/>
  <c r="T31" i="23"/>
  <c r="T25" i="4" s="1"/>
  <c r="U31" i="23"/>
  <c r="V31" i="23"/>
  <c r="W31" i="23"/>
  <c r="W25" i="4" s="1"/>
  <c r="X31" i="23"/>
  <c r="X25" i="4" s="1"/>
  <c r="Y31" i="23"/>
  <c r="Y25" i="4" s="1"/>
  <c r="Z31" i="23"/>
  <c r="AA31" i="23"/>
  <c r="AA25" i="4" s="1"/>
  <c r="AB31" i="23"/>
  <c r="AB25" i="4" s="1"/>
  <c r="AC31" i="23"/>
  <c r="AC25" i="4" s="1"/>
  <c r="AD31" i="23"/>
  <c r="AD25" i="4" s="1"/>
  <c r="AE31" i="23"/>
  <c r="AE25" i="4" s="1"/>
  <c r="AF31" i="23"/>
  <c r="AF25" i="4" s="1"/>
  <c r="AG31" i="23"/>
  <c r="AG25" i="4" s="1"/>
  <c r="AH31" i="23"/>
  <c r="AH25" i="4" s="1"/>
  <c r="AI31" i="23"/>
  <c r="AI25" i="4" s="1"/>
  <c r="AJ31" i="23"/>
  <c r="AJ25" i="4" s="1"/>
  <c r="AK31" i="23"/>
  <c r="AK25" i="4" s="1"/>
  <c r="P32" i="23"/>
  <c r="P26" i="4" s="1"/>
  <c r="Q32" i="23"/>
  <c r="Q26" i="4" s="1"/>
  <c r="R32" i="23"/>
  <c r="R26" i="4" s="1"/>
  <c r="S32" i="23"/>
  <c r="S26" i="4" s="1"/>
  <c r="T32" i="23"/>
  <c r="T26" i="4" s="1"/>
  <c r="U32" i="23"/>
  <c r="U26" i="4" s="1"/>
  <c r="V32" i="23"/>
  <c r="V26" i="4" s="1"/>
  <c r="W32" i="23"/>
  <c r="X32" i="23"/>
  <c r="X26" i="4" s="1"/>
  <c r="Y32" i="23"/>
  <c r="Y26" i="4" s="1"/>
  <c r="Z32" i="23"/>
  <c r="Z26" i="4" s="1"/>
  <c r="AA32" i="23"/>
  <c r="AA26" i="4" s="1"/>
  <c r="AB32" i="23"/>
  <c r="AB26" i="4" s="1"/>
  <c r="AC32" i="23"/>
  <c r="AC26" i="4" s="1"/>
  <c r="AD32" i="23"/>
  <c r="AD26" i="4" s="1"/>
  <c r="AE32" i="23"/>
  <c r="AE26" i="4" s="1"/>
  <c r="AF32" i="23"/>
  <c r="AF26" i="4" s="1"/>
  <c r="AG32" i="23"/>
  <c r="AG26" i="4" s="1"/>
  <c r="AH32" i="23"/>
  <c r="AH26" i="4" s="1"/>
  <c r="AI32" i="23"/>
  <c r="AI26" i="4" s="1"/>
  <c r="AJ32" i="23"/>
  <c r="AJ26" i="4" s="1"/>
  <c r="AK32" i="23"/>
  <c r="AK26" i="4" s="1"/>
  <c r="P33" i="23"/>
  <c r="P27" i="4" s="1"/>
  <c r="Q33" i="23"/>
  <c r="Q27" i="4" s="1"/>
  <c r="R33" i="23"/>
  <c r="R27" i="4" s="1"/>
  <c r="S33" i="23"/>
  <c r="S27" i="4" s="1"/>
  <c r="T33" i="23"/>
  <c r="U33" i="23"/>
  <c r="U27" i="4" s="1"/>
  <c r="V33" i="23"/>
  <c r="V27" i="4" s="1"/>
  <c r="W33" i="23"/>
  <c r="W27" i="4" s="1"/>
  <c r="X33" i="23"/>
  <c r="Y33" i="23"/>
  <c r="Y27" i="4" s="1"/>
  <c r="Z33" i="23"/>
  <c r="Z27" i="4" s="1"/>
  <c r="AA33" i="23"/>
  <c r="AA27" i="4" s="1"/>
  <c r="AB33" i="23"/>
  <c r="AC33" i="23"/>
  <c r="AD33" i="23"/>
  <c r="AD27" i="4" s="1"/>
  <c r="AE33" i="23"/>
  <c r="AE27" i="4" s="1"/>
  <c r="AF33" i="23"/>
  <c r="AF27" i="4" s="1"/>
  <c r="AG33" i="23"/>
  <c r="AG27" i="4" s="1"/>
  <c r="AH33" i="23"/>
  <c r="AH27" i="4" s="1"/>
  <c r="AI33" i="23"/>
  <c r="AI27" i="4" s="1"/>
  <c r="AJ33" i="23"/>
  <c r="AJ27" i="4" s="1"/>
  <c r="AK33" i="23"/>
  <c r="AK27" i="4" s="1"/>
  <c r="P34" i="23"/>
  <c r="P28" i="4" s="1"/>
  <c r="Q34" i="23"/>
  <c r="Q28" i="4" s="1"/>
  <c r="R34" i="23"/>
  <c r="R28" i="4" s="1"/>
  <c r="S34" i="23"/>
  <c r="S28" i="4" s="1"/>
  <c r="T34" i="23"/>
  <c r="T28" i="4" s="1"/>
  <c r="U34" i="23"/>
  <c r="U28" i="4" s="1"/>
  <c r="V34" i="23"/>
  <c r="V28" i="4" s="1"/>
  <c r="W34" i="23"/>
  <c r="W28" i="4" s="1"/>
  <c r="X34" i="23"/>
  <c r="X28" i="4" s="1"/>
  <c r="Y34" i="23"/>
  <c r="Y28" i="4" s="1"/>
  <c r="Z34" i="23"/>
  <c r="Z28" i="4" s="1"/>
  <c r="AA34" i="23"/>
  <c r="AA28" i="4" s="1"/>
  <c r="AB34" i="23"/>
  <c r="AB28" i="4" s="1"/>
  <c r="AC34" i="23"/>
  <c r="AC28" i="4" s="1"/>
  <c r="AD34" i="23"/>
  <c r="AD28" i="4" s="1"/>
  <c r="AE34" i="23"/>
  <c r="AE28" i="4" s="1"/>
  <c r="AF34" i="23"/>
  <c r="AF28" i="4" s="1"/>
  <c r="AG34" i="23"/>
  <c r="AG28" i="4" s="1"/>
  <c r="AH34" i="23"/>
  <c r="AH28" i="4" s="1"/>
  <c r="AI34" i="23"/>
  <c r="AI28" i="4" s="1"/>
  <c r="AJ34" i="23"/>
  <c r="AJ28" i="4" s="1"/>
  <c r="AK34" i="23"/>
  <c r="AK28" i="4" s="1"/>
  <c r="P35" i="23"/>
  <c r="P29" i="4" s="1"/>
  <c r="Q35" i="23"/>
  <c r="Q29" i="4" s="1"/>
  <c r="R35" i="23"/>
  <c r="R29" i="4" s="1"/>
  <c r="S35" i="23"/>
  <c r="S29" i="4" s="1"/>
  <c r="T35" i="23"/>
  <c r="T29" i="4" s="1"/>
  <c r="U35" i="23"/>
  <c r="V35" i="23"/>
  <c r="V29" i="4" s="1"/>
  <c r="W35" i="23"/>
  <c r="W29" i="4" s="1"/>
  <c r="X35" i="23"/>
  <c r="X29" i="4" s="1"/>
  <c r="Y35" i="23"/>
  <c r="Y29" i="4" s="1"/>
  <c r="Z35" i="23"/>
  <c r="Z29" i="4" s="1"/>
  <c r="AA35" i="23"/>
  <c r="AA29" i="4" s="1"/>
  <c r="AB35" i="23"/>
  <c r="AB29" i="4" s="1"/>
  <c r="AC35" i="23"/>
  <c r="AC29" i="4" s="1"/>
  <c r="AD35" i="23"/>
  <c r="AD29" i="4" s="1"/>
  <c r="AE35" i="23"/>
  <c r="AE29" i="4" s="1"/>
  <c r="AF35" i="23"/>
  <c r="AF29" i="4" s="1"/>
  <c r="AG35" i="23"/>
  <c r="AG29" i="4" s="1"/>
  <c r="AH35" i="23"/>
  <c r="AH29" i="4" s="1"/>
  <c r="AI35" i="23"/>
  <c r="AI29" i="4" s="1"/>
  <c r="AJ35" i="23"/>
  <c r="AJ29" i="4" s="1"/>
  <c r="AK35" i="23"/>
  <c r="AK29" i="4" s="1"/>
  <c r="P36" i="23"/>
  <c r="P30" i="4" s="1"/>
  <c r="Q36" i="23"/>
  <c r="Q30" i="4" s="1"/>
  <c r="R36" i="23"/>
  <c r="R30" i="4" s="1"/>
  <c r="S36" i="23"/>
  <c r="S30" i="4" s="1"/>
  <c r="T36" i="23"/>
  <c r="T30" i="4" s="1"/>
  <c r="U36" i="23"/>
  <c r="U30" i="4" s="1"/>
  <c r="V36" i="23"/>
  <c r="V30" i="4" s="1"/>
  <c r="W36" i="23"/>
  <c r="W30" i="4" s="1"/>
  <c r="X36" i="23"/>
  <c r="X30" i="4" s="1"/>
  <c r="Y36" i="23"/>
  <c r="Y30" i="4" s="1"/>
  <c r="Z36" i="23"/>
  <c r="Z30" i="4" s="1"/>
  <c r="AA36" i="23"/>
  <c r="AB36" i="23"/>
  <c r="AB30" i="4" s="1"/>
  <c r="AC36" i="23"/>
  <c r="AC30" i="4" s="1"/>
  <c r="AD36" i="23"/>
  <c r="AD30" i="4" s="1"/>
  <c r="AE36" i="23"/>
  <c r="AE30" i="4" s="1"/>
  <c r="AF36" i="23"/>
  <c r="AF30" i="4" s="1"/>
  <c r="AG36" i="23"/>
  <c r="AG30" i="4" s="1"/>
  <c r="AH36" i="23"/>
  <c r="AI36" i="23"/>
  <c r="AI30" i="4" s="1"/>
  <c r="AJ36" i="23"/>
  <c r="AJ30" i="4" s="1"/>
  <c r="AK36" i="23"/>
  <c r="AK30" i="4" s="1"/>
  <c r="P37" i="23"/>
  <c r="P31" i="4" s="1"/>
  <c r="Q37" i="23"/>
  <c r="Q31" i="4" s="1"/>
  <c r="R37" i="23"/>
  <c r="R31" i="4" s="1"/>
  <c r="S37" i="23"/>
  <c r="S31" i="4" s="1"/>
  <c r="T37" i="23"/>
  <c r="T31" i="4" s="1"/>
  <c r="U37" i="23"/>
  <c r="V37" i="23"/>
  <c r="V31" i="4" s="1"/>
  <c r="W37" i="23"/>
  <c r="W31" i="4" s="1"/>
  <c r="X37" i="23"/>
  <c r="X31" i="4" s="1"/>
  <c r="Y37" i="23"/>
  <c r="Y31" i="4" s="1"/>
  <c r="Z37" i="23"/>
  <c r="Z31" i="4" s="1"/>
  <c r="AA37" i="23"/>
  <c r="AA31" i="4" s="1"/>
  <c r="AB37" i="23"/>
  <c r="AB31" i="4" s="1"/>
  <c r="AC37" i="23"/>
  <c r="AC31" i="4" s="1"/>
  <c r="AD37" i="23"/>
  <c r="AD31" i="4" s="1"/>
  <c r="AE37" i="23"/>
  <c r="AE31" i="4" s="1"/>
  <c r="AF37" i="23"/>
  <c r="AF31" i="4" s="1"/>
  <c r="AG37" i="23"/>
  <c r="AG31" i="4" s="1"/>
  <c r="AH37" i="23"/>
  <c r="AH31" i="4" s="1"/>
  <c r="AI37" i="23"/>
  <c r="AI31" i="4" s="1"/>
  <c r="AJ37" i="23"/>
  <c r="AJ31" i="4" s="1"/>
  <c r="AK37" i="23"/>
  <c r="AK31" i="4" s="1"/>
  <c r="P38" i="23"/>
  <c r="P32" i="4" s="1"/>
  <c r="Q38" i="23"/>
  <c r="Q32" i="4" s="1"/>
  <c r="R38" i="23"/>
  <c r="R32" i="4" s="1"/>
  <c r="S38" i="23"/>
  <c r="S32" i="4" s="1"/>
  <c r="T38" i="23"/>
  <c r="T32" i="4" s="1"/>
  <c r="U38" i="23"/>
  <c r="U32" i="4" s="1"/>
  <c r="V38" i="23"/>
  <c r="V32" i="4" s="1"/>
  <c r="W38" i="23"/>
  <c r="W32" i="4" s="1"/>
  <c r="X38" i="23"/>
  <c r="X32" i="4" s="1"/>
  <c r="Y38" i="23"/>
  <c r="Y32" i="4" s="1"/>
  <c r="Z38" i="23"/>
  <c r="Z32" i="4" s="1"/>
  <c r="AA38" i="23"/>
  <c r="AB38" i="23"/>
  <c r="AB32" i="4" s="1"/>
  <c r="AC38" i="23"/>
  <c r="AC32" i="4" s="1"/>
  <c r="AD38" i="23"/>
  <c r="AD32" i="4" s="1"/>
  <c r="AE38" i="23"/>
  <c r="AE32" i="4" s="1"/>
  <c r="AF38" i="23"/>
  <c r="AF32" i="4" s="1"/>
  <c r="AG38" i="23"/>
  <c r="AG32" i="4" s="1"/>
  <c r="AH38" i="23"/>
  <c r="AH32" i="4" s="1"/>
  <c r="AI38" i="23"/>
  <c r="AI32" i="4" s="1"/>
  <c r="AJ38" i="23"/>
  <c r="AJ32" i="4" s="1"/>
  <c r="AK38" i="23"/>
  <c r="AK32" i="4" s="1"/>
  <c r="P39" i="23"/>
  <c r="P33" i="4" s="1"/>
  <c r="Q39" i="23"/>
  <c r="Q33" i="4" s="1"/>
  <c r="R39" i="23"/>
  <c r="R33" i="4" s="1"/>
  <c r="S39" i="23"/>
  <c r="S33" i="4" s="1"/>
  <c r="T39" i="23"/>
  <c r="T33" i="4" s="1"/>
  <c r="U39" i="23"/>
  <c r="U33" i="4" s="1"/>
  <c r="V39" i="23"/>
  <c r="W39" i="23"/>
  <c r="W33" i="4" s="1"/>
  <c r="X39" i="23"/>
  <c r="X33" i="4" s="1"/>
  <c r="Y39" i="23"/>
  <c r="Z39" i="23"/>
  <c r="Z33" i="4" s="1"/>
  <c r="AA39" i="23"/>
  <c r="AB39" i="23"/>
  <c r="AB33" i="4" s="1"/>
  <c r="AC39" i="23"/>
  <c r="AC33" i="4" s="1"/>
  <c r="AD39" i="23"/>
  <c r="AD33" i="4" s="1"/>
  <c r="AE39" i="23"/>
  <c r="AE33" i="4" s="1"/>
  <c r="AF39" i="23"/>
  <c r="AF33" i="4" s="1"/>
  <c r="AG39" i="23"/>
  <c r="AG33" i="4" s="1"/>
  <c r="AH39" i="23"/>
  <c r="AH33" i="4" s="1"/>
  <c r="AI39" i="23"/>
  <c r="AI33" i="4" s="1"/>
  <c r="AJ39" i="23"/>
  <c r="AJ33" i="4" s="1"/>
  <c r="AK39" i="23"/>
  <c r="AK33" i="4" s="1"/>
  <c r="P40" i="23"/>
  <c r="P34" i="4" s="1"/>
  <c r="Q40" i="23"/>
  <c r="Q34" i="4" s="1"/>
  <c r="R40" i="23"/>
  <c r="R34" i="4" s="1"/>
  <c r="S40" i="23"/>
  <c r="S34" i="4" s="1"/>
  <c r="T40" i="23"/>
  <c r="T34" i="4" s="1"/>
  <c r="U40" i="23"/>
  <c r="U34" i="4" s="1"/>
  <c r="V40" i="23"/>
  <c r="V34" i="4" s="1"/>
  <c r="W40" i="23"/>
  <c r="W34" i="4" s="1"/>
  <c r="X40" i="23"/>
  <c r="X34" i="4" s="1"/>
  <c r="Y40" i="23"/>
  <c r="Y34" i="4" s="1"/>
  <c r="Z40" i="23"/>
  <c r="Z34" i="4" s="1"/>
  <c r="AA40" i="23"/>
  <c r="AA34" i="4" s="1"/>
  <c r="AB40" i="23"/>
  <c r="AC40" i="23"/>
  <c r="AC34" i="4" s="1"/>
  <c r="AD40" i="23"/>
  <c r="AD34" i="4" s="1"/>
  <c r="AE40" i="23"/>
  <c r="AE34" i="4" s="1"/>
  <c r="AF40" i="23"/>
  <c r="AF34" i="4" s="1"/>
  <c r="AG40" i="23"/>
  <c r="AG34" i="4" s="1"/>
  <c r="AH40" i="23"/>
  <c r="AH34" i="4" s="1"/>
  <c r="AI40" i="23"/>
  <c r="AI34" i="4" s="1"/>
  <c r="AJ40" i="23"/>
  <c r="AJ34" i="4" s="1"/>
  <c r="AK40" i="23"/>
  <c r="AK34" i="4" s="1"/>
  <c r="P41" i="23"/>
  <c r="P35" i="4" s="1"/>
  <c r="Q41" i="23"/>
  <c r="Q35" i="4" s="1"/>
  <c r="R41" i="23"/>
  <c r="R35" i="4" s="1"/>
  <c r="S41" i="23"/>
  <c r="S35" i="4" s="1"/>
  <c r="T41" i="23"/>
  <c r="T35" i="4" s="1"/>
  <c r="U41" i="23"/>
  <c r="U35" i="4" s="1"/>
  <c r="V41" i="23"/>
  <c r="V35" i="4" s="1"/>
  <c r="W41" i="23"/>
  <c r="W35" i="4" s="1"/>
  <c r="X41" i="23"/>
  <c r="X35" i="4" s="1"/>
  <c r="Y41" i="23"/>
  <c r="Z41" i="23"/>
  <c r="Z35" i="4" s="1"/>
  <c r="AA41" i="23"/>
  <c r="AA35" i="4" s="1"/>
  <c r="AB41" i="23"/>
  <c r="AB35" i="4" s="1"/>
  <c r="AC41" i="23"/>
  <c r="AC35" i="4" s="1"/>
  <c r="AD41" i="23"/>
  <c r="AE41" i="23"/>
  <c r="AE35" i="4" s="1"/>
  <c r="AF41" i="23"/>
  <c r="AF35" i="4" s="1"/>
  <c r="AG41" i="23"/>
  <c r="AG35" i="4" s="1"/>
  <c r="AH41" i="23"/>
  <c r="AH35" i="4" s="1"/>
  <c r="AI41" i="23"/>
  <c r="AI35" i="4" s="1"/>
  <c r="AJ41" i="23"/>
  <c r="AJ35" i="4" s="1"/>
  <c r="AK41" i="23"/>
  <c r="AK35" i="4" s="1"/>
  <c r="P42" i="23"/>
  <c r="P36" i="4" s="1"/>
  <c r="Q42" i="23"/>
  <c r="Q36" i="4" s="1"/>
  <c r="R42" i="23"/>
  <c r="R36" i="4" s="1"/>
  <c r="S42" i="23"/>
  <c r="T42" i="23"/>
  <c r="T36" i="4" s="1"/>
  <c r="U42" i="23"/>
  <c r="U36" i="4" s="1"/>
  <c r="V42" i="23"/>
  <c r="V36" i="4" s="1"/>
  <c r="W42" i="23"/>
  <c r="W36" i="4" s="1"/>
  <c r="X42" i="23"/>
  <c r="X36" i="4" s="1"/>
  <c r="Y42" i="23"/>
  <c r="Y36" i="4" s="1"/>
  <c r="Z42" i="23"/>
  <c r="Z36" i="4" s="1"/>
  <c r="AA42" i="23"/>
  <c r="AA36" i="4" s="1"/>
  <c r="AB42" i="23"/>
  <c r="AB36" i="4" s="1"/>
  <c r="AC42" i="23"/>
  <c r="AC36" i="4" s="1"/>
  <c r="AD42" i="23"/>
  <c r="AD36" i="4" s="1"/>
  <c r="AE42" i="23"/>
  <c r="AE36" i="4" s="1"/>
  <c r="AF42" i="23"/>
  <c r="AF36" i="4" s="1"/>
  <c r="AG42" i="23"/>
  <c r="AG36" i="4" s="1"/>
  <c r="AH42" i="23"/>
  <c r="AH36" i="4" s="1"/>
  <c r="AI42" i="23"/>
  <c r="AI36" i="4" s="1"/>
  <c r="AJ42" i="23"/>
  <c r="AJ36" i="4" s="1"/>
  <c r="AK42" i="23"/>
  <c r="AK36" i="4" s="1"/>
  <c r="P43" i="23"/>
  <c r="Q43" i="23"/>
  <c r="R43" i="23"/>
  <c r="S43" i="23"/>
  <c r="T43" i="23"/>
  <c r="U43" i="23"/>
  <c r="U37" i="4" s="1"/>
  <c r="V43" i="23"/>
  <c r="W43" i="23"/>
  <c r="X43" i="23"/>
  <c r="Y43" i="23"/>
  <c r="Y37" i="4" s="1"/>
  <c r="Z43" i="23"/>
  <c r="AA43" i="23"/>
  <c r="AB43" i="23"/>
  <c r="AC43" i="23"/>
  <c r="AC37" i="4" s="1"/>
  <c r="AD43" i="23"/>
  <c r="AE43" i="23"/>
  <c r="AF43" i="23"/>
  <c r="AG43" i="23"/>
  <c r="AH43" i="23"/>
  <c r="AI43" i="23"/>
  <c r="AJ43" i="23"/>
  <c r="AK43" i="23"/>
  <c r="K34" i="23"/>
  <c r="K28" i="4" s="1"/>
  <c r="L34" i="23"/>
  <c r="L28" i="4" s="1"/>
  <c r="M34" i="23"/>
  <c r="M28"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W28" i="1"/>
  <c r="X28" i="1"/>
  <c r="Y28" i="1"/>
  <c r="Z28" i="1"/>
  <c r="AA28" i="1"/>
  <c r="AB28" i="1"/>
  <c r="AC28" i="1"/>
  <c r="AD28" i="1"/>
  <c r="AE28" i="1"/>
  <c r="AF28" i="1"/>
  <c r="AG28" i="1"/>
  <c r="AH28" i="1"/>
  <c r="AI28" i="1"/>
  <c r="AJ28" i="1"/>
  <c r="AK28" i="1"/>
  <c r="W29" i="1"/>
  <c r="W7" i="4" s="1"/>
  <c r="X29" i="1"/>
  <c r="Y29" i="1"/>
  <c r="Y7" i="4" s="1"/>
  <c r="Z29" i="1"/>
  <c r="Z7" i="4" s="1"/>
  <c r="AA29" i="1"/>
  <c r="AA7" i="4" s="1"/>
  <c r="AB29" i="1"/>
  <c r="AB7" i="4" s="1"/>
  <c r="AC29" i="1"/>
  <c r="AC7" i="4" s="1"/>
  <c r="AD29" i="1"/>
  <c r="AD7" i="4" s="1"/>
  <c r="AE29" i="1"/>
  <c r="AE7" i="4" s="1"/>
  <c r="AF29" i="1"/>
  <c r="AF7" i="4" s="1"/>
  <c r="AG29" i="1"/>
  <c r="AG7" i="4" s="1"/>
  <c r="AH29" i="1"/>
  <c r="AH7" i="4" s="1"/>
  <c r="AI29" i="1"/>
  <c r="AI7" i="4" s="1"/>
  <c r="AJ29" i="1"/>
  <c r="AJ7" i="4" s="1"/>
  <c r="AK29" i="1"/>
  <c r="AK7" i="4" s="1"/>
  <c r="W30" i="1"/>
  <c r="W8" i="4" s="1"/>
  <c r="X30" i="1"/>
  <c r="X8" i="4" s="1"/>
  <c r="Y30" i="1"/>
  <c r="Y8" i="4" s="1"/>
  <c r="Z30" i="1"/>
  <c r="Z8" i="4" s="1"/>
  <c r="AA30" i="1"/>
  <c r="AA8" i="4" s="1"/>
  <c r="AB30" i="1"/>
  <c r="AB8" i="4" s="1"/>
  <c r="AC30" i="1"/>
  <c r="AC8" i="4" s="1"/>
  <c r="AD30" i="1"/>
  <c r="AD8" i="4" s="1"/>
  <c r="AE30" i="1"/>
  <c r="AE8" i="4" s="1"/>
  <c r="AF30" i="1"/>
  <c r="AF8" i="4" s="1"/>
  <c r="AG30" i="1"/>
  <c r="AG8" i="4" s="1"/>
  <c r="AH30" i="1"/>
  <c r="AH8" i="4" s="1"/>
  <c r="AI30" i="1"/>
  <c r="AI8" i="4" s="1"/>
  <c r="AJ30" i="1"/>
  <c r="AJ8" i="4" s="1"/>
  <c r="AK30" i="1"/>
  <c r="AK8" i="4" s="1"/>
  <c r="W31" i="1"/>
  <c r="W9" i="4" s="1"/>
  <c r="X31" i="1"/>
  <c r="X9" i="4" s="1"/>
  <c r="Y31" i="1"/>
  <c r="Y9" i="4" s="1"/>
  <c r="Z31" i="1"/>
  <c r="Z9" i="4" s="1"/>
  <c r="AA31" i="1"/>
  <c r="AA9" i="4" s="1"/>
  <c r="AB31" i="1"/>
  <c r="AB9" i="4" s="1"/>
  <c r="AC31" i="1"/>
  <c r="AC9" i="4" s="1"/>
  <c r="AD31" i="1"/>
  <c r="AD9" i="4" s="1"/>
  <c r="AE31" i="1"/>
  <c r="AE9" i="4" s="1"/>
  <c r="AF31" i="1"/>
  <c r="AG31" i="1"/>
  <c r="AG9" i="4" s="1"/>
  <c r="AH31" i="1"/>
  <c r="AH9" i="4" s="1"/>
  <c r="AI31" i="1"/>
  <c r="AI9" i="4" s="1"/>
  <c r="AJ31" i="1"/>
  <c r="AJ9" i="4" s="1"/>
  <c r="AK31" i="1"/>
  <c r="AK9" i="4" s="1"/>
  <c r="W32" i="1"/>
  <c r="W10" i="4" s="1"/>
  <c r="X32" i="1"/>
  <c r="X10" i="4" s="1"/>
  <c r="Y32" i="1"/>
  <c r="Y10" i="4" s="1"/>
  <c r="Z32" i="1"/>
  <c r="Z10" i="4" s="1"/>
  <c r="AA32" i="1"/>
  <c r="AA10" i="4" s="1"/>
  <c r="AB32" i="1"/>
  <c r="AB10" i="4" s="1"/>
  <c r="AC32" i="1"/>
  <c r="AC10" i="4" s="1"/>
  <c r="AD32" i="1"/>
  <c r="AD10" i="4" s="1"/>
  <c r="AE32" i="1"/>
  <c r="AE10" i="4" s="1"/>
  <c r="AF32" i="1"/>
  <c r="AF10" i="4" s="1"/>
  <c r="AG32" i="1"/>
  <c r="AG10" i="4" s="1"/>
  <c r="AH32" i="1"/>
  <c r="AH10" i="4" s="1"/>
  <c r="AI32" i="1"/>
  <c r="AI10" i="4" s="1"/>
  <c r="AJ32" i="1"/>
  <c r="AJ10" i="4" s="1"/>
  <c r="AK32" i="1"/>
  <c r="AK10" i="4" s="1"/>
  <c r="W33" i="1"/>
  <c r="W11" i="4" s="1"/>
  <c r="X33" i="1"/>
  <c r="Y33" i="1"/>
  <c r="Y11" i="4" s="1"/>
  <c r="Z33" i="1"/>
  <c r="Z11" i="4" s="1"/>
  <c r="AA33" i="1"/>
  <c r="AA11" i="4" s="1"/>
  <c r="AB33" i="1"/>
  <c r="AB11" i="4" s="1"/>
  <c r="AC33" i="1"/>
  <c r="AC11" i="4" s="1"/>
  <c r="AD33" i="1"/>
  <c r="AD11" i="4" s="1"/>
  <c r="AE33" i="1"/>
  <c r="AE11" i="4" s="1"/>
  <c r="AF33" i="1"/>
  <c r="AF11" i="4" s="1"/>
  <c r="AG33" i="1"/>
  <c r="AH33" i="1"/>
  <c r="AH11" i="4" s="1"/>
  <c r="AI33" i="1"/>
  <c r="AI11" i="4" s="1"/>
  <c r="AJ33" i="1"/>
  <c r="AJ11" i="4" s="1"/>
  <c r="AK33" i="1"/>
  <c r="AK11" i="4" s="1"/>
  <c r="W34" i="1"/>
  <c r="W12" i="4" s="1"/>
  <c r="X34" i="1"/>
  <c r="X12" i="4" s="1"/>
  <c r="Y34" i="1"/>
  <c r="Z34" i="1"/>
  <c r="Z12" i="4" s="1"/>
  <c r="AA34" i="1"/>
  <c r="AA12" i="4" s="1"/>
  <c r="AB34" i="1"/>
  <c r="AB12" i="4" s="1"/>
  <c r="AC34" i="1"/>
  <c r="AC12" i="4" s="1"/>
  <c r="AD34" i="1"/>
  <c r="AD12" i="4" s="1"/>
  <c r="AE34" i="1"/>
  <c r="AE12" i="4" s="1"/>
  <c r="AF34" i="1"/>
  <c r="AF12" i="4" s="1"/>
  <c r="AG34" i="1"/>
  <c r="AG12" i="4" s="1"/>
  <c r="AH34" i="1"/>
  <c r="AH12" i="4" s="1"/>
  <c r="AI34" i="1"/>
  <c r="AI12" i="4" s="1"/>
  <c r="AJ34" i="1"/>
  <c r="AJ12" i="4" s="1"/>
  <c r="AK34" i="1"/>
  <c r="AK12" i="4" s="1"/>
  <c r="W35" i="1"/>
  <c r="W13" i="4" s="1"/>
  <c r="X35" i="1"/>
  <c r="X13" i="4" s="1"/>
  <c r="Y35" i="1"/>
  <c r="Y13" i="4" s="1"/>
  <c r="Z35" i="1"/>
  <c r="Z13" i="4" s="1"/>
  <c r="AA35" i="1"/>
  <c r="AA13" i="4" s="1"/>
  <c r="AB35" i="1"/>
  <c r="AB13" i="4" s="1"/>
  <c r="AC35" i="1"/>
  <c r="AC13" i="4" s="1"/>
  <c r="AD35" i="1"/>
  <c r="AD13" i="4" s="1"/>
  <c r="AE35" i="1"/>
  <c r="AE13" i="4" s="1"/>
  <c r="AF35" i="1"/>
  <c r="AF13" i="4" s="1"/>
  <c r="AG35" i="1"/>
  <c r="AG13" i="4" s="1"/>
  <c r="AH35" i="1"/>
  <c r="AH13" i="4" s="1"/>
  <c r="AI35" i="1"/>
  <c r="AI13" i="4" s="1"/>
  <c r="AJ35" i="1"/>
  <c r="AJ13" i="4" s="1"/>
  <c r="AK35" i="1"/>
  <c r="AK13" i="4" s="1"/>
  <c r="S36" i="1"/>
  <c r="S14" i="4" s="1"/>
  <c r="T36" i="1"/>
  <c r="T14" i="4" s="1"/>
  <c r="U36" i="1"/>
  <c r="U14" i="4" s="1"/>
  <c r="V36" i="1"/>
  <c r="V14" i="4" s="1"/>
  <c r="W36" i="1"/>
  <c r="W14" i="4" s="1"/>
  <c r="X36" i="1"/>
  <c r="X14" i="4" s="1"/>
  <c r="Y36" i="1"/>
  <c r="Y14" i="4" s="1"/>
  <c r="Z36" i="1"/>
  <c r="Z14" i="4" s="1"/>
  <c r="AA36" i="1"/>
  <c r="AA14" i="4" s="1"/>
  <c r="AB36" i="1"/>
  <c r="AB14" i="4" s="1"/>
  <c r="AC36" i="1"/>
  <c r="AC14" i="4" s="1"/>
  <c r="AD36" i="1"/>
  <c r="AD14" i="4" s="1"/>
  <c r="AE36" i="1"/>
  <c r="AE14" i="4" s="1"/>
  <c r="AF36" i="1"/>
  <c r="AF14" i="4" s="1"/>
  <c r="AG36" i="1"/>
  <c r="AG14" i="4" s="1"/>
  <c r="AH36" i="1"/>
  <c r="AH14" i="4" s="1"/>
  <c r="AI36" i="1"/>
  <c r="AI14" i="4" s="1"/>
  <c r="AJ36" i="1"/>
  <c r="AJ14" i="4" s="1"/>
  <c r="AK36" i="1"/>
  <c r="AK14" i="4" s="1"/>
  <c r="S37" i="1"/>
  <c r="S15" i="4" s="1"/>
  <c r="T37" i="1"/>
  <c r="T15" i="4" s="1"/>
  <c r="U37" i="1"/>
  <c r="U15" i="4" s="1"/>
  <c r="V37" i="1"/>
  <c r="V15" i="4" s="1"/>
  <c r="W37" i="1"/>
  <c r="W15" i="4" s="1"/>
  <c r="X37" i="1"/>
  <c r="X15" i="4" s="1"/>
  <c r="Y37" i="1"/>
  <c r="Y15" i="4" s="1"/>
  <c r="Z37" i="1"/>
  <c r="Z15" i="4" s="1"/>
  <c r="AA37" i="1"/>
  <c r="AA15" i="4" s="1"/>
  <c r="AB37" i="1"/>
  <c r="AB15" i="4" s="1"/>
  <c r="AC37" i="1"/>
  <c r="AC15" i="4" s="1"/>
  <c r="AD37" i="1"/>
  <c r="AD15" i="4" s="1"/>
  <c r="AE37" i="1"/>
  <c r="AE15" i="4" s="1"/>
  <c r="AF37" i="1"/>
  <c r="AF15" i="4" s="1"/>
  <c r="AG37" i="1"/>
  <c r="AG15" i="4" s="1"/>
  <c r="AH37" i="1"/>
  <c r="AH15" i="4" s="1"/>
  <c r="AI37" i="1"/>
  <c r="AI15" i="4" s="1"/>
  <c r="AJ37" i="1"/>
  <c r="AJ15" i="4" s="1"/>
  <c r="AK37" i="1"/>
  <c r="AK15" i="4" s="1"/>
  <c r="S38" i="1"/>
  <c r="S16" i="4" s="1"/>
  <c r="T38" i="1"/>
  <c r="T16" i="4" s="1"/>
  <c r="U38" i="1"/>
  <c r="U16" i="4" s="1"/>
  <c r="V38" i="1"/>
  <c r="V16" i="4" s="1"/>
  <c r="W38" i="1"/>
  <c r="W16" i="4" s="1"/>
  <c r="X38" i="1"/>
  <c r="X16" i="4" s="1"/>
  <c r="Y38" i="1"/>
  <c r="Y16" i="4" s="1"/>
  <c r="Z38" i="1"/>
  <c r="Z16" i="4" s="1"/>
  <c r="AA38" i="1"/>
  <c r="AA16" i="4" s="1"/>
  <c r="AB38" i="1"/>
  <c r="AB16" i="4" s="1"/>
  <c r="AC38" i="1"/>
  <c r="AC16" i="4" s="1"/>
  <c r="AD38" i="1"/>
  <c r="AD16" i="4" s="1"/>
  <c r="AE38" i="1"/>
  <c r="AE16" i="4" s="1"/>
  <c r="AF38" i="1"/>
  <c r="AF16" i="4" s="1"/>
  <c r="AG38" i="1"/>
  <c r="AG16" i="4" s="1"/>
  <c r="AH38" i="1"/>
  <c r="AH16" i="4" s="1"/>
  <c r="AI38" i="1"/>
  <c r="AI16" i="4" s="1"/>
  <c r="AJ38" i="1"/>
  <c r="AJ16" i="4" s="1"/>
  <c r="AK38" i="1"/>
  <c r="AK16" i="4" s="1"/>
  <c r="S39" i="1"/>
  <c r="S17" i="4" s="1"/>
  <c r="T39" i="1"/>
  <c r="T17" i="4" s="1"/>
  <c r="U39" i="1"/>
  <c r="U17" i="4" s="1"/>
  <c r="V39" i="1"/>
  <c r="V17" i="4" s="1"/>
  <c r="W39" i="1"/>
  <c r="W17" i="4" s="1"/>
  <c r="X39" i="1"/>
  <c r="X17" i="4" s="1"/>
  <c r="Y39" i="1"/>
  <c r="Y17" i="4" s="1"/>
  <c r="Z39" i="1"/>
  <c r="Z17" i="4" s="1"/>
  <c r="AA39" i="1"/>
  <c r="AA17" i="4" s="1"/>
  <c r="AB39" i="1"/>
  <c r="AB17" i="4" s="1"/>
  <c r="AC39" i="1"/>
  <c r="AC17" i="4" s="1"/>
  <c r="AD39" i="1"/>
  <c r="AD17" i="4" s="1"/>
  <c r="AE39" i="1"/>
  <c r="AE17" i="4" s="1"/>
  <c r="AF39" i="1"/>
  <c r="AF17" i="4" s="1"/>
  <c r="AG39" i="1"/>
  <c r="AG17" i="4" s="1"/>
  <c r="AH39" i="1"/>
  <c r="AH17" i="4" s="1"/>
  <c r="AI39" i="1"/>
  <c r="AI17" i="4" s="1"/>
  <c r="AJ39" i="1"/>
  <c r="AJ17" i="4" s="1"/>
  <c r="AK39" i="1"/>
  <c r="AK17" i="4" s="1"/>
  <c r="S40" i="1"/>
  <c r="S18" i="4" s="1"/>
  <c r="T40" i="1"/>
  <c r="T18" i="4" s="1"/>
  <c r="U40" i="1"/>
  <c r="U18" i="4" s="1"/>
  <c r="V40" i="1"/>
  <c r="V18" i="4" s="1"/>
  <c r="W40" i="1"/>
  <c r="W18" i="4" s="1"/>
  <c r="X40" i="1"/>
  <c r="X18" i="4" s="1"/>
  <c r="Y40" i="1"/>
  <c r="Y18" i="4" s="1"/>
  <c r="Z40" i="1"/>
  <c r="Z18" i="4" s="1"/>
  <c r="AA40" i="1"/>
  <c r="AA18" i="4" s="1"/>
  <c r="AB40" i="1"/>
  <c r="AB18" i="4" s="1"/>
  <c r="AC40" i="1"/>
  <c r="AC18" i="4" s="1"/>
  <c r="AD40" i="1"/>
  <c r="AD18" i="4" s="1"/>
  <c r="AE40" i="1"/>
  <c r="AE18" i="4" s="1"/>
  <c r="AF40" i="1"/>
  <c r="AF18" i="4" s="1"/>
  <c r="AG40" i="1"/>
  <c r="AG18" i="4" s="1"/>
  <c r="AH40" i="1"/>
  <c r="AH18" i="4" s="1"/>
  <c r="AI40" i="1"/>
  <c r="AI18" i="4" s="1"/>
  <c r="AJ40" i="1"/>
  <c r="AJ18" i="4" s="1"/>
  <c r="AK40" i="1"/>
  <c r="AK18" i="4" s="1"/>
  <c r="S41" i="1"/>
  <c r="S19" i="4" s="1"/>
  <c r="T41" i="1"/>
  <c r="T19" i="4" s="1"/>
  <c r="U41" i="1"/>
  <c r="U19" i="4" s="1"/>
  <c r="V41" i="1"/>
  <c r="V19" i="4" s="1"/>
  <c r="W41" i="1"/>
  <c r="W19" i="4" s="1"/>
  <c r="X41" i="1"/>
  <c r="X19" i="4" s="1"/>
  <c r="Y41" i="1"/>
  <c r="Y19" i="4" s="1"/>
  <c r="Z41" i="1"/>
  <c r="Z19" i="4" s="1"/>
  <c r="AA41" i="1"/>
  <c r="AA19" i="4" s="1"/>
  <c r="AB41" i="1"/>
  <c r="AB19" i="4" s="1"/>
  <c r="AC41" i="1"/>
  <c r="AC19" i="4" s="1"/>
  <c r="AD41" i="1"/>
  <c r="AD19" i="4" s="1"/>
  <c r="AE41" i="1"/>
  <c r="AE19" i="4" s="1"/>
  <c r="AF41" i="1"/>
  <c r="AF19" i="4" s="1"/>
  <c r="AG41" i="1"/>
  <c r="AG19" i="4" s="1"/>
  <c r="AH41" i="1"/>
  <c r="AH19" i="4" s="1"/>
  <c r="AI41" i="1"/>
  <c r="AI19" i="4" s="1"/>
  <c r="AJ41" i="1"/>
  <c r="AJ19" i="4" s="1"/>
  <c r="AK41" i="1"/>
  <c r="AK19" i="4" s="1"/>
  <c r="S42" i="1"/>
  <c r="S20" i="4" s="1"/>
  <c r="T42" i="1"/>
  <c r="T20" i="4" s="1"/>
  <c r="U42" i="1"/>
  <c r="U20" i="4" s="1"/>
  <c r="V42" i="1"/>
  <c r="V20" i="4" s="1"/>
  <c r="W42" i="1"/>
  <c r="W20" i="4" s="1"/>
  <c r="X42" i="1"/>
  <c r="X20" i="4" s="1"/>
  <c r="Y42" i="1"/>
  <c r="Y20" i="4" s="1"/>
  <c r="Z42" i="1"/>
  <c r="Z20" i="4" s="1"/>
  <c r="AA42" i="1"/>
  <c r="AA20" i="4" s="1"/>
  <c r="AB42" i="1"/>
  <c r="AB20" i="4" s="1"/>
  <c r="AC42" i="1"/>
  <c r="AC20" i="4" s="1"/>
  <c r="AD42" i="1"/>
  <c r="AD20" i="4" s="1"/>
  <c r="AE42" i="1"/>
  <c r="AE20" i="4" s="1"/>
  <c r="AF42" i="1"/>
  <c r="AF20" i="4" s="1"/>
  <c r="AG42" i="1"/>
  <c r="AG20" i="4" s="1"/>
  <c r="AH42" i="1"/>
  <c r="AH20" i="4" s="1"/>
  <c r="AI42" i="1"/>
  <c r="AI20" i="4" s="1"/>
  <c r="AJ42" i="1"/>
  <c r="AJ20" i="4" s="1"/>
  <c r="AK42" i="1"/>
  <c r="AK20" i="4" s="1"/>
  <c r="S43" i="1"/>
  <c r="S21" i="4" s="1"/>
  <c r="T43" i="1"/>
  <c r="U43" i="1"/>
  <c r="V43" i="1"/>
  <c r="W43" i="1"/>
  <c r="W21" i="4" s="1"/>
  <c r="X43" i="1"/>
  <c r="Y43" i="1"/>
  <c r="Z43" i="1"/>
  <c r="AA43" i="1"/>
  <c r="AA21" i="4" s="1"/>
  <c r="AB43" i="1"/>
  <c r="AC43" i="1"/>
  <c r="AD43" i="1"/>
  <c r="AE43" i="1"/>
  <c r="AF43" i="1"/>
  <c r="AG43" i="1"/>
  <c r="AH43" i="1"/>
  <c r="AI43" i="1"/>
  <c r="AJ43" i="1"/>
  <c r="AK43" i="1"/>
  <c r="L13" i="4"/>
  <c r="K14" i="4"/>
  <c r="L14" i="4"/>
  <c r="M14" i="4"/>
  <c r="K15" i="4"/>
  <c r="L15" i="4"/>
  <c r="M15" i="4"/>
  <c r="K16" i="4"/>
  <c r="L16" i="4"/>
  <c r="M16" i="4"/>
  <c r="K17" i="4"/>
  <c r="L17" i="4"/>
  <c r="M17" i="4"/>
  <c r="K18" i="4"/>
  <c r="L18" i="4"/>
  <c r="M18" i="4"/>
  <c r="K19" i="4"/>
  <c r="L19" i="4"/>
  <c r="M19" i="4"/>
  <c r="K20" i="4"/>
  <c r="L20" i="4"/>
  <c r="M20" i="4"/>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AD35" i="4"/>
  <c r="Y35" i="4"/>
  <c r="I41" i="23"/>
  <c r="I35" i="4" s="1"/>
  <c r="H41" i="23"/>
  <c r="H35" i="4" s="1"/>
  <c r="G41" i="23"/>
  <c r="G35" i="4" s="1"/>
  <c r="F41" i="23"/>
  <c r="F35" i="4" s="1"/>
  <c r="E41" i="23"/>
  <c r="E35" i="4" s="1"/>
  <c r="D41" i="23"/>
  <c r="D35" i="4" s="1"/>
  <c r="C41" i="23"/>
  <c r="C35" i="4" s="1"/>
  <c r="B41" i="23"/>
  <c r="B35" i="4" s="1"/>
  <c r="AB34" i="4"/>
  <c r="I40" i="23"/>
  <c r="I34" i="4" s="1"/>
  <c r="H40" i="23"/>
  <c r="H34" i="4" s="1"/>
  <c r="G40" i="23"/>
  <c r="G34" i="4" s="1"/>
  <c r="F40" i="23"/>
  <c r="F34" i="4" s="1"/>
  <c r="E40" i="23"/>
  <c r="E34" i="4" s="1"/>
  <c r="D40" i="23"/>
  <c r="D34" i="4" s="1"/>
  <c r="C40" i="23"/>
  <c r="C34" i="4" s="1"/>
  <c r="B40" i="23"/>
  <c r="B34" i="4" s="1"/>
  <c r="AA33" i="4"/>
  <c r="Y33" i="4"/>
  <c r="V33" i="4"/>
  <c r="I39" i="23"/>
  <c r="I33" i="4" s="1"/>
  <c r="H39" i="23"/>
  <c r="H33" i="4" s="1"/>
  <c r="G39" i="23"/>
  <c r="G33" i="4" s="1"/>
  <c r="F39" i="23"/>
  <c r="F33" i="4" s="1"/>
  <c r="E39" i="23"/>
  <c r="E33" i="4" s="1"/>
  <c r="D39" i="23"/>
  <c r="D33" i="4" s="1"/>
  <c r="C39" i="23"/>
  <c r="C33" i="4" s="1"/>
  <c r="B39" i="23"/>
  <c r="B33" i="4" s="1"/>
  <c r="AA32" i="4"/>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AA30" i="4"/>
  <c r="I36" i="23"/>
  <c r="I30" i="4" s="1"/>
  <c r="H36" i="23"/>
  <c r="H30" i="4" s="1"/>
  <c r="G36" i="23"/>
  <c r="G30" i="4" s="1"/>
  <c r="F36" i="23"/>
  <c r="F30" i="4" s="1"/>
  <c r="E36" i="23"/>
  <c r="E30" i="4" s="1"/>
  <c r="D36" i="23"/>
  <c r="D30" i="4" s="1"/>
  <c r="C36" i="23"/>
  <c r="C30" i="4" s="1"/>
  <c r="B36" i="23"/>
  <c r="B30" i="4" s="1"/>
  <c r="AC27" i="4"/>
  <c r="W26" i="4"/>
  <c r="Z25" i="4"/>
  <c r="U25" i="4"/>
  <c r="W24" i="4"/>
  <c r="P24" i="4"/>
  <c r="Y23"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V25" i="4"/>
  <c r="P22" i="23"/>
  <c r="S23" i="1"/>
  <c r="T23" i="1"/>
  <c r="U23" i="1"/>
  <c r="V23" i="1"/>
  <c r="W23" i="1"/>
  <c r="X23" i="1"/>
  <c r="Y23" i="1"/>
  <c r="Z23" i="1"/>
  <c r="AA23" i="1"/>
  <c r="AB23" i="1"/>
  <c r="AC23" i="1"/>
  <c r="AD23" i="1"/>
  <c r="S24" i="1"/>
  <c r="T24" i="1"/>
  <c r="U24" i="1"/>
  <c r="V24" i="1"/>
  <c r="W24" i="1"/>
  <c r="X24" i="1"/>
  <c r="Y24" i="1"/>
  <c r="Z24" i="1"/>
  <c r="AA24" i="1"/>
  <c r="AB24" i="1"/>
  <c r="AC24" i="1"/>
  <c r="AD24" i="1"/>
  <c r="C36" i="1"/>
  <c r="C14" i="4" s="1"/>
  <c r="D36" i="1"/>
  <c r="D14" i="4" s="1"/>
  <c r="E36" i="1"/>
  <c r="E14" i="4" s="1"/>
  <c r="F36" i="1"/>
  <c r="F14" i="4" s="1"/>
  <c r="G36" i="1"/>
  <c r="G14" i="4" s="1"/>
  <c r="H36" i="1"/>
  <c r="H14" i="4" s="1"/>
  <c r="I14" i="4"/>
  <c r="J14" i="4"/>
  <c r="C37" i="1"/>
  <c r="C15" i="4" s="1"/>
  <c r="D37" i="1"/>
  <c r="D15" i="4" s="1"/>
  <c r="E37" i="1"/>
  <c r="E15" i="4" s="1"/>
  <c r="F37" i="1"/>
  <c r="F15" i="4" s="1"/>
  <c r="G37" i="1"/>
  <c r="G15" i="4" s="1"/>
  <c r="H37" i="1"/>
  <c r="H15" i="4" s="1"/>
  <c r="I15" i="4"/>
  <c r="J15" i="4"/>
  <c r="C38" i="1"/>
  <c r="C16" i="4" s="1"/>
  <c r="D38" i="1"/>
  <c r="D16" i="4" s="1"/>
  <c r="E38" i="1"/>
  <c r="E16" i="4" s="1"/>
  <c r="F38" i="1"/>
  <c r="F16" i="4" s="1"/>
  <c r="G38" i="1"/>
  <c r="G16" i="4" s="1"/>
  <c r="H38" i="1"/>
  <c r="H16" i="4" s="1"/>
  <c r="I16" i="4"/>
  <c r="J16" i="4"/>
  <c r="C39" i="1"/>
  <c r="C17" i="4" s="1"/>
  <c r="D39" i="1"/>
  <c r="E39" i="1"/>
  <c r="E17" i="4" s="1"/>
  <c r="F39" i="1"/>
  <c r="F17" i="4" s="1"/>
  <c r="G39" i="1"/>
  <c r="G17" i="4" s="1"/>
  <c r="H39" i="1"/>
  <c r="H17" i="4" s="1"/>
  <c r="I17" i="4"/>
  <c r="J17" i="4"/>
  <c r="C40" i="1"/>
  <c r="C18" i="4" s="1"/>
  <c r="D40" i="1"/>
  <c r="D18" i="4" s="1"/>
  <c r="E40" i="1"/>
  <c r="E18" i="4" s="1"/>
  <c r="F40" i="1"/>
  <c r="F18" i="4" s="1"/>
  <c r="G40" i="1"/>
  <c r="G18" i="4" s="1"/>
  <c r="H40" i="1"/>
  <c r="H18" i="4" s="1"/>
  <c r="I18" i="4"/>
  <c r="J18" i="4"/>
  <c r="C41" i="1"/>
  <c r="C19" i="4" s="1"/>
  <c r="D41" i="1"/>
  <c r="D19" i="4" s="1"/>
  <c r="E41" i="1"/>
  <c r="E19" i="4" s="1"/>
  <c r="F41" i="1"/>
  <c r="F19" i="4" s="1"/>
  <c r="G41" i="1"/>
  <c r="G19" i="4" s="1"/>
  <c r="H41" i="1"/>
  <c r="H19" i="4" s="1"/>
  <c r="I19" i="4"/>
  <c r="J19" i="4"/>
  <c r="C42" i="1"/>
  <c r="C20" i="4" s="1"/>
  <c r="D42" i="1"/>
  <c r="D20" i="4" s="1"/>
  <c r="E42" i="1"/>
  <c r="E20" i="4" s="1"/>
  <c r="F42" i="1"/>
  <c r="F20" i="4" s="1"/>
  <c r="G42" i="1"/>
  <c r="G20" i="4" s="1"/>
  <c r="H42" i="1"/>
  <c r="H20" i="4" s="1"/>
  <c r="I20" i="4"/>
  <c r="J20" i="4"/>
  <c r="C43" i="1"/>
  <c r="D43" i="1"/>
  <c r="E43" i="1"/>
  <c r="F43" i="1"/>
  <c r="G43" i="1"/>
  <c r="H43"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O39" i="1" s="1"/>
  <c r="O17" i="4" s="1"/>
  <c r="H27" i="1"/>
  <c r="H52" i="1" s="1"/>
  <c r="G27" i="1"/>
  <c r="G52" i="1" s="1"/>
  <c r="F27" i="1"/>
  <c r="F52" i="1" s="1"/>
  <c r="E4" i="4"/>
  <c r="D22" i="1"/>
  <c r="C45" i="1"/>
  <c r="G30" i="1"/>
  <c r="G8" i="4" s="1"/>
  <c r="O43" i="1"/>
  <c r="Q31" i="1"/>
  <c r="Q9" i="4" s="1"/>
  <c r="Q34" i="1"/>
  <c r="Q12" i="4" s="1"/>
  <c r="O40" i="1"/>
  <c r="O18" i="4" s="1"/>
  <c r="P28" i="1"/>
  <c r="P30" i="1"/>
  <c r="P8" i="4" s="1"/>
  <c r="P33" i="1"/>
  <c r="P11" i="4" s="1"/>
  <c r="P34" i="1"/>
  <c r="P12" i="4" s="1"/>
  <c r="O41" i="1"/>
  <c r="O19" i="4" s="1"/>
  <c r="Q28" i="1"/>
  <c r="Q33" i="1"/>
  <c r="Q11" i="4" s="1"/>
  <c r="Q35" i="1"/>
  <c r="Q13" i="4" s="1"/>
  <c r="O38" i="1"/>
  <c r="O16" i="4" s="1"/>
  <c r="Q27" i="1"/>
  <c r="Q52" i="1" s="1"/>
  <c r="H24" i="1"/>
  <c r="G24" i="1"/>
  <c r="F24" i="1"/>
  <c r="E24" i="1"/>
  <c r="D24" i="1"/>
  <c r="C24" i="1"/>
  <c r="B24" i="1"/>
  <c r="H23" i="1"/>
  <c r="G23" i="1"/>
  <c r="F23" i="1"/>
  <c r="E23" i="1"/>
  <c r="D23" i="1"/>
  <c r="C23" i="1"/>
  <c r="AE24" i="1"/>
  <c r="R24" i="1"/>
  <c r="AE23" i="1"/>
  <c r="R23" i="1"/>
  <c r="K4" i="4"/>
  <c r="K62" i="4" s="1"/>
  <c r="L4" i="4"/>
  <c r="K4" i="23"/>
  <c r="K52" i="23" s="1"/>
  <c r="L4" i="23"/>
  <c r="L27" i="23" s="1"/>
  <c r="T57" i="23"/>
  <c r="S57" i="23"/>
  <c r="AG56" i="23"/>
  <c r="AD56" i="1"/>
  <c r="AC56" i="1"/>
  <c r="Q57" i="23"/>
  <c r="AK56" i="1"/>
  <c r="AF56" i="1"/>
  <c r="U57" i="23"/>
  <c r="AB56" i="1"/>
  <c r="AJ56" i="1"/>
  <c r="AK56" i="23"/>
  <c r="P57" i="23"/>
  <c r="AG56" i="1"/>
  <c r="AB56" i="23"/>
  <c r="I57" i="23"/>
  <c r="G57" i="23"/>
  <c r="E57" i="23"/>
  <c r="AE56" i="1"/>
  <c r="AA56" i="1"/>
  <c r="W56" i="1"/>
  <c r="W56" i="23"/>
  <c r="L57" i="23"/>
  <c r="AI56" i="1"/>
  <c r="M57" i="23"/>
  <c r="AJ56" i="23"/>
  <c r="AI56" i="23"/>
  <c r="Z56" i="23"/>
  <c r="V57" i="23"/>
  <c r="Z56" i="1"/>
  <c r="Y56" i="23"/>
  <c r="AH56" i="1"/>
  <c r="C57" i="23"/>
  <c r="X56" i="1"/>
  <c r="F57" i="23"/>
  <c r="AC56" i="23"/>
  <c r="AE56" i="23"/>
  <c r="R57" i="23"/>
  <c r="H57" i="23"/>
  <c r="X56" i="23"/>
  <c r="AD56" i="23"/>
  <c r="AA56" i="23"/>
  <c r="D57" i="23"/>
  <c r="K57" i="23"/>
  <c r="J57" i="23"/>
  <c r="AH56" i="23"/>
  <c r="Y56" i="1"/>
  <c r="AF56" i="23"/>
  <c r="O9" i="12" l="1"/>
  <c r="O10" i="12" s="1"/>
  <c r="O43" i="23"/>
  <c r="G29" i="23"/>
  <c r="G23" i="4" s="1"/>
  <c r="H33" i="23"/>
  <c r="H27" i="4" s="1"/>
  <c r="I31" i="23"/>
  <c r="I25" i="4" s="1"/>
  <c r="O42" i="23"/>
  <c r="O36" i="4" s="1"/>
  <c r="O36" i="23"/>
  <c r="O30" i="4" s="1"/>
  <c r="F33" i="23"/>
  <c r="F27" i="4" s="1"/>
  <c r="G28" i="23"/>
  <c r="G22" i="4" s="1"/>
  <c r="J35" i="23"/>
  <c r="J29" i="4" s="1"/>
  <c r="O41" i="23"/>
  <c r="O35" i="4" s="1"/>
  <c r="J31" i="23"/>
  <c r="J25" i="4" s="1"/>
  <c r="O39" i="23"/>
  <c r="O33" i="4" s="1"/>
  <c r="I35" i="23"/>
  <c r="I29" i="4" s="1"/>
  <c r="H29" i="23"/>
  <c r="H23" i="4" s="1"/>
  <c r="O40" i="23"/>
  <c r="O34" i="4" s="1"/>
  <c r="F34" i="23"/>
  <c r="F28" i="4" s="1"/>
  <c r="D30" i="23"/>
  <c r="D24" i="4" s="1"/>
  <c r="F32" i="23"/>
  <c r="F26" i="4" s="1"/>
  <c r="D31" i="23"/>
  <c r="D25" i="4" s="1"/>
  <c r="H31" i="23"/>
  <c r="H25" i="4" s="1"/>
  <c r="J33" i="23"/>
  <c r="J27" i="4" s="1"/>
  <c r="D32" i="23"/>
  <c r="D26" i="4" s="1"/>
  <c r="E28" i="23"/>
  <c r="C30" i="23"/>
  <c r="C24" i="4" s="1"/>
  <c r="E32" i="23"/>
  <c r="E26" i="4" s="1"/>
  <c r="C34" i="23"/>
  <c r="C28" i="4" s="1"/>
  <c r="E34" i="23"/>
  <c r="E28" i="4" s="1"/>
  <c r="F30" i="23"/>
  <c r="F24" i="4" s="1"/>
  <c r="H32" i="23"/>
  <c r="H26" i="4" s="1"/>
  <c r="J34" i="23"/>
  <c r="J28" i="4" s="1"/>
  <c r="J28" i="23"/>
  <c r="H30" i="23"/>
  <c r="H24" i="4" s="1"/>
  <c r="J32" i="23"/>
  <c r="J26" i="4" s="1"/>
  <c r="H34" i="23"/>
  <c r="H28" i="4" s="1"/>
  <c r="F29" i="23"/>
  <c r="F23" i="4" s="1"/>
  <c r="K28" i="23"/>
  <c r="K22" i="4" s="1"/>
  <c r="O33" i="23"/>
  <c r="O27" i="4" s="1"/>
  <c r="F28" i="23"/>
  <c r="D34" i="23"/>
  <c r="D28" i="4" s="1"/>
  <c r="D35" i="23"/>
  <c r="D29" i="4" s="1"/>
  <c r="G33" i="23"/>
  <c r="G27" i="4" s="1"/>
  <c r="I28" i="23"/>
  <c r="G30" i="23"/>
  <c r="G24" i="4" s="1"/>
  <c r="I32" i="23"/>
  <c r="I26" i="4" s="1"/>
  <c r="G34" i="23"/>
  <c r="G28" i="4" s="1"/>
  <c r="I34" i="23"/>
  <c r="I28" i="4" s="1"/>
  <c r="D28" i="23"/>
  <c r="J30" i="23"/>
  <c r="J24" i="4" s="1"/>
  <c r="C33" i="23"/>
  <c r="C27" i="4" s="1"/>
  <c r="E29" i="23"/>
  <c r="E23" i="4" s="1"/>
  <c r="C31" i="23"/>
  <c r="C25" i="4" s="1"/>
  <c r="E33" i="23"/>
  <c r="E27" i="4" s="1"/>
  <c r="C35" i="23"/>
  <c r="C29" i="4" s="1"/>
  <c r="J29" i="23"/>
  <c r="J23" i="4" s="1"/>
  <c r="O29" i="23"/>
  <c r="O23" i="4" s="1"/>
  <c r="I30" i="23"/>
  <c r="I24" i="4" s="1"/>
  <c r="G32" i="23"/>
  <c r="G26" i="4" s="1"/>
  <c r="H28" i="23"/>
  <c r="E35" i="23"/>
  <c r="E29" i="4" s="1"/>
  <c r="D29" i="23"/>
  <c r="D23" i="4" s="1"/>
  <c r="F31" i="23"/>
  <c r="F25" i="4" s="1"/>
  <c r="D33" i="23"/>
  <c r="D27" i="4" s="1"/>
  <c r="F35" i="23"/>
  <c r="F29" i="4" s="1"/>
  <c r="C32" i="23"/>
  <c r="C26" i="4" s="1"/>
  <c r="H35" i="23"/>
  <c r="H29" i="4" s="1"/>
  <c r="C29" i="23"/>
  <c r="C23" i="4" s="1"/>
  <c r="E31" i="23"/>
  <c r="E25" i="4" s="1"/>
  <c r="I29" i="23"/>
  <c r="I23" i="4" s="1"/>
  <c r="G31" i="23"/>
  <c r="G25" i="4" s="1"/>
  <c r="I33" i="23"/>
  <c r="I27" i="4" s="1"/>
  <c r="G35" i="23"/>
  <c r="G29" i="4" s="1"/>
  <c r="C28" i="23"/>
  <c r="C22" i="4" s="1"/>
  <c r="E30" i="23"/>
  <c r="E24" i="4" s="1"/>
  <c r="K31" i="23"/>
  <c r="K25" i="4" s="1"/>
  <c r="M30" i="23"/>
  <c r="M24" i="4" s="1"/>
  <c r="M35" i="23"/>
  <c r="M29" i="4" s="1"/>
  <c r="K33" i="23"/>
  <c r="K27" i="4" s="1"/>
  <c r="L29" i="23"/>
  <c r="L23" i="4" s="1"/>
  <c r="O35" i="23"/>
  <c r="O29" i="4" s="1"/>
  <c r="L35" i="23"/>
  <c r="L29" i="4" s="1"/>
  <c r="M32" i="23"/>
  <c r="M26" i="4" s="1"/>
  <c r="L30" i="23"/>
  <c r="L24" i="4" s="1"/>
  <c r="K29" i="23"/>
  <c r="K23" i="4" s="1"/>
  <c r="K35" i="23"/>
  <c r="K29" i="4" s="1"/>
  <c r="M33" i="23"/>
  <c r="M27" i="4" s="1"/>
  <c r="L32" i="23"/>
  <c r="L26" i="4" s="1"/>
  <c r="M31" i="23"/>
  <c r="M25" i="4" s="1"/>
  <c r="K30" i="23"/>
  <c r="K24" i="4" s="1"/>
  <c r="M28" i="23"/>
  <c r="L33" i="23"/>
  <c r="L27" i="4" s="1"/>
  <c r="K32" i="23"/>
  <c r="K26" i="4" s="1"/>
  <c r="L31" i="23"/>
  <c r="L25" i="4" s="1"/>
  <c r="M29" i="23"/>
  <c r="M23" i="4" s="1"/>
  <c r="L28" i="23"/>
  <c r="T35" i="1"/>
  <c r="T13" i="4" s="1"/>
  <c r="S34" i="1"/>
  <c r="S12" i="4" s="1"/>
  <c r="V33" i="1"/>
  <c r="V11" i="4" s="1"/>
  <c r="U32" i="1"/>
  <c r="U10" i="4" s="1"/>
  <c r="T31" i="1"/>
  <c r="T9" i="4" s="1"/>
  <c r="S30" i="1"/>
  <c r="S8" i="4" s="1"/>
  <c r="V29" i="1"/>
  <c r="V7" i="4" s="1"/>
  <c r="U28" i="1"/>
  <c r="U6" i="4" s="1"/>
  <c r="S35" i="1"/>
  <c r="S13" i="4" s="1"/>
  <c r="V34" i="1"/>
  <c r="V12" i="4" s="1"/>
  <c r="U33" i="1"/>
  <c r="U11" i="4" s="1"/>
  <c r="T32" i="1"/>
  <c r="T10" i="4" s="1"/>
  <c r="S31" i="1"/>
  <c r="S9" i="4" s="1"/>
  <c r="V30" i="1"/>
  <c r="V8" i="4" s="1"/>
  <c r="U29" i="1"/>
  <c r="U7" i="4" s="1"/>
  <c r="T28" i="1"/>
  <c r="R33" i="1"/>
  <c r="R11" i="4" s="1"/>
  <c r="V35" i="1"/>
  <c r="V13" i="4" s="1"/>
  <c r="U34" i="1"/>
  <c r="U12" i="4" s="1"/>
  <c r="T33" i="1"/>
  <c r="T11" i="4" s="1"/>
  <c r="S32" i="1"/>
  <c r="S10" i="4" s="1"/>
  <c r="V31" i="1"/>
  <c r="V9" i="4" s="1"/>
  <c r="U30" i="1"/>
  <c r="U8" i="4" s="1"/>
  <c r="T29" i="1"/>
  <c r="T7" i="4" s="1"/>
  <c r="S28" i="1"/>
  <c r="U35" i="1"/>
  <c r="U13" i="4" s="1"/>
  <c r="T34" i="1"/>
  <c r="T12" i="4" s="1"/>
  <c r="S33" i="1"/>
  <c r="S11" i="4" s="1"/>
  <c r="V32" i="1"/>
  <c r="V10" i="4" s="1"/>
  <c r="U31" i="1"/>
  <c r="U9" i="4" s="1"/>
  <c r="T30" i="1"/>
  <c r="T8" i="4" s="1"/>
  <c r="S29" i="1"/>
  <c r="S7" i="4" s="1"/>
  <c r="V28" i="1"/>
  <c r="O42" i="1"/>
  <c r="O20" i="4" s="1"/>
  <c r="C33" i="1"/>
  <c r="C11" i="4" s="1"/>
  <c r="I28" i="1"/>
  <c r="M28" i="1"/>
  <c r="L29" i="1"/>
  <c r="L7" i="4" s="1"/>
  <c r="K30" i="1"/>
  <c r="K8" i="4" s="1"/>
  <c r="J31" i="1"/>
  <c r="J9" i="4" s="1"/>
  <c r="I32" i="1"/>
  <c r="M32" i="1"/>
  <c r="M10" i="4" s="1"/>
  <c r="L33" i="1"/>
  <c r="L11" i="4" s="1"/>
  <c r="K34" i="1"/>
  <c r="K12" i="4" s="1"/>
  <c r="J35" i="1"/>
  <c r="J13" i="4" s="1"/>
  <c r="L28" i="1"/>
  <c r="I31" i="1"/>
  <c r="K33" i="1"/>
  <c r="K11" i="4" s="1"/>
  <c r="M35" i="1"/>
  <c r="M13" i="4" s="1"/>
  <c r="J28" i="1"/>
  <c r="I29" i="1"/>
  <c r="M29" i="1"/>
  <c r="M7" i="4" s="1"/>
  <c r="L30" i="1"/>
  <c r="L8" i="4" s="1"/>
  <c r="K31" i="1"/>
  <c r="K9" i="4" s="1"/>
  <c r="J32" i="1"/>
  <c r="I33" i="1"/>
  <c r="I11" i="4" s="1"/>
  <c r="M33" i="1"/>
  <c r="M11" i="4" s="1"/>
  <c r="L34" i="1"/>
  <c r="L12" i="4" s="1"/>
  <c r="K35" i="1"/>
  <c r="K13" i="4" s="1"/>
  <c r="J30" i="1"/>
  <c r="J8" i="4" s="1"/>
  <c r="L32" i="1"/>
  <c r="L10" i="4" s="1"/>
  <c r="K28" i="1"/>
  <c r="J29" i="1"/>
  <c r="J7" i="4" s="1"/>
  <c r="I30" i="1"/>
  <c r="I8" i="4" s="1"/>
  <c r="M30" i="1"/>
  <c r="M8" i="4" s="1"/>
  <c r="L31" i="1"/>
  <c r="L9" i="4" s="1"/>
  <c r="K32" i="1"/>
  <c r="K10" i="4" s="1"/>
  <c r="J33" i="1"/>
  <c r="J11" i="4" s="1"/>
  <c r="I34" i="1"/>
  <c r="I12" i="4" s="1"/>
  <c r="M34" i="1"/>
  <c r="M12" i="4" s="1"/>
  <c r="K29" i="1"/>
  <c r="K7" i="4" s="1"/>
  <c r="M31" i="1"/>
  <c r="M9" i="4" s="1"/>
  <c r="J34" i="1"/>
  <c r="J12" i="4" s="1"/>
  <c r="F34" i="1"/>
  <c r="F12" i="4" s="1"/>
  <c r="B33" i="1"/>
  <c r="B11" i="4" s="1"/>
  <c r="G34" i="1"/>
  <c r="G12" i="4" s="1"/>
  <c r="F30" i="1"/>
  <c r="E30" i="1"/>
  <c r="E8" i="4" s="1"/>
  <c r="C35" i="1"/>
  <c r="C13" i="4" s="1"/>
  <c r="E35" i="1"/>
  <c r="E13" i="4" s="1"/>
  <c r="F33" i="1"/>
  <c r="F11" i="4" s="1"/>
  <c r="F32" i="1"/>
  <c r="F10" i="4" s="1"/>
  <c r="O32" i="1"/>
  <c r="O10" i="4" s="1"/>
  <c r="H32" i="1"/>
  <c r="H10" i="4" s="1"/>
  <c r="F29" i="1"/>
  <c r="F7" i="4" s="1"/>
  <c r="E29" i="1"/>
  <c r="E7" i="4" s="1"/>
  <c r="H33" i="1"/>
  <c r="H11" i="4" s="1"/>
  <c r="H35" i="1"/>
  <c r="H13" i="4" s="1"/>
  <c r="H30" i="1"/>
  <c r="H8" i="4" s="1"/>
  <c r="G35" i="1"/>
  <c r="G13" i="4" s="1"/>
  <c r="E33" i="1"/>
  <c r="E11" i="4" s="1"/>
  <c r="F35" i="1"/>
  <c r="F13" i="4" s="1"/>
  <c r="D33" i="1"/>
  <c r="D11" i="4" s="1"/>
  <c r="H31" i="1"/>
  <c r="H9" i="4" s="1"/>
  <c r="D35" i="1"/>
  <c r="D13" i="4" s="1"/>
  <c r="H34" i="1"/>
  <c r="H12" i="4" s="1"/>
  <c r="G29" i="1"/>
  <c r="E32" i="1"/>
  <c r="E10" i="4" s="1"/>
  <c r="C29" i="1"/>
  <c r="C7" i="4" s="1"/>
  <c r="B28" i="1"/>
  <c r="B29" i="1"/>
  <c r="E22" i="4"/>
  <c r="F22" i="4"/>
  <c r="AJ6" i="4"/>
  <c r="AF6" i="4"/>
  <c r="AB6" i="4"/>
  <c r="X6" i="4"/>
  <c r="M22" i="4"/>
  <c r="P6" i="4"/>
  <c r="Q6" i="4"/>
  <c r="H22" i="4"/>
  <c r="I22" i="4"/>
  <c r="D22" i="4"/>
  <c r="J22" i="4"/>
  <c r="AE6" i="4"/>
  <c r="AA6" i="4"/>
  <c r="S6" i="4"/>
  <c r="L22" i="4"/>
  <c r="AH22" i="4"/>
  <c r="AD22" i="4"/>
  <c r="Z22" i="4"/>
  <c r="AH6" i="4"/>
  <c r="AD6" i="4"/>
  <c r="AK22" i="4"/>
  <c r="AG22" i="4"/>
  <c r="AC22" i="4"/>
  <c r="Y22" i="4"/>
  <c r="Q22" i="4"/>
  <c r="M6" i="4"/>
  <c r="AK6" i="4"/>
  <c r="AG6" i="4"/>
  <c r="AC6" i="4"/>
  <c r="Y6" i="4"/>
  <c r="AJ22" i="4"/>
  <c r="AF22" i="4"/>
  <c r="AB22" i="4"/>
  <c r="X22" i="4"/>
  <c r="P22" i="4"/>
  <c r="AI4" i="33"/>
  <c r="AH4" i="33"/>
  <c r="AH22" i="33" s="1"/>
  <c r="AJ4" i="33"/>
  <c r="AJ22" i="33" s="1"/>
  <c r="AF4" i="33"/>
  <c r="AF27" i="33" s="1"/>
  <c r="AF52" i="33" s="1"/>
  <c r="AB4" i="33"/>
  <c r="AB27" i="33" s="1"/>
  <c r="AB52" i="33" s="1"/>
  <c r="X4" i="33"/>
  <c r="X45" i="33" s="1"/>
  <c r="T4" i="33"/>
  <c r="T22" i="33" s="1"/>
  <c r="Q22" i="1"/>
  <c r="S9" i="12"/>
  <c r="S10" i="12" s="1"/>
  <c r="N9" i="12"/>
  <c r="N10" i="12" s="1"/>
  <c r="M9" i="12"/>
  <c r="M10" i="12" s="1"/>
  <c r="I9" i="12"/>
  <c r="I10" i="12" s="1"/>
  <c r="P9" i="12"/>
  <c r="P10" i="12" s="1"/>
  <c r="R35" i="1"/>
  <c r="R13" i="4" s="1"/>
  <c r="G32" i="1"/>
  <c r="G10" i="4" s="1"/>
  <c r="H29" i="1"/>
  <c r="E28" i="1"/>
  <c r="D34" i="1"/>
  <c r="D12" i="4" s="1"/>
  <c r="I9" i="4"/>
  <c r="F28" i="1"/>
  <c r="R41" i="1"/>
  <c r="R19" i="4" s="1"/>
  <c r="R37" i="1"/>
  <c r="R15" i="4" s="1"/>
  <c r="Q29" i="1"/>
  <c r="O37" i="1"/>
  <c r="O15" i="4" s="1"/>
  <c r="P29" i="1"/>
  <c r="B34" i="1"/>
  <c r="B12" i="4" s="1"/>
  <c r="B35" i="1"/>
  <c r="B13" i="4" s="1"/>
  <c r="C34" i="1"/>
  <c r="C12" i="4" s="1"/>
  <c r="G31" i="1"/>
  <c r="G9" i="4" s="1"/>
  <c r="H28" i="1"/>
  <c r="E34" i="1"/>
  <c r="F31" i="1"/>
  <c r="G28" i="1"/>
  <c r="I10" i="4"/>
  <c r="G33" i="1"/>
  <c r="E31" i="1"/>
  <c r="E9" i="4" s="1"/>
  <c r="R42" i="1"/>
  <c r="R20" i="4" s="1"/>
  <c r="R38" i="1"/>
  <c r="R16" i="4" s="1"/>
  <c r="R34" i="1"/>
  <c r="R12" i="4" s="1"/>
  <c r="L74" i="4"/>
  <c r="H2" i="12" s="1"/>
  <c r="L62" i="4"/>
  <c r="AB22" i="33"/>
  <c r="AB45" i="33"/>
  <c r="E55" i="4"/>
  <c r="E62" i="4"/>
  <c r="AI27" i="33"/>
  <c r="AI52" i="33" s="1"/>
  <c r="AI45" i="33"/>
  <c r="AI22" i="33"/>
  <c r="K9" i="12"/>
  <c r="K10" i="12" s="1"/>
  <c r="P21" i="4"/>
  <c r="I52" i="23"/>
  <c r="R4" i="33"/>
  <c r="AD4" i="33"/>
  <c r="Z4" i="33"/>
  <c r="X21" i="4"/>
  <c r="AD37" i="4"/>
  <c r="Z37" i="4"/>
  <c r="V37" i="4"/>
  <c r="R37" i="4"/>
  <c r="K37" i="4"/>
  <c r="I45" i="23"/>
  <c r="AK4" i="33"/>
  <c r="AG4" i="33"/>
  <c r="AC4" i="33"/>
  <c r="U4" i="33"/>
  <c r="O21" i="4"/>
  <c r="R21" i="4"/>
  <c r="Q21" i="4"/>
  <c r="AE4" i="33"/>
  <c r="AA4" i="33"/>
  <c r="S4" i="33"/>
  <c r="C27" i="23"/>
  <c r="C52" i="23" s="1"/>
  <c r="I27" i="23"/>
  <c r="AD21" i="4"/>
  <c r="AB21" i="4"/>
  <c r="Z21" i="4"/>
  <c r="V21" i="4"/>
  <c r="T21" i="4"/>
  <c r="B21" i="4"/>
  <c r="O37" i="23"/>
  <c r="O31" i="4" s="1"/>
  <c r="O34" i="23"/>
  <c r="O28" i="4" s="1"/>
  <c r="O38" i="23"/>
  <c r="AB37" i="4"/>
  <c r="T37" i="4"/>
  <c r="B38" i="23"/>
  <c r="F37" i="4"/>
  <c r="AA37" i="4"/>
  <c r="AH37" i="4"/>
  <c r="L37" i="4"/>
  <c r="X37" i="4"/>
  <c r="P37" i="4"/>
  <c r="W37" i="4"/>
  <c r="S37" i="4"/>
  <c r="J37" i="4"/>
  <c r="H37" i="4"/>
  <c r="M37" i="4"/>
  <c r="O37" i="4"/>
  <c r="AK37" i="4"/>
  <c r="Q4" i="4"/>
  <c r="Q62" i="4" s="1"/>
  <c r="H7" i="22"/>
  <c r="Z4" i="1"/>
  <c r="Z4" i="4" s="1"/>
  <c r="Z74" i="4" s="1"/>
  <c r="A44" i="22"/>
  <c r="H22" i="22"/>
  <c r="H19" i="22"/>
  <c r="H15" i="22"/>
  <c r="H25" i="22"/>
  <c r="H21" i="22"/>
  <c r="H18" i="22"/>
  <c r="P27" i="23"/>
  <c r="P52" i="23" s="1"/>
  <c r="H20" i="22"/>
  <c r="H17" i="22"/>
  <c r="H23" i="22"/>
  <c r="H16" i="22"/>
  <c r="A49" i="22"/>
  <c r="J4" i="4"/>
  <c r="J4" i="23"/>
  <c r="J45" i="23" s="1"/>
  <c r="M4" i="23"/>
  <c r="M27" i="23" s="1"/>
  <c r="H10" i="22"/>
  <c r="M4" i="4"/>
  <c r="H13" i="22"/>
  <c r="H12" i="22"/>
  <c r="H11" i="22"/>
  <c r="H9" i="22"/>
  <c r="H8" i="22"/>
  <c r="O32" i="23"/>
  <c r="O31" i="23"/>
  <c r="O25" i="4" s="1"/>
  <c r="O30" i="23"/>
  <c r="O24" i="4" s="1"/>
  <c r="B33" i="23"/>
  <c r="B27" i="4" s="1"/>
  <c r="R46" i="23"/>
  <c r="R53" i="23" s="1"/>
  <c r="B28" i="23"/>
  <c r="B30" i="23"/>
  <c r="B24" i="4" s="1"/>
  <c r="B34" i="23"/>
  <c r="B28" i="4" s="1"/>
  <c r="B35" i="23"/>
  <c r="AA46" i="23"/>
  <c r="AA53" i="23" s="1"/>
  <c r="O28" i="23"/>
  <c r="B31" i="23"/>
  <c r="B25" i="4" s="1"/>
  <c r="G47" i="23"/>
  <c r="G48" i="23" s="1"/>
  <c r="G54" i="23" s="1"/>
  <c r="B29" i="23"/>
  <c r="B23" i="4" s="1"/>
  <c r="P46" i="23"/>
  <c r="P53" i="23" s="1"/>
  <c r="Q32" i="1"/>
  <c r="P32" i="1"/>
  <c r="P10" i="4" s="1"/>
  <c r="D4" i="4"/>
  <c r="P23" i="4"/>
  <c r="O29" i="1"/>
  <c r="O7" i="4" s="1"/>
  <c r="B27" i="23"/>
  <c r="B52" i="23" s="1"/>
  <c r="K45" i="23"/>
  <c r="E27" i="23"/>
  <c r="E52" i="23" s="1"/>
  <c r="Q30" i="1"/>
  <c r="Q8" i="4" s="1"/>
  <c r="B7" i="4"/>
  <c r="P35" i="1"/>
  <c r="P13" i="4" s="1"/>
  <c r="P31" i="1"/>
  <c r="P9" i="4" s="1"/>
  <c r="H22" i="23"/>
  <c r="AA23" i="4"/>
  <c r="AB47" i="23"/>
  <c r="AB48" i="23" s="1"/>
  <c r="AB54" i="23" s="1"/>
  <c r="V47" i="23"/>
  <c r="V48" i="23" s="1"/>
  <c r="V54" i="23" s="1"/>
  <c r="Z47" i="23"/>
  <c r="Z48" i="23" s="1"/>
  <c r="Z54" i="23" s="1"/>
  <c r="R47" i="23"/>
  <c r="R48" i="23" s="1"/>
  <c r="R54" i="23" s="1"/>
  <c r="P37" i="1"/>
  <c r="F22" i="23"/>
  <c r="AF46" i="23"/>
  <c r="AF53" i="23" s="1"/>
  <c r="AD47" i="23"/>
  <c r="AD48" i="23" s="1"/>
  <c r="AD54" i="23" s="1"/>
  <c r="O36" i="1"/>
  <c r="Q46" i="23"/>
  <c r="Q53" i="23" s="1"/>
  <c r="H45" i="23"/>
  <c r="AK47" i="23"/>
  <c r="AK48" i="23" s="1"/>
  <c r="AK54" i="23" s="1"/>
  <c r="AA47" i="23"/>
  <c r="AA48" i="23" s="1"/>
  <c r="AA54" i="23" s="1"/>
  <c r="Q47" i="23"/>
  <c r="Q48" i="23" s="1"/>
  <c r="Q54" i="23" s="1"/>
  <c r="AB23" i="4"/>
  <c r="U46" i="23"/>
  <c r="U53" i="23" s="1"/>
  <c r="AB46" i="23"/>
  <c r="AB53" i="23" s="1"/>
  <c r="X47" i="23"/>
  <c r="X48" i="23" s="1"/>
  <c r="X54" i="23" s="1"/>
  <c r="T46" i="23"/>
  <c r="T53" i="23" s="1"/>
  <c r="R31" i="1"/>
  <c r="R9" i="4" s="1"/>
  <c r="R22" i="4"/>
  <c r="V22" i="4"/>
  <c r="X27" i="4"/>
  <c r="AB27" i="4"/>
  <c r="U29" i="4"/>
  <c r="AJ46" i="23"/>
  <c r="AJ53" i="23" s="1"/>
  <c r="AF47" i="23"/>
  <c r="AF48" i="23" s="1"/>
  <c r="AF54" i="23" s="1"/>
  <c r="AC46" i="23"/>
  <c r="AC53" i="23" s="1"/>
  <c r="T47" i="23"/>
  <c r="T48" i="23" s="1"/>
  <c r="T54" i="23" s="1"/>
  <c r="T27" i="4"/>
  <c r="X46" i="23"/>
  <c r="X53" i="23" s="1"/>
  <c r="Y47" i="23"/>
  <c r="Y48" i="23" s="1"/>
  <c r="Y54" i="23" s="1"/>
  <c r="AJ47" i="23"/>
  <c r="AJ48" i="23" s="1"/>
  <c r="AJ54" i="23" s="1"/>
  <c r="AG46" i="23"/>
  <c r="AG53" i="23" s="1"/>
  <c r="H46" i="23"/>
  <c r="H53" i="23" s="1"/>
  <c r="AG47" i="23"/>
  <c r="AG48" i="23" s="1"/>
  <c r="AG54" i="23" s="1"/>
  <c r="AK46" i="23"/>
  <c r="AK53" i="23" s="1"/>
  <c r="AH57" i="1"/>
  <c r="AD57" i="1"/>
  <c r="Z57" i="1"/>
  <c r="AJ57" i="23"/>
  <c r="AG57" i="23"/>
  <c r="AC57" i="23"/>
  <c r="Y57" i="23"/>
  <c r="AK57" i="1"/>
  <c r="AG57" i="1"/>
  <c r="AC57" i="1"/>
  <c r="Y57" i="1"/>
  <c r="AI57" i="23"/>
  <c r="AF57" i="23"/>
  <c r="AB57" i="23"/>
  <c r="X57" i="23"/>
  <c r="AJ57" i="1"/>
  <c r="AF57" i="1"/>
  <c r="AB57" i="1"/>
  <c r="X57" i="1"/>
  <c r="AE57" i="23"/>
  <c r="AA57" i="23"/>
  <c r="W57" i="23"/>
  <c r="AI57" i="1"/>
  <c r="AE57" i="1"/>
  <c r="AA57" i="1"/>
  <c r="W57" i="1"/>
  <c r="AK57" i="23"/>
  <c r="AH57" i="23"/>
  <c r="AD57" i="23"/>
  <c r="Z57" i="23"/>
  <c r="J21" i="4"/>
  <c r="E37" i="4"/>
  <c r="M21" i="4"/>
  <c r="R28" i="1"/>
  <c r="AJ37" i="4"/>
  <c r="AG37" i="4"/>
  <c r="R30" i="1"/>
  <c r="R8" i="4" s="1"/>
  <c r="L21" i="4"/>
  <c r="AG21" i="4"/>
  <c r="AC21" i="4"/>
  <c r="Y21" i="4"/>
  <c r="U21" i="4"/>
  <c r="AI37" i="4"/>
  <c r="AF37" i="4"/>
  <c r="R29" i="1"/>
  <c r="R7" i="4" s="1"/>
  <c r="D21" i="4"/>
  <c r="C37" i="4"/>
  <c r="I37" i="4"/>
  <c r="K21" i="4"/>
  <c r="AE37" i="4"/>
  <c r="P36" i="1"/>
  <c r="P14" i="4" s="1"/>
  <c r="R32" i="1"/>
  <c r="C21" i="4"/>
  <c r="B37" i="4"/>
  <c r="D37" i="4"/>
  <c r="G37" i="4"/>
  <c r="O34" i="1"/>
  <c r="O12" i="4" s="1"/>
  <c r="O35" i="1"/>
  <c r="O13" i="4" s="1"/>
  <c r="O33" i="1"/>
  <c r="O11" i="4" s="1"/>
  <c r="O30" i="1"/>
  <c r="O8" i="4" s="1"/>
  <c r="B31" i="1"/>
  <c r="B9" i="4" s="1"/>
  <c r="O31" i="1"/>
  <c r="O9" i="4" s="1"/>
  <c r="W47" i="1"/>
  <c r="W48" i="1" s="1"/>
  <c r="W54" i="1" s="1"/>
  <c r="X46" i="1"/>
  <c r="X53" i="1" s="1"/>
  <c r="Y46" i="1"/>
  <c r="Y53" i="1" s="1"/>
  <c r="B32" i="1"/>
  <c r="D28" i="1"/>
  <c r="C32" i="1"/>
  <c r="X7" i="4"/>
  <c r="AH46" i="1"/>
  <c r="AH53" i="1" s="1"/>
  <c r="D32" i="1"/>
  <c r="X47" i="1"/>
  <c r="X48" i="1" s="1"/>
  <c r="X54" i="1" s="1"/>
  <c r="B30" i="1"/>
  <c r="B8" i="4" s="1"/>
  <c r="C28" i="1"/>
  <c r="D31" i="1"/>
  <c r="D9" i="4" s="1"/>
  <c r="AB47" i="1"/>
  <c r="AB48" i="1" s="1"/>
  <c r="AB54" i="1" s="1"/>
  <c r="AI6" i="4"/>
  <c r="AI47" i="1"/>
  <c r="AI48" i="1" s="1"/>
  <c r="AI54" i="1" s="1"/>
  <c r="AI46" i="1"/>
  <c r="AI53" i="1" s="1"/>
  <c r="AA46" i="1"/>
  <c r="AA53" i="1" s="1"/>
  <c r="AA47" i="1"/>
  <c r="AA48" i="1" s="1"/>
  <c r="AA54" i="1" s="1"/>
  <c r="W46" i="1"/>
  <c r="W53" i="1" s="1"/>
  <c r="Z46" i="1"/>
  <c r="Z53" i="1" s="1"/>
  <c r="Z47" i="1"/>
  <c r="Z48" i="1" s="1"/>
  <c r="Z54" i="1" s="1"/>
  <c r="Z6" i="4"/>
  <c r="O28" i="1"/>
  <c r="C30" i="1"/>
  <c r="C8" i="4" s="1"/>
  <c r="C31" i="1"/>
  <c r="C9" i="4" s="1"/>
  <c r="D29" i="1"/>
  <c r="D7" i="4" s="1"/>
  <c r="D30" i="1"/>
  <c r="AC47" i="1"/>
  <c r="AC48" i="1" s="1"/>
  <c r="AC54" i="1" s="1"/>
  <c r="S47" i="1"/>
  <c r="S48" i="1" s="1"/>
  <c r="S54" i="1" s="1"/>
  <c r="AB46" i="1"/>
  <c r="AB53" i="1" s="1"/>
  <c r="Y12" i="4"/>
  <c r="X11" i="4"/>
  <c r="AH47" i="1"/>
  <c r="AH48" i="1" s="1"/>
  <c r="AH54" i="1" s="1"/>
  <c r="AF9" i="4"/>
  <c r="AF46" i="1"/>
  <c r="AF53" i="1" s="1"/>
  <c r="AF47" i="1"/>
  <c r="AF48" i="1" s="1"/>
  <c r="AF54" i="1" s="1"/>
  <c r="AD46" i="1"/>
  <c r="AD53" i="1" s="1"/>
  <c r="AD47" i="1"/>
  <c r="AD48" i="1" s="1"/>
  <c r="AD54" i="1" s="1"/>
  <c r="V46" i="1"/>
  <c r="V53" i="1" s="1"/>
  <c r="V6" i="4"/>
  <c r="V47" i="1"/>
  <c r="V48" i="1" s="1"/>
  <c r="V54" i="1" s="1"/>
  <c r="Y47" i="1"/>
  <c r="Y48" i="1" s="1"/>
  <c r="Y54" i="1" s="1"/>
  <c r="W6" i="4"/>
  <c r="W63" i="4" s="1"/>
  <c r="W64" i="4" s="1"/>
  <c r="AG46" i="1"/>
  <c r="AG53" i="1" s="1"/>
  <c r="AG11" i="4"/>
  <c r="AG47" i="1"/>
  <c r="AG48" i="1" s="1"/>
  <c r="AG54" i="1" s="1"/>
  <c r="AC46" i="1"/>
  <c r="AC53" i="1" s="1"/>
  <c r="U47" i="1"/>
  <c r="U48" i="1" s="1"/>
  <c r="U54" i="1" s="1"/>
  <c r="AH21" i="4"/>
  <c r="AE21" i="4"/>
  <c r="G21" i="4"/>
  <c r="AK21" i="4"/>
  <c r="I21" i="4"/>
  <c r="F21" i="4"/>
  <c r="AJ21" i="4"/>
  <c r="H21" i="4"/>
  <c r="E21" i="4"/>
  <c r="AI21" i="4"/>
  <c r="AF21" i="4"/>
  <c r="L52" i="23"/>
  <c r="D17" i="4"/>
  <c r="F8" i="4"/>
  <c r="J10" i="4"/>
  <c r="G7" i="4"/>
  <c r="C4" i="4"/>
  <c r="P47" i="23"/>
  <c r="P48" i="23" s="1"/>
  <c r="P54" i="23" s="1"/>
  <c r="E47" i="23"/>
  <c r="E48" i="23" s="1"/>
  <c r="E54" i="23" s="1"/>
  <c r="U47" i="23"/>
  <c r="U48" i="23" s="1"/>
  <c r="U54" i="23" s="1"/>
  <c r="A47" i="22"/>
  <c r="C46" i="23"/>
  <c r="C53" i="23" s="1"/>
  <c r="G27" i="23"/>
  <c r="G52" i="23" s="1"/>
  <c r="A50" i="22"/>
  <c r="H50" i="22" s="1"/>
  <c r="AC47" i="23"/>
  <c r="AC48" i="23" s="1"/>
  <c r="AC54" i="23" s="1"/>
  <c r="Y46" i="23"/>
  <c r="Y53" i="23" s="1"/>
  <c r="K27" i="23"/>
  <c r="I7" i="4"/>
  <c r="D27" i="1"/>
  <c r="D52" i="1" s="1"/>
  <c r="D45" i="1"/>
  <c r="D22" i="23"/>
  <c r="D45" i="23"/>
  <c r="D27" i="23"/>
  <c r="D52" i="23" s="1"/>
  <c r="W47" i="23"/>
  <c r="W48" i="23" s="1"/>
  <c r="W54" i="23" s="1"/>
  <c r="S46" i="23"/>
  <c r="S53" i="23" s="1"/>
  <c r="S47" i="23"/>
  <c r="S48" i="23" s="1"/>
  <c r="S54" i="23" s="1"/>
  <c r="AD46" i="23"/>
  <c r="AD53" i="23" s="1"/>
  <c r="V46" i="23"/>
  <c r="V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I22" i="4"/>
  <c r="AI47" i="23"/>
  <c r="AI48" i="23" s="1"/>
  <c r="AI54" i="23" s="1"/>
  <c r="Z46" i="23"/>
  <c r="Z53" i="23" s="1"/>
  <c r="E22" i="23"/>
  <c r="AJ47" i="1"/>
  <c r="AJ48" i="1" s="1"/>
  <c r="AJ54" i="1" s="1"/>
  <c r="AJ46" i="1"/>
  <c r="AJ53" i="1" s="1"/>
  <c r="AE46" i="23"/>
  <c r="AE53" i="23" s="1"/>
  <c r="AH30" i="4"/>
  <c r="AH46" i="23"/>
  <c r="AH53" i="23" s="1"/>
  <c r="G22" i="23"/>
  <c r="K22" i="23"/>
  <c r="L45" i="23"/>
  <c r="O22" i="23"/>
  <c r="Q22" i="23"/>
  <c r="B22" i="23"/>
  <c r="C22" i="23"/>
  <c r="L22" i="23"/>
  <c r="Q27" i="23"/>
  <c r="Q52" i="23" s="1"/>
  <c r="O27" i="23"/>
  <c r="O52" i="23" s="1"/>
  <c r="E45" i="1"/>
  <c r="B27" i="1"/>
  <c r="B52" i="1" s="1"/>
  <c r="F4" i="4"/>
  <c r="G22" i="1"/>
  <c r="F45" i="1"/>
  <c r="C22" i="1"/>
  <c r="B22" i="1"/>
  <c r="G45" i="1"/>
  <c r="E27" i="1"/>
  <c r="E52" i="1" s="1"/>
  <c r="E22" i="1"/>
  <c r="P27" i="1"/>
  <c r="P52" i="1" s="1"/>
  <c r="H4" i="4"/>
  <c r="F22" i="1"/>
  <c r="I4" i="4"/>
  <c r="G4" i="4"/>
  <c r="C27" i="1"/>
  <c r="C52" i="1" s="1"/>
  <c r="B45" i="1"/>
  <c r="K74" i="4"/>
  <c r="G2" i="12" s="1"/>
  <c r="H22" i="1"/>
  <c r="O4" i="4"/>
  <c r="H45" i="1"/>
  <c r="O45" i="1"/>
  <c r="P4" i="4"/>
  <c r="P45" i="1"/>
  <c r="O27" i="1"/>
  <c r="O52" i="1" s="1"/>
  <c r="K55" i="4"/>
  <c r="B55" i="4"/>
  <c r="H9" i="12"/>
  <c r="H10" i="12" s="1"/>
  <c r="G9" i="12"/>
  <c r="G10" i="12" s="1"/>
  <c r="E9" i="12"/>
  <c r="E10" i="12" s="1"/>
  <c r="L55" i="4"/>
  <c r="E74" i="4"/>
  <c r="B74" i="4"/>
  <c r="T9" i="12"/>
  <c r="T10" i="12" s="1"/>
  <c r="F9" i="12"/>
  <c r="F10" i="12" s="1"/>
  <c r="L9" i="12"/>
  <c r="L10" i="12" s="1"/>
  <c r="J9" i="12"/>
  <c r="J10" i="12" s="1"/>
  <c r="R9" i="12"/>
  <c r="R10" i="12" s="1"/>
  <c r="W78" i="4"/>
  <c r="AG78" i="4"/>
  <c r="X78" i="4"/>
  <c r="AK78" i="4"/>
  <c r="AA78" i="4"/>
  <c r="Y78" i="4"/>
  <c r="AI78" i="4"/>
  <c r="AH78" i="4"/>
  <c r="AC78" i="4"/>
  <c r="AJ78" i="4"/>
  <c r="AD78" i="4"/>
  <c r="O57" i="23"/>
  <c r="AB78" i="4"/>
  <c r="AF78" i="4"/>
  <c r="Z78" i="4"/>
  <c r="AE78" i="4"/>
  <c r="S78" i="4"/>
  <c r="V78" i="4"/>
  <c r="U78" i="4"/>
  <c r="M78" i="4"/>
  <c r="S56" i="1"/>
  <c r="V56" i="1"/>
  <c r="E56" i="1"/>
  <c r="P56" i="1"/>
  <c r="U56" i="1"/>
  <c r="C56" i="1"/>
  <c r="L56" i="1"/>
  <c r="J56" i="1"/>
  <c r="K56" i="1"/>
  <c r="G56" i="1"/>
  <c r="R56" i="1"/>
  <c r="O56" i="1"/>
  <c r="Q56" i="1"/>
  <c r="H56" i="1"/>
  <c r="D56" i="1"/>
  <c r="T56" i="1"/>
  <c r="I56" i="1"/>
  <c r="B56" i="1"/>
  <c r="F56" i="1"/>
  <c r="I47" i="23" l="1"/>
  <c r="I48" i="23" s="1"/>
  <c r="I54" i="23" s="1"/>
  <c r="E46" i="23"/>
  <c r="E53" i="23" s="1"/>
  <c r="G46" i="23"/>
  <c r="G53" i="23" s="1"/>
  <c r="M46" i="23"/>
  <c r="M53" i="23" s="1"/>
  <c r="J46" i="23"/>
  <c r="J53" i="23" s="1"/>
  <c r="F47" i="23"/>
  <c r="F48" i="23" s="1"/>
  <c r="F54" i="23" s="1"/>
  <c r="J47" i="23"/>
  <c r="J48" i="23" s="1"/>
  <c r="J54" i="23" s="1"/>
  <c r="D46" i="23"/>
  <c r="D53" i="23" s="1"/>
  <c r="L47" i="23"/>
  <c r="L48" i="23" s="1"/>
  <c r="L54" i="23" s="1"/>
  <c r="D47" i="23"/>
  <c r="D48" i="23" s="1"/>
  <c r="D54" i="23" s="1"/>
  <c r="F46" i="23"/>
  <c r="F53" i="23" s="1"/>
  <c r="I46" i="23"/>
  <c r="I53" i="23" s="1"/>
  <c r="C47" i="23"/>
  <c r="C48" i="23" s="1"/>
  <c r="C54" i="23" s="1"/>
  <c r="H47" i="23"/>
  <c r="H48" i="23" s="1"/>
  <c r="H54" i="23" s="1"/>
  <c r="K46" i="23"/>
  <c r="K53" i="23" s="1"/>
  <c r="L46" i="23"/>
  <c r="L53" i="23" s="1"/>
  <c r="M47" i="23"/>
  <c r="M48" i="23" s="1"/>
  <c r="M54" i="23" s="1"/>
  <c r="K47" i="23"/>
  <c r="K48" i="23" s="1"/>
  <c r="K54" i="23" s="1"/>
  <c r="AE63" i="4"/>
  <c r="AE64" i="4" s="1"/>
  <c r="AJ63" i="4"/>
  <c r="AJ64" i="4" s="1"/>
  <c r="I57" i="1"/>
  <c r="T57" i="1"/>
  <c r="K57" i="1"/>
  <c r="J57" i="1"/>
  <c r="L57" i="1"/>
  <c r="U57" i="1"/>
  <c r="V57" i="1"/>
  <c r="S57" i="1"/>
  <c r="S46" i="1"/>
  <c r="S53" i="1" s="1"/>
  <c r="T6" i="4"/>
  <c r="T63" i="4" s="1"/>
  <c r="T64" i="4" s="1"/>
  <c r="O46" i="1"/>
  <c r="T47" i="1"/>
  <c r="T48" i="1" s="1"/>
  <c r="T54" i="1" s="1"/>
  <c r="T46" i="1"/>
  <c r="T53" i="1" s="1"/>
  <c r="K6" i="4"/>
  <c r="K63" i="4" s="1"/>
  <c r="K64" i="4" s="1"/>
  <c r="J6" i="4"/>
  <c r="L6" i="4"/>
  <c r="L63" i="4" s="1"/>
  <c r="L64" i="4" s="1"/>
  <c r="U46" i="1"/>
  <c r="U53" i="1" s="1"/>
  <c r="M63" i="4"/>
  <c r="M64" i="4" s="1"/>
  <c r="K47" i="1"/>
  <c r="K48" i="1" s="1"/>
  <c r="K54" i="1" s="1"/>
  <c r="K46" i="1"/>
  <c r="K53" i="1" s="1"/>
  <c r="J46" i="1"/>
  <c r="J53" i="1" s="1"/>
  <c r="J47" i="1"/>
  <c r="J48" i="1" s="1"/>
  <c r="J54" i="1" s="1"/>
  <c r="L46" i="1"/>
  <c r="L53" i="1" s="1"/>
  <c r="L47" i="1"/>
  <c r="L48" i="1" s="1"/>
  <c r="L54" i="1" s="1"/>
  <c r="M46" i="1"/>
  <c r="M53" i="1" s="1"/>
  <c r="M47" i="1"/>
  <c r="M48" i="1" s="1"/>
  <c r="M54" i="1" s="1"/>
  <c r="I46" i="1"/>
  <c r="I53" i="1" s="1"/>
  <c r="I47" i="1"/>
  <c r="I48" i="1" s="1"/>
  <c r="I54" i="1" s="1"/>
  <c r="AK63" i="4"/>
  <c r="AK64" i="4" s="1"/>
  <c r="F46" i="1"/>
  <c r="F53" i="1" s="1"/>
  <c r="AC63" i="4"/>
  <c r="AC64" i="4" s="1"/>
  <c r="Y57" i="4"/>
  <c r="Y58" i="4" s="1"/>
  <c r="Y76" i="4" s="1"/>
  <c r="S63" i="4"/>
  <c r="S64" i="4" s="1"/>
  <c r="P47" i="1"/>
  <c r="P48" i="1" s="1"/>
  <c r="P54" i="1" s="1"/>
  <c r="AA63" i="4"/>
  <c r="AA64" i="4" s="1"/>
  <c r="AG63" i="4"/>
  <c r="AG64" i="4" s="1"/>
  <c r="AD63" i="4"/>
  <c r="AD64" i="4" s="1"/>
  <c r="D6" i="4"/>
  <c r="R6" i="4"/>
  <c r="C6" i="4"/>
  <c r="B22" i="4"/>
  <c r="I6" i="4"/>
  <c r="P7" i="4"/>
  <c r="E6" i="4"/>
  <c r="H6" i="4"/>
  <c r="F6" i="4"/>
  <c r="O6" i="4"/>
  <c r="B6" i="4"/>
  <c r="G6" i="4"/>
  <c r="Q7" i="4"/>
  <c r="AF63" i="4"/>
  <c r="AF64" i="4" s="1"/>
  <c r="X63" i="4"/>
  <c r="X64" i="4" s="1"/>
  <c r="U63" i="4"/>
  <c r="U64" i="4" s="1"/>
  <c r="AB63" i="4"/>
  <c r="AB64" i="4" s="1"/>
  <c r="J63" i="4"/>
  <c r="J64" i="4" s="1"/>
  <c r="AH63" i="4"/>
  <c r="AH64" i="4" s="1"/>
  <c r="V63" i="4"/>
  <c r="V64" i="4" s="1"/>
  <c r="Z63" i="4"/>
  <c r="Z64" i="4" s="1"/>
  <c r="AI63" i="4"/>
  <c r="AI64" i="4" s="1"/>
  <c r="AC56" i="4"/>
  <c r="AC75" i="4" s="1"/>
  <c r="Y63" i="4"/>
  <c r="Y64" i="4" s="1"/>
  <c r="AH27" i="33"/>
  <c r="AH52" i="33" s="1"/>
  <c r="AJ27" i="33"/>
  <c r="AJ52" i="33" s="1"/>
  <c r="H47" i="22"/>
  <c r="H49" i="22"/>
  <c r="H44" i="22"/>
  <c r="AH45" i="33"/>
  <c r="AF45" i="33"/>
  <c r="A46" i="22"/>
  <c r="H46" i="22" s="1"/>
  <c r="AD4" i="1"/>
  <c r="AD22" i="1" s="1"/>
  <c r="T27" i="33"/>
  <c r="T52" i="33" s="1"/>
  <c r="AF22" i="33"/>
  <c r="AJ45" i="33"/>
  <c r="A34" i="22"/>
  <c r="H34" i="22" s="1"/>
  <c r="A35" i="22"/>
  <c r="H35" i="22" s="1"/>
  <c r="AE4" i="1"/>
  <c r="AE45" i="1" s="1"/>
  <c r="T45" i="33"/>
  <c r="A38" i="22"/>
  <c r="H38" i="22" s="1"/>
  <c r="X27" i="33"/>
  <c r="X52" i="33" s="1"/>
  <c r="A42" i="22"/>
  <c r="H42" i="22" s="1"/>
  <c r="X22" i="33"/>
  <c r="AD4" i="23"/>
  <c r="AD22" i="23" s="1"/>
  <c r="A40" i="22"/>
  <c r="H40" i="22" s="1"/>
  <c r="F47" i="1"/>
  <c r="F48" i="1" s="1"/>
  <c r="F54" i="1" s="1"/>
  <c r="G47" i="1"/>
  <c r="G48" i="1" s="1"/>
  <c r="G54" i="1" s="1"/>
  <c r="E47" i="1"/>
  <c r="E48" i="1" s="1"/>
  <c r="E54" i="1" s="1"/>
  <c r="Q46" i="1"/>
  <c r="Q53" i="1" s="1"/>
  <c r="E46" i="1"/>
  <c r="E53" i="1" s="1"/>
  <c r="Q47" i="1"/>
  <c r="Q48" i="1" s="1"/>
  <c r="Q54" i="1" s="1"/>
  <c r="Q74" i="4"/>
  <c r="A51" i="22"/>
  <c r="H51" i="22" s="1"/>
  <c r="AE4" i="23"/>
  <c r="AE27" i="23" s="1"/>
  <c r="AE52" i="23" s="1"/>
  <c r="Z4" i="23"/>
  <c r="Z45" i="23" s="1"/>
  <c r="A45" i="22"/>
  <c r="H45" i="22" s="1"/>
  <c r="M57" i="4"/>
  <c r="M58" i="4" s="1"/>
  <c r="M76" i="4" s="1"/>
  <c r="AH56" i="4"/>
  <c r="AH75" i="4" s="1"/>
  <c r="AG56" i="4"/>
  <c r="AG75" i="4" s="1"/>
  <c r="H57" i="1"/>
  <c r="G57" i="1"/>
  <c r="F57" i="1"/>
  <c r="E57" i="1"/>
  <c r="H7" i="4"/>
  <c r="G46" i="1"/>
  <c r="G53" i="1" s="1"/>
  <c r="H46" i="1"/>
  <c r="H53" i="1" s="1"/>
  <c r="H47" i="1"/>
  <c r="H48" i="1" s="1"/>
  <c r="H54" i="1" s="1"/>
  <c r="G11" i="4"/>
  <c r="F9" i="4"/>
  <c r="AF57" i="4"/>
  <c r="AF58" i="4" s="1"/>
  <c r="AF76" i="4" s="1"/>
  <c r="X56" i="4"/>
  <c r="X75" i="4" s="1"/>
  <c r="I13" i="4"/>
  <c r="E12" i="4"/>
  <c r="I55" i="4"/>
  <c r="I62" i="4"/>
  <c r="V57" i="4"/>
  <c r="V58" i="4" s="1"/>
  <c r="V76" i="4" s="1"/>
  <c r="V56" i="4"/>
  <c r="V75" i="4" s="1"/>
  <c r="Z55" i="4"/>
  <c r="Z62" i="4"/>
  <c r="W4" i="1"/>
  <c r="W45" i="1" s="1"/>
  <c r="W4" i="33"/>
  <c r="AC22" i="33"/>
  <c r="AC45" i="33"/>
  <c r="AC27" i="33"/>
  <c r="AC52" i="33" s="1"/>
  <c r="Z45" i="33"/>
  <c r="Z27" i="33"/>
  <c r="Z52" i="33" s="1"/>
  <c r="Z22" i="33"/>
  <c r="U57" i="4"/>
  <c r="U58" i="4" s="1"/>
  <c r="U76" i="4" s="1"/>
  <c r="AK57" i="4"/>
  <c r="AK58" i="4" s="1"/>
  <c r="AK76" i="4" s="1"/>
  <c r="X57" i="4"/>
  <c r="X58" i="4" s="1"/>
  <c r="X76" i="4" s="1"/>
  <c r="AD57" i="4"/>
  <c r="AD58" i="4" s="1"/>
  <c r="AD76" i="4" s="1"/>
  <c r="AB56" i="4"/>
  <c r="AB75" i="4" s="1"/>
  <c r="S56" i="4"/>
  <c r="S75" i="4" s="1"/>
  <c r="J56" i="4"/>
  <c r="J75" i="4" s="1"/>
  <c r="O55" i="4"/>
  <c r="O62" i="4"/>
  <c r="F55" i="4"/>
  <c r="F62" i="4"/>
  <c r="W56" i="4"/>
  <c r="W75" i="4" s="1"/>
  <c r="W57" i="4"/>
  <c r="W58" i="4" s="1"/>
  <c r="W76" i="4" s="1"/>
  <c r="M55" i="4"/>
  <c r="M62" i="4"/>
  <c r="J55" i="4"/>
  <c r="J62" i="4"/>
  <c r="AA27" i="33"/>
  <c r="AA52" i="33" s="1"/>
  <c r="AA22" i="33"/>
  <c r="AA45" i="33"/>
  <c r="AG22" i="33"/>
  <c r="AG27" i="33"/>
  <c r="AG52" i="33" s="1"/>
  <c r="AG45" i="33"/>
  <c r="AD45" i="33"/>
  <c r="AD27" i="33"/>
  <c r="AD52" i="33" s="1"/>
  <c r="AD22" i="33"/>
  <c r="Y56" i="4"/>
  <c r="Y75" i="4" s="1"/>
  <c r="AG57" i="4"/>
  <c r="AG58" i="4" s="1"/>
  <c r="AG76" i="4" s="1"/>
  <c r="L57" i="4"/>
  <c r="L58" i="4" s="1"/>
  <c r="L76" i="4" s="1"/>
  <c r="AB57" i="4"/>
  <c r="AB58" i="4" s="1"/>
  <c r="AB76" i="4" s="1"/>
  <c r="AE57" i="4"/>
  <c r="AE58" i="4" s="1"/>
  <c r="AE76" i="4" s="1"/>
  <c r="K56" i="4"/>
  <c r="K75" i="4" s="1"/>
  <c r="J57" i="4"/>
  <c r="J58" i="4" s="1"/>
  <c r="J76" i="4" s="1"/>
  <c r="AJ56" i="4"/>
  <c r="AJ75"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AC57" i="4"/>
  <c r="AC58" i="4" s="1"/>
  <c r="AC76" i="4" s="1"/>
  <c r="AK56" i="4"/>
  <c r="AK75" i="4" s="1"/>
  <c r="M56" i="4"/>
  <c r="M75" i="4" s="1"/>
  <c r="AH57" i="4"/>
  <c r="AH58" i="4" s="1"/>
  <c r="AH76" i="4" s="1"/>
  <c r="AA57" i="4"/>
  <c r="AA58" i="4" s="1"/>
  <c r="AA76" i="4" s="1"/>
  <c r="AE56" i="4"/>
  <c r="AE75" i="4" s="1"/>
  <c r="AF56" i="4"/>
  <c r="AF75" i="4" s="1"/>
  <c r="AJ57" i="4"/>
  <c r="AJ58" i="4" s="1"/>
  <c r="AJ76" i="4" s="1"/>
  <c r="C74" i="4"/>
  <c r="C62" i="4"/>
  <c r="Z56" i="4"/>
  <c r="Z75" i="4" s="1"/>
  <c r="Z57" i="4"/>
  <c r="Z58" i="4" s="1"/>
  <c r="Z76" i="4" s="1"/>
  <c r="AI56" i="4"/>
  <c r="AI75" i="4" s="1"/>
  <c r="AI57" i="4"/>
  <c r="AI58" i="4" s="1"/>
  <c r="AI76" i="4" s="1"/>
  <c r="D55" i="4"/>
  <c r="D62" i="4"/>
  <c r="S27" i="33"/>
  <c r="S52" i="33" s="1"/>
  <c r="S22" i="33"/>
  <c r="S45" i="33"/>
  <c r="Y4" i="23"/>
  <c r="Y45" i="23" s="1"/>
  <c r="Y4" i="33"/>
  <c r="A36" i="22"/>
  <c r="H36" i="22" s="1"/>
  <c r="V4" i="33"/>
  <c r="AD56" i="4"/>
  <c r="AD75" i="4" s="1"/>
  <c r="S57" i="4"/>
  <c r="S58" i="4" s="1"/>
  <c r="S76" i="4" s="1"/>
  <c r="AA56" i="4"/>
  <c r="AA75" i="4" s="1"/>
  <c r="Q55" i="4"/>
  <c r="V4" i="1"/>
  <c r="V45" i="1" s="1"/>
  <c r="O32" i="4"/>
  <c r="Q10" i="4"/>
  <c r="B32" i="4"/>
  <c r="H55" i="4"/>
  <c r="R10" i="4"/>
  <c r="O14" i="4"/>
  <c r="P15" i="4"/>
  <c r="V4" i="23"/>
  <c r="V45" i="23" s="1"/>
  <c r="Z45" i="1"/>
  <c r="Z22" i="1"/>
  <c r="Z27" i="1"/>
  <c r="Z52" i="1" s="1"/>
  <c r="W4" i="23"/>
  <c r="W22" i="23" s="1"/>
  <c r="Y79" i="4"/>
  <c r="Z79" i="4"/>
  <c r="AD79" i="4"/>
  <c r="AC79" i="4"/>
  <c r="B10" i="4"/>
  <c r="A32" i="22"/>
  <c r="H32" i="22" s="1"/>
  <c r="D13" i="28"/>
  <c r="D9" i="28"/>
  <c r="D5" i="28"/>
  <c r="D14" i="28"/>
  <c r="D10" i="28"/>
  <c r="D6" i="28"/>
  <c r="D15" i="28"/>
  <c r="D11" i="28"/>
  <c r="D7" i="28"/>
  <c r="D3" i="28"/>
  <c r="D12" i="28"/>
  <c r="D8" i="28"/>
  <c r="D4" i="28"/>
  <c r="W79" i="4"/>
  <c r="AE79" i="4"/>
  <c r="AJ79" i="4"/>
  <c r="V79" i="4"/>
  <c r="M79" i="4"/>
  <c r="AA79" i="4"/>
  <c r="AG79" i="4"/>
  <c r="AF79" i="4"/>
  <c r="U79" i="4"/>
  <c r="AI79" i="4"/>
  <c r="AK79" i="4"/>
  <c r="S79" i="4"/>
  <c r="X79" i="4"/>
  <c r="AH79" i="4"/>
  <c r="AB79" i="4"/>
  <c r="O26" i="4"/>
  <c r="P46" i="1"/>
  <c r="P53" i="1" s="1"/>
  <c r="A37" i="22"/>
  <c r="H37" i="22" s="1"/>
  <c r="AF4" i="23"/>
  <c r="AF22" i="23" s="1"/>
  <c r="AI4" i="23"/>
  <c r="AI22" i="23" s="1"/>
  <c r="U4" i="1"/>
  <c r="U22" i="1" s="1"/>
  <c r="AJ4" i="1"/>
  <c r="AJ4" i="4" s="1"/>
  <c r="AJ62" i="4" s="1"/>
  <c r="AI4" i="1"/>
  <c r="AI22" i="1" s="1"/>
  <c r="M74" i="4"/>
  <c r="I2" i="12" s="1"/>
  <c r="J74" i="4"/>
  <c r="F2" i="12" s="1"/>
  <c r="AH4" i="1"/>
  <c r="AH22" i="1" s="1"/>
  <c r="A48" i="22"/>
  <c r="H48" i="22" s="1"/>
  <c r="S4" i="1"/>
  <c r="A33" i="22"/>
  <c r="H33" i="22" s="1"/>
  <c r="S4" i="23"/>
  <c r="AC4" i="1"/>
  <c r="A43" i="22"/>
  <c r="H43" i="22" s="1"/>
  <c r="AC4" i="23"/>
  <c r="AC27" i="23" s="1"/>
  <c r="AC52" i="23" s="1"/>
  <c r="AF4" i="1"/>
  <c r="AF4" i="4" s="1"/>
  <c r="AF62" i="4" s="1"/>
  <c r="AE27" i="1"/>
  <c r="AE52" i="1" s="1"/>
  <c r="AA4" i="23"/>
  <c r="A41" i="22"/>
  <c r="H41" i="22" s="1"/>
  <c r="Y4" i="1"/>
  <c r="A39" i="22"/>
  <c r="H39" i="22" s="1"/>
  <c r="C55" i="4"/>
  <c r="AJ4" i="23"/>
  <c r="AJ27" i="23" s="1"/>
  <c r="AJ52" i="23" s="1"/>
  <c r="U4" i="23"/>
  <c r="U22" i="23" s="1"/>
  <c r="AA4" i="1"/>
  <c r="AA22" i="1" s="1"/>
  <c r="J22" i="23"/>
  <c r="J52" i="23"/>
  <c r="J27" i="23"/>
  <c r="R4" i="1"/>
  <c r="R22" i="1" s="1"/>
  <c r="R4" i="23"/>
  <c r="R22" i="23" s="1"/>
  <c r="AH4" i="23"/>
  <c r="AH45" i="23" s="1"/>
  <c r="M52" i="23"/>
  <c r="M22" i="23"/>
  <c r="M45" i="23"/>
  <c r="L2" i="12"/>
  <c r="B46" i="23"/>
  <c r="B53" i="23" s="1"/>
  <c r="B55" i="23" s="1"/>
  <c r="O46" i="23"/>
  <c r="O53" i="23" s="1"/>
  <c r="O55" i="23" s="1"/>
  <c r="O47" i="23"/>
  <c r="O48" i="23" s="1"/>
  <c r="O54" i="23" s="1"/>
  <c r="B47" i="23"/>
  <c r="B48" i="23" s="1"/>
  <c r="B54" i="23" s="1"/>
  <c r="B57" i="23"/>
  <c r="W59" i="23"/>
  <c r="W60" i="23" s="1"/>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53" i="1"/>
  <c r="O55" i="1" s="1"/>
  <c r="D47" i="1"/>
  <c r="D48" i="1" s="1"/>
  <c r="D54" i="1" s="1"/>
  <c r="D8" i="4"/>
  <c r="X4" i="23"/>
  <c r="X4" i="1"/>
  <c r="AG4" i="1"/>
  <c r="AG4" i="23"/>
  <c r="AB4" i="23"/>
  <c r="AB4" i="1"/>
  <c r="T4" i="1"/>
  <c r="T4" i="23"/>
  <c r="AK4" i="1"/>
  <c r="AK4" i="23"/>
  <c r="F74" i="4"/>
  <c r="I74" i="4"/>
  <c r="O74" i="4"/>
  <c r="P74" i="4"/>
  <c r="AD2" i="12"/>
  <c r="Q78" i="4"/>
  <c r="T78" i="4"/>
  <c r="P78" i="4"/>
  <c r="O78" i="4"/>
  <c r="R78" i="4"/>
  <c r="F78" i="4"/>
  <c r="E78" i="4"/>
  <c r="C78" i="4"/>
  <c r="K78" i="4"/>
  <c r="J78" i="4"/>
  <c r="D78" i="4"/>
  <c r="L78" i="4"/>
  <c r="H78" i="4"/>
  <c r="G78" i="4"/>
  <c r="I78" i="4"/>
  <c r="B78" i="4"/>
  <c r="T79" i="4" l="1"/>
  <c r="T56" i="4"/>
  <c r="T75" i="4" s="1"/>
  <c r="K57" i="4"/>
  <c r="K58" i="4" s="1"/>
  <c r="K76" i="4" s="1"/>
  <c r="L56" i="4"/>
  <c r="L75" i="4" s="1"/>
  <c r="T57" i="4"/>
  <c r="T58" i="4" s="1"/>
  <c r="T76" i="4" s="1"/>
  <c r="L79" i="4"/>
  <c r="J79" i="4"/>
  <c r="K79" i="4"/>
  <c r="J80" i="4" s="1"/>
  <c r="F55" i="23"/>
  <c r="C55" i="23"/>
  <c r="M55" i="1"/>
  <c r="J55" i="1"/>
  <c r="K59" i="1"/>
  <c r="L59" i="1"/>
  <c r="I59" i="1"/>
  <c r="M59" i="1"/>
  <c r="M61" i="1" s="1"/>
  <c r="J59" i="1"/>
  <c r="K55" i="1"/>
  <c r="I55" i="1"/>
  <c r="L55" i="1"/>
  <c r="G55" i="1"/>
  <c r="V4" i="4"/>
  <c r="V55" i="4" s="1"/>
  <c r="C63" i="4"/>
  <c r="C64" i="4" s="1"/>
  <c r="F63" i="4"/>
  <c r="F64" i="4" s="1"/>
  <c r="H56" i="4"/>
  <c r="H75" i="4" s="1"/>
  <c r="I57" i="4"/>
  <c r="I58" i="4" s="1"/>
  <c r="I76" i="4" s="1"/>
  <c r="R63" i="4"/>
  <c r="R64" i="4" s="1"/>
  <c r="I63" i="4"/>
  <c r="I64" i="4" s="1"/>
  <c r="P55" i="23"/>
  <c r="V55" i="23"/>
  <c r="AE55" i="1"/>
  <c r="Q55" i="23"/>
  <c r="AK55" i="23"/>
  <c r="AD55" i="1"/>
  <c r="AJ55" i="1"/>
  <c r="U55" i="23"/>
  <c r="T55" i="1"/>
  <c r="AB55" i="23"/>
  <c r="AA55" i="1"/>
  <c r="AK55" i="1"/>
  <c r="R55" i="23"/>
  <c r="W55" i="23"/>
  <c r="T55" i="23"/>
  <c r="X55" i="1"/>
  <c r="W55" i="1"/>
  <c r="AC55" i="1"/>
  <c r="AH55" i="23"/>
  <c r="X55" i="23"/>
  <c r="AI55" i="1"/>
  <c r="V55" i="1"/>
  <c r="R55" i="1"/>
  <c r="P55" i="1"/>
  <c r="AJ55" i="23"/>
  <c r="S55" i="1"/>
  <c r="AE55" i="23"/>
  <c r="AC55" i="23"/>
  <c r="Y55" i="1"/>
  <c r="AB55" i="1"/>
  <c r="AI55" i="23"/>
  <c r="U55" i="1"/>
  <c r="AG55" i="1"/>
  <c r="Q55" i="1"/>
  <c r="Y55" i="23"/>
  <c r="S55" i="23"/>
  <c r="AA55" i="23"/>
  <c r="AG55" i="23"/>
  <c r="AH55" i="1"/>
  <c r="AF55" i="1"/>
  <c r="Z55" i="23"/>
  <c r="AF55" i="23"/>
  <c r="Z55" i="1"/>
  <c r="AD55" i="23"/>
  <c r="D63" i="4"/>
  <c r="D64" i="4" s="1"/>
  <c r="B63" i="4"/>
  <c r="B64" i="4" s="1"/>
  <c r="O63" i="4"/>
  <c r="O64" i="4" s="1"/>
  <c r="G56" i="4"/>
  <c r="G75" i="4" s="1"/>
  <c r="H57" i="4"/>
  <c r="H58" i="4" s="1"/>
  <c r="H76" i="4" s="1"/>
  <c r="H63" i="4"/>
  <c r="H64" i="4" s="1"/>
  <c r="P63" i="4"/>
  <c r="P64" i="4" s="1"/>
  <c r="G63" i="4"/>
  <c r="G64" i="4" s="1"/>
  <c r="E63" i="4"/>
  <c r="E64" i="4" s="1"/>
  <c r="Q63" i="4"/>
  <c r="Q64" i="4" s="1"/>
  <c r="AJ45" i="23"/>
  <c r="Y27" i="23"/>
  <c r="Y52" i="23" s="1"/>
  <c r="W27" i="1"/>
  <c r="W52" i="1" s="1"/>
  <c r="Y22" i="23"/>
  <c r="AD27" i="1"/>
  <c r="AD52" i="1" s="1"/>
  <c r="AD45" i="23"/>
  <c r="V27" i="23"/>
  <c r="V52" i="23" s="1"/>
  <c r="I56" i="4"/>
  <c r="I75" i="4" s="1"/>
  <c r="J4" i="12"/>
  <c r="M4" i="12"/>
  <c r="AE22" i="1"/>
  <c r="AE4" i="4"/>
  <c r="AE62" i="4" s="1"/>
  <c r="G4" i="12"/>
  <c r="Z27" i="23"/>
  <c r="Z52" i="23" s="1"/>
  <c r="AD4" i="4"/>
  <c r="AD55" i="4" s="1"/>
  <c r="AD45" i="1"/>
  <c r="W4" i="4"/>
  <c r="W62" i="4" s="1"/>
  <c r="H4" i="12"/>
  <c r="F4" i="12"/>
  <c r="AI27" i="1"/>
  <c r="AI52" i="1" s="1"/>
  <c r="I4" i="12"/>
  <c r="AE22" i="23"/>
  <c r="L4" i="12"/>
  <c r="AD27" i="23"/>
  <c r="AD52" i="23" s="1"/>
  <c r="Z22" i="23"/>
  <c r="AE45" i="23"/>
  <c r="AI4" i="4"/>
  <c r="AI62" i="4" s="1"/>
  <c r="U45" i="1"/>
  <c r="V22" i="1"/>
  <c r="W22" i="1"/>
  <c r="V22" i="23"/>
  <c r="V27" i="1"/>
  <c r="V52" i="1" s="1"/>
  <c r="AG80" i="4"/>
  <c r="G57" i="4"/>
  <c r="G58" i="4" s="1"/>
  <c r="G76" i="4" s="1"/>
  <c r="AB80" i="4"/>
  <c r="F57" i="4"/>
  <c r="F58" i="4" s="1"/>
  <c r="F76" i="4" s="1"/>
  <c r="B56" i="4"/>
  <c r="E79" i="4"/>
  <c r="G79" i="4"/>
  <c r="I79" i="4"/>
  <c r="H79" i="4"/>
  <c r="F79" i="4"/>
  <c r="E57" i="4"/>
  <c r="E58" i="4" s="1"/>
  <c r="E76" i="4" s="1"/>
  <c r="E56" i="4"/>
  <c r="E75" i="4" s="1"/>
  <c r="W80" i="4"/>
  <c r="F56" i="4"/>
  <c r="F75" i="4" s="1"/>
  <c r="P57" i="4"/>
  <c r="P58" i="4" s="1"/>
  <c r="P76" i="4" s="1"/>
  <c r="R56" i="4"/>
  <c r="R75" i="4" s="1"/>
  <c r="D56" i="4"/>
  <c r="D75" i="4" s="1"/>
  <c r="B57" i="4"/>
  <c r="B58" i="4" s="1"/>
  <c r="B76" i="4" s="1"/>
  <c r="V45" i="33"/>
  <c r="V27" i="33"/>
  <c r="V52" i="33" s="1"/>
  <c r="V22" i="33"/>
  <c r="D57" i="4"/>
  <c r="D58" i="4" s="1"/>
  <c r="D76" i="4" s="1"/>
  <c r="W27" i="33"/>
  <c r="W52" i="33" s="1"/>
  <c r="W22" i="33"/>
  <c r="W45" i="33"/>
  <c r="O57" i="4"/>
  <c r="O58" i="4" s="1"/>
  <c r="O76" i="4" s="1"/>
  <c r="C57" i="4"/>
  <c r="C58" i="4" s="1"/>
  <c r="C76" i="4" s="1"/>
  <c r="Q2" i="12"/>
  <c r="Q4" i="12" s="1"/>
  <c r="P2" i="12"/>
  <c r="P4" i="12" s="1"/>
  <c r="Q56" i="4"/>
  <c r="Q75" i="4" s="1"/>
  <c r="O56" i="4"/>
  <c r="O75" i="4" s="1"/>
  <c r="T77" i="4" s="1"/>
  <c r="C56" i="4"/>
  <c r="R2" i="12"/>
  <c r="R4" i="12" s="1"/>
  <c r="W74" i="4"/>
  <c r="AA2" i="12" s="1"/>
  <c r="Y22" i="33"/>
  <c r="Y45" i="33"/>
  <c r="Y27" i="33"/>
  <c r="Y52" i="33" s="1"/>
  <c r="P56" i="4"/>
  <c r="R57" i="4"/>
  <c r="R58" i="4" s="1"/>
  <c r="R76" i="4" s="1"/>
  <c r="Q57" i="4"/>
  <c r="Q58" i="4" s="1"/>
  <c r="Q76" i="4" s="1"/>
  <c r="Q79" i="4"/>
  <c r="P79" i="4"/>
  <c r="R79" i="4"/>
  <c r="R80" i="4" s="1"/>
  <c r="AJ45" i="1"/>
  <c r="AF27" i="1"/>
  <c r="AF52" i="1" s="1"/>
  <c r="AF45" i="23"/>
  <c r="U4" i="4"/>
  <c r="AF45" i="1"/>
  <c r="AJ22" i="1"/>
  <c r="AJ27" i="1"/>
  <c r="AJ52" i="1" s="1"/>
  <c r="AH27" i="1"/>
  <c r="AH52" i="1" s="1"/>
  <c r="F2" i="27"/>
  <c r="F4" i="27" s="1"/>
  <c r="AJ22" i="23"/>
  <c r="AH45" i="1"/>
  <c r="O2" i="12"/>
  <c r="O4" i="12" s="1"/>
  <c r="AF27" i="23"/>
  <c r="AF52" i="23" s="1"/>
  <c r="AC22" i="23"/>
  <c r="U27" i="1"/>
  <c r="U52" i="1" s="1"/>
  <c r="W27" i="23"/>
  <c r="W52" i="23" s="1"/>
  <c r="W45" i="23"/>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AA59" i="23"/>
  <c r="AA60" i="23" s="1"/>
  <c r="AF59" i="23"/>
  <c r="AF60" i="23" s="1"/>
  <c r="R59" i="23"/>
  <c r="R60" i="23" s="1"/>
  <c r="O79" i="4"/>
  <c r="B79" i="4"/>
  <c r="B64" i="23"/>
  <c r="W61" i="23"/>
  <c r="L59" i="23"/>
  <c r="F59" i="23"/>
  <c r="AC59" i="23"/>
  <c r="AC60" i="23" s="1"/>
  <c r="AH59" i="23"/>
  <c r="AH60" i="23" s="1"/>
  <c r="X59" i="23"/>
  <c r="X60" i="23" s="1"/>
  <c r="Q59" i="23"/>
  <c r="AG59" i="23"/>
  <c r="AG60" i="23" s="1"/>
  <c r="V59" i="23"/>
  <c r="P59" i="23"/>
  <c r="AE59" i="23"/>
  <c r="AE60" i="23" s="1"/>
  <c r="T59" i="23"/>
  <c r="U59" i="23"/>
  <c r="AK59" i="23"/>
  <c r="AK60" i="23" s="1"/>
  <c r="Z59" i="23"/>
  <c r="Z60" i="23" s="1"/>
  <c r="S59" i="23"/>
  <c r="AI59" i="23"/>
  <c r="AI60" i="23" s="1"/>
  <c r="AB59" i="23"/>
  <c r="AB60" i="23" s="1"/>
  <c r="Y59" i="23"/>
  <c r="Y60" i="23" s="1"/>
  <c r="AJ59" i="23"/>
  <c r="AJ60" i="23" s="1"/>
  <c r="AD59" i="23"/>
  <c r="AD60" i="23" s="1"/>
  <c r="C75" i="4"/>
  <c r="B65" i="23"/>
  <c r="AH4" i="4"/>
  <c r="AH55" i="4" s="1"/>
  <c r="AF22" i="1"/>
  <c r="AH22" i="23"/>
  <c r="AI45" i="1"/>
  <c r="AI45" i="23"/>
  <c r="AH27" i="23"/>
  <c r="AH52" i="23" s="1"/>
  <c r="AI27" i="23"/>
  <c r="AI52" i="23" s="1"/>
  <c r="N2" i="12"/>
  <c r="N4" i="12" s="1"/>
  <c r="R45" i="23"/>
  <c r="AC4" i="4"/>
  <c r="AC62" i="4" s="1"/>
  <c r="AC27" i="1"/>
  <c r="AC52" i="1" s="1"/>
  <c r="AC22" i="1"/>
  <c r="AC45" i="1"/>
  <c r="S4" i="4"/>
  <c r="S62" i="4" s="1"/>
  <c r="S45" i="1"/>
  <c r="S27" i="1"/>
  <c r="S52" i="1" s="1"/>
  <c r="S22" i="1"/>
  <c r="AA27" i="23"/>
  <c r="AA52" i="23" s="1"/>
  <c r="AA22" i="23"/>
  <c r="AA45" i="23"/>
  <c r="AA45" i="1"/>
  <c r="AA27" i="1"/>
  <c r="AA52" i="1" s="1"/>
  <c r="S2" i="12"/>
  <c r="S4" i="12" s="1"/>
  <c r="AC45" i="23"/>
  <c r="U27" i="23"/>
  <c r="U52" i="23" s="1"/>
  <c r="U45" i="23"/>
  <c r="Y27" i="1"/>
  <c r="Y52" i="1" s="1"/>
  <c r="Y4" i="4"/>
  <c r="Y62" i="4" s="1"/>
  <c r="Y45" i="1"/>
  <c r="Y22" i="1"/>
  <c r="S45" i="23"/>
  <c r="S27" i="23"/>
  <c r="S52" i="23" s="1"/>
  <c r="S22" i="23"/>
  <c r="AA4" i="4"/>
  <c r="R45" i="1"/>
  <c r="R4" i="4"/>
  <c r="R62" i="4" s="1"/>
  <c r="R27" i="1"/>
  <c r="R52" i="1" s="1"/>
  <c r="R27" i="23"/>
  <c r="R52" i="23" s="1"/>
  <c r="C59" i="23"/>
  <c r="E59" i="23"/>
  <c r="J59" i="23"/>
  <c r="K59" i="23"/>
  <c r="D59" i="23"/>
  <c r="I59" i="23"/>
  <c r="O59" i="23"/>
  <c r="G59" i="23"/>
  <c r="H59" i="23"/>
  <c r="M59" i="23"/>
  <c r="C55" i="1"/>
  <c r="H55" i="1"/>
  <c r="F55" i="1"/>
  <c r="D55" i="1"/>
  <c r="E55" i="1"/>
  <c r="H3" i="12"/>
  <c r="O59" i="1"/>
  <c r="F59" i="1"/>
  <c r="E59" i="1"/>
  <c r="H59" i="1"/>
  <c r="D59" i="1"/>
  <c r="C59" i="1"/>
  <c r="G59" i="1"/>
  <c r="AJ59" i="1"/>
  <c r="AJ60" i="1" s="1"/>
  <c r="AF59" i="1"/>
  <c r="AF60" i="1" s="1"/>
  <c r="AB59" i="1"/>
  <c r="AB60" i="1" s="1"/>
  <c r="X59" i="1"/>
  <c r="X60" i="1" s="1"/>
  <c r="T59" i="1"/>
  <c r="P59" i="1"/>
  <c r="AI59" i="1"/>
  <c r="AI60" i="1" s="1"/>
  <c r="AE59" i="1"/>
  <c r="AE60" i="1" s="1"/>
  <c r="AA59" i="1"/>
  <c r="AA60" i="1" s="1"/>
  <c r="W59" i="1"/>
  <c r="W60" i="1" s="1"/>
  <c r="S59" i="1"/>
  <c r="AH59" i="1"/>
  <c r="AH60" i="1" s="1"/>
  <c r="AD59" i="1"/>
  <c r="AD60" i="1" s="1"/>
  <c r="Z59" i="1"/>
  <c r="Z60" i="1" s="1"/>
  <c r="V59" i="1"/>
  <c r="R59" i="1"/>
  <c r="Y59" i="1"/>
  <c r="Y60" i="1" s="1"/>
  <c r="AK59" i="1"/>
  <c r="AK60" i="1" s="1"/>
  <c r="U59" i="1"/>
  <c r="AC59" i="1"/>
  <c r="AC60" i="1" s="1"/>
  <c r="AG59" i="1"/>
  <c r="AG60" i="1" s="1"/>
  <c r="Q59" i="1"/>
  <c r="B65" i="1"/>
  <c r="B64" i="1"/>
  <c r="B55" i="1"/>
  <c r="AB45" i="23"/>
  <c r="AB27" i="23"/>
  <c r="AB52" i="23" s="1"/>
  <c r="AB22" i="23"/>
  <c r="AG22" i="23"/>
  <c r="AG27" i="23"/>
  <c r="AG52" i="23" s="1"/>
  <c r="AG45" i="23"/>
  <c r="X45" i="23"/>
  <c r="X27" i="23"/>
  <c r="X52" i="23" s="1"/>
  <c r="X22" i="23"/>
  <c r="AG4" i="4"/>
  <c r="AG62" i="4" s="1"/>
  <c r="AG45" i="1"/>
  <c r="AG27" i="1"/>
  <c r="AG52" i="1" s="1"/>
  <c r="AG22" i="1"/>
  <c r="X27" i="1"/>
  <c r="X52" i="1" s="1"/>
  <c r="X22" i="1"/>
  <c r="X45" i="1"/>
  <c r="X4" i="4"/>
  <c r="X62" i="4" s="1"/>
  <c r="G3" i="12"/>
  <c r="AB22" i="1"/>
  <c r="AB45" i="1"/>
  <c r="AB4" i="4"/>
  <c r="AB62" i="4" s="1"/>
  <c r="AB27" i="1"/>
  <c r="AB52" i="1" s="1"/>
  <c r="AJ74" i="4"/>
  <c r="AJ55" i="4"/>
  <c r="T27" i="23"/>
  <c r="T52" i="23" s="1"/>
  <c r="T45" i="23"/>
  <c r="T22" i="23"/>
  <c r="F3" i="12"/>
  <c r="J3" i="12"/>
  <c r="AK22" i="23"/>
  <c r="AK27" i="23"/>
  <c r="AK52" i="23" s="1"/>
  <c r="AK45" i="23"/>
  <c r="I3" i="12"/>
  <c r="T27" i="1"/>
  <c r="T52" i="1" s="1"/>
  <c r="T45" i="1"/>
  <c r="T4" i="4"/>
  <c r="T62" i="4" s="1"/>
  <c r="T22" i="1"/>
  <c r="AK4" i="4"/>
  <c r="AK62" i="4" s="1"/>
  <c r="AK22" i="1"/>
  <c r="AK27" i="1"/>
  <c r="AK52" i="1" s="1"/>
  <c r="AK45" i="1"/>
  <c r="AF74" i="4"/>
  <c r="AF55" i="4"/>
  <c r="L61" i="1" l="1"/>
  <c r="J61" i="1"/>
  <c r="K61" i="1"/>
  <c r="I61" i="1"/>
  <c r="V62" i="4"/>
  <c r="V74" i="4"/>
  <c r="Z2" i="12" s="1"/>
  <c r="AD74" i="4"/>
  <c r="AH2" i="12" s="1"/>
  <c r="W55" i="4"/>
  <c r="AE55" i="4"/>
  <c r="AE74" i="4"/>
  <c r="AI74" i="4"/>
  <c r="AD62" i="4"/>
  <c r="AI55" i="4"/>
  <c r="B80" i="4"/>
  <c r="P75" i="4"/>
  <c r="B5" i="27" s="1"/>
  <c r="O81" i="4"/>
  <c r="AH74" i="4"/>
  <c r="AH62" i="4"/>
  <c r="AA74" i="4"/>
  <c r="AE2" i="12" s="1"/>
  <c r="AA62" i="4"/>
  <c r="U74" i="4"/>
  <c r="Y2" i="12" s="1"/>
  <c r="U62" i="4"/>
  <c r="B5" i="12"/>
  <c r="B6" i="12"/>
  <c r="B6" i="27"/>
  <c r="R61" i="23"/>
  <c r="AF61" i="23"/>
  <c r="AA61" i="23"/>
  <c r="U55" i="4"/>
  <c r="F3" i="27"/>
  <c r="AK77" i="4"/>
  <c r="AB77" i="4"/>
  <c r="AH77" i="4"/>
  <c r="W77" i="4"/>
  <c r="V77" i="4"/>
  <c r="U77" i="4"/>
  <c r="Z77" i="4"/>
  <c r="X77" i="4"/>
  <c r="O77" i="4"/>
  <c r="AA77" i="4"/>
  <c r="AC77" i="4"/>
  <c r="S77" i="4"/>
  <c r="AD77" i="4"/>
  <c r="Y77" i="4"/>
  <c r="Q77" i="4"/>
  <c r="AJ77" i="4"/>
  <c r="AI77" i="4"/>
  <c r="R77" i="4"/>
  <c r="AF77" i="4"/>
  <c r="AG77" i="4"/>
  <c r="AE77" i="4"/>
  <c r="AK81" i="4"/>
  <c r="AK82" i="4" s="1"/>
  <c r="W81" i="4"/>
  <c r="W82" i="4" s="1"/>
  <c r="Y81" i="4"/>
  <c r="Y82" i="4" s="1"/>
  <c r="AG81" i="4"/>
  <c r="AG82" i="4" s="1"/>
  <c r="AA81" i="4"/>
  <c r="AA82" i="4" s="1"/>
  <c r="AF81" i="4"/>
  <c r="AF82" i="4" s="1"/>
  <c r="AH81" i="4"/>
  <c r="AH82" i="4" s="1"/>
  <c r="AJ81" i="4"/>
  <c r="AJ82" i="4" s="1"/>
  <c r="AD81" i="4"/>
  <c r="AD82" i="4" s="1"/>
  <c r="AI81" i="4"/>
  <c r="AI82" i="4" s="1"/>
  <c r="AC81" i="4"/>
  <c r="AC82" i="4" s="1"/>
  <c r="AE81" i="4"/>
  <c r="AE82" i="4" s="1"/>
  <c r="P81" i="4"/>
  <c r="P82" i="4" s="1"/>
  <c r="AB81" i="4"/>
  <c r="AB82" i="4" s="1"/>
  <c r="X81" i="4"/>
  <c r="X82" i="4" s="1"/>
  <c r="Z81" i="4"/>
  <c r="Z82" i="4" s="1"/>
  <c r="Q81" i="4"/>
  <c r="B86" i="4"/>
  <c r="B87" i="4"/>
  <c r="B75"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AK61" i="1"/>
  <c r="Z61" i="1"/>
  <c r="W61" i="1"/>
  <c r="AF61" i="1"/>
  <c r="AG61" i="1"/>
  <c r="Y61" i="1"/>
  <c r="AD61" i="1"/>
  <c r="AA61" i="1"/>
  <c r="T61" i="1"/>
  <c r="AJ61" i="1"/>
  <c r="E61" i="1"/>
  <c r="F61" i="1"/>
  <c r="AE61" i="1"/>
  <c r="V61" i="1"/>
  <c r="AB61" i="1"/>
  <c r="H61" i="1"/>
  <c r="AA55" i="4"/>
  <c r="O3" i="12"/>
  <c r="R3" i="12"/>
  <c r="S3" i="12"/>
  <c r="N3" i="12"/>
  <c r="M3" i="12"/>
  <c r="L3" i="12"/>
  <c r="Y55" i="4"/>
  <c r="Y74" i="4"/>
  <c r="AC2" i="12" s="1"/>
  <c r="S55" i="4"/>
  <c r="S74" i="4"/>
  <c r="W2" i="12" s="1"/>
  <c r="AC55" i="4"/>
  <c r="AC74" i="4"/>
  <c r="AG2" i="12" s="1"/>
  <c r="R55" i="4"/>
  <c r="R74" i="4"/>
  <c r="P3" i="12"/>
  <c r="Q3" i="12"/>
  <c r="K2" i="12"/>
  <c r="K4" i="12" s="1"/>
  <c r="B4" i="27"/>
  <c r="B4" i="12"/>
  <c r="O61" i="1"/>
  <c r="Q61" i="1"/>
  <c r="C61" i="1"/>
  <c r="R61" i="1"/>
  <c r="X55" i="4"/>
  <c r="X74" i="4"/>
  <c r="AB2" i="12" s="1"/>
  <c r="AG55" i="4"/>
  <c r="AG74" i="4"/>
  <c r="AB74" i="4"/>
  <c r="AF2" i="12" s="1"/>
  <c r="AB55" i="4"/>
  <c r="T55" i="4"/>
  <c r="T74" i="4"/>
  <c r="AK74" i="4"/>
  <c r="AK55" i="4"/>
  <c r="AB4" i="12" l="1"/>
  <c r="AD4" i="12"/>
  <c r="P77" i="4"/>
  <c r="AE4" i="12"/>
  <c r="Z4" i="12"/>
  <c r="W4" i="12"/>
  <c r="AG4" i="12"/>
  <c r="AC4" i="12"/>
  <c r="AH4" i="12"/>
  <c r="AF4" i="12"/>
  <c r="Y4" i="12"/>
  <c r="AA4" i="12"/>
  <c r="F3" i="28"/>
  <c r="F81" i="4"/>
  <c r="F83" i="4" s="1"/>
  <c r="G81" i="4"/>
  <c r="H81" i="4"/>
  <c r="D81" i="4"/>
  <c r="D83" i="4" s="1"/>
  <c r="E81" i="4"/>
  <c r="C81" i="4"/>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AB83" i="4"/>
  <c r="AJ83" i="4"/>
  <c r="AG83" i="4"/>
  <c r="L83" i="4"/>
  <c r="V83" i="4"/>
  <c r="AI83" i="4"/>
  <c r="T83" i="4"/>
  <c r="M83" i="4"/>
  <c r="X83" i="4"/>
  <c r="P83" i="4"/>
  <c r="U83" i="4"/>
  <c r="AF83" i="4"/>
  <c r="Y83" i="4"/>
  <c r="S5" i="12"/>
  <c r="Q83" i="4"/>
  <c r="AC83" i="4"/>
  <c r="AK83" i="4"/>
  <c r="Z83" i="4"/>
  <c r="AH83" i="4"/>
  <c r="K83" i="4"/>
  <c r="J83" i="4"/>
  <c r="R83" i="4"/>
  <c r="S83" i="4"/>
  <c r="AE83" i="4"/>
  <c r="AD83" i="4"/>
  <c r="AA83" i="4"/>
  <c r="W83" i="4"/>
  <c r="O83" i="4"/>
  <c r="AG3" i="12"/>
  <c r="AD3" i="12"/>
  <c r="AE3" i="12"/>
  <c r="AC3" i="12"/>
  <c r="W3" i="12"/>
  <c r="Y3" i="12"/>
  <c r="I2" i="27"/>
  <c r="I4" i="27" s="1"/>
  <c r="V2" i="12"/>
  <c r="V4" i="12" s="1"/>
  <c r="J2" i="28"/>
  <c r="K3" i="12"/>
  <c r="F2" i="28"/>
  <c r="J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AB3" i="12"/>
  <c r="E10" i="28"/>
  <c r="J13" i="28"/>
  <c r="E8" i="28"/>
  <c r="I11" i="28"/>
  <c r="E4" i="28"/>
  <c r="F4" i="28"/>
  <c r="E5" i="28"/>
  <c r="I6" i="28"/>
  <c r="J9" i="28"/>
  <c r="I8" i="28"/>
  <c r="E7" i="28"/>
  <c r="E12" i="28"/>
  <c r="I10" i="28"/>
  <c r="I13" i="28"/>
  <c r="E15" i="28"/>
  <c r="E11" i="28"/>
  <c r="F11" i="28"/>
  <c r="F6" i="28"/>
  <c r="E6" i="28"/>
  <c r="J14" i="28"/>
  <c r="I15" i="28"/>
  <c r="I9" i="28"/>
  <c r="F10" i="28"/>
  <c r="I5" i="28"/>
  <c r="I4" i="28"/>
  <c r="I7" i="28"/>
  <c r="E13" i="28"/>
  <c r="E9" i="28"/>
  <c r="I14" i="28"/>
  <c r="J12" i="28"/>
  <c r="I12" i="28"/>
  <c r="F7" i="28"/>
  <c r="J15" i="28"/>
  <c r="AI2" i="12"/>
  <c r="AI4" i="12" s="1"/>
  <c r="X2" i="12"/>
  <c r="X4" i="12" s="1"/>
  <c r="J4" i="28" l="1"/>
  <c r="J8" i="28"/>
  <c r="F12" i="28"/>
  <c r="F9" i="28"/>
  <c r="J10" i="28"/>
  <c r="J5" i="28"/>
  <c r="J7" i="28"/>
  <c r="F14" i="28"/>
  <c r="J11" i="28"/>
  <c r="F13" i="28"/>
  <c r="F8" i="28"/>
  <c r="J6" i="28"/>
  <c r="F5" i="28"/>
  <c r="R5" i="12"/>
  <c r="Q5" i="12"/>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I9" i="22" s="1"/>
  <c r="F12" i="22"/>
  <c r="I12" i="22" s="1"/>
  <c r="F16" i="22"/>
  <c r="G16" i="22" s="1"/>
  <c r="F22" i="22"/>
  <c r="I22" i="22" s="1"/>
  <c r="J5" i="12"/>
  <c r="F15" i="22"/>
  <c r="K15" i="22" s="1"/>
  <c r="M15" i="22" s="1"/>
  <c r="L5" i="12"/>
  <c r="F21" i="22"/>
  <c r="G21" i="22" s="1"/>
  <c r="F5" i="12"/>
  <c r="F24" i="22"/>
  <c r="K24" i="22" s="1"/>
  <c r="M24" i="22" s="1"/>
  <c r="F10" i="22"/>
  <c r="K10" i="22" s="1"/>
  <c r="F11" i="22"/>
  <c r="I11" i="22" s="1"/>
  <c r="F13" i="22"/>
  <c r="I13" i="22" s="1"/>
  <c r="F14" i="22"/>
  <c r="I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I34" i="22"/>
  <c r="M34" i="22" s="1"/>
  <c r="G12" i="22"/>
  <c r="G39" i="22"/>
  <c r="J39" i="22" s="1"/>
  <c r="I39" i="22"/>
  <c r="M39" i="22" s="1"/>
  <c r="K39" i="22"/>
  <c r="N39" i="22" s="1"/>
  <c r="G32" i="22"/>
  <c r="J32" i="22" s="1"/>
  <c r="I32" i="22"/>
  <c r="K32" i="22"/>
  <c r="G45" i="22"/>
  <c r="J45" i="22" s="1"/>
  <c r="I45" i="22"/>
  <c r="M45" i="22" s="1"/>
  <c r="K45" i="22"/>
  <c r="N45" i="22" s="1"/>
  <c r="G36" i="22"/>
  <c r="J36" i="22" s="1"/>
  <c r="G48" i="22"/>
  <c r="J48" i="22" s="1"/>
  <c r="I48" i="22"/>
  <c r="M48" i="22" s="1"/>
  <c r="K48" i="22"/>
  <c r="N48" i="22" s="1"/>
  <c r="G43" i="22"/>
  <c r="J43" i="22" s="1"/>
  <c r="I43" i="22"/>
  <c r="M43" i="22" s="1"/>
  <c r="K43" i="22"/>
  <c r="N43" i="22" s="1"/>
  <c r="L3" i="28"/>
  <c r="I36" i="22" l="1"/>
  <c r="M36" i="22" s="1"/>
  <c r="K34" i="22"/>
  <c r="N34" i="22" s="1"/>
  <c r="M32" i="22"/>
  <c r="K36" i="22"/>
  <c r="N36" i="22" s="1"/>
  <c r="I18" i="22"/>
  <c r="I35" i="22"/>
  <c r="M35" i="22" s="1"/>
  <c r="I33" i="22"/>
  <c r="K12" i="22"/>
  <c r="M12" i="22" s="1"/>
  <c r="I15" i="22"/>
  <c r="K14" i="22"/>
  <c r="M14" i="22" s="1"/>
  <c r="G25" i="22"/>
  <c r="G15" i="22"/>
  <c r="G14" i="22"/>
  <c r="K7" i="22"/>
  <c r="M7" i="22" s="1"/>
  <c r="K25" i="22"/>
  <c r="M25" i="22" s="1"/>
  <c r="K19" i="22"/>
  <c r="M19" i="22" s="1"/>
  <c r="G10" i="22"/>
  <c r="K16" i="22"/>
  <c r="M16" i="22" s="1"/>
  <c r="I19" i="22"/>
  <c r="G13" i="22"/>
  <c r="K18" i="22"/>
  <c r="M18" i="22" s="1"/>
  <c r="K26" i="22"/>
  <c r="M26" i="22" s="1"/>
  <c r="I10" i="22"/>
  <c r="G9" i="22"/>
  <c r="I24" i="22"/>
  <c r="I7" i="22"/>
  <c r="G3" i="28" s="1"/>
  <c r="G24" i="22"/>
  <c r="G22" i="22"/>
  <c r="K21" i="22"/>
  <c r="M21" i="22" s="1"/>
  <c r="G11" i="22"/>
  <c r="I17" i="22"/>
  <c r="I26" i="22"/>
  <c r="G17" i="22"/>
  <c r="K13" i="22"/>
  <c r="M13" i="22" s="1"/>
  <c r="K9" i="22"/>
  <c r="M9" i="22" s="1"/>
  <c r="M10" i="22"/>
  <c r="N10" i="22"/>
  <c r="I16" i="22"/>
  <c r="G20" i="22"/>
  <c r="K8" i="22"/>
  <c r="M8" i="22" s="1"/>
  <c r="K23" i="22"/>
  <c r="M23" i="22" s="1"/>
  <c r="I21" i="22"/>
  <c r="K22" i="22"/>
  <c r="M22" i="22" s="1"/>
  <c r="I8" i="22"/>
  <c r="I23" i="22"/>
  <c r="K20" i="22"/>
  <c r="M20" i="22" s="1"/>
  <c r="K11" i="22"/>
  <c r="M11" i="22" s="1"/>
  <c r="H3" i="28"/>
  <c r="N15" i="22"/>
  <c r="N24" i="22"/>
  <c r="N25"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K35" i="22" l="1"/>
  <c r="N35" i="22" s="1"/>
  <c r="M33" i="22"/>
  <c r="K33" i="22"/>
  <c r="N33" i="22" s="1"/>
  <c r="H2" i="28"/>
  <c r="N19" i="22"/>
  <c r="N21" i="22"/>
  <c r="N12" i="22"/>
  <c r="N7" i="22"/>
  <c r="N14" i="22"/>
  <c r="N26" i="22"/>
  <c r="N18" i="22"/>
  <c r="N16" i="22"/>
  <c r="N8" i="22"/>
  <c r="N20" i="22"/>
  <c r="N13" i="22"/>
  <c r="G2" i="28"/>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<sst xmlns="http://schemas.openxmlformats.org/spreadsheetml/2006/main" count="7793" uniqueCount="4317">
  <si>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</si>
  <si>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</si>
  <si>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</si>
  <si>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</si>
  <si>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</si>
  <si>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</si>
  <si>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</si>
  <si>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</si>
  <si>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</si>
  <si>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</si>
  <si>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</si>
  <si>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</si>
  <si>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</si>
  <si>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</si>
  <si>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</si>
  <si>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</si>
  <si>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</si>
  <si>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</si>
  <si>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</si>
  <si>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</si>
  <si>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</si>
  <si>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</si>
  <si>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</si>
  <si>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</si>
  <si>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</si>
  <si>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</si>
  <si>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</si>
  <si>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</si>
  <si>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</si>
  <si>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</si>
  <si>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</si>
  <si>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</si>
  <si>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</si>
  <si>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</si>
  <si>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</si>
  <si>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</si>
  <si>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</si>
  <si>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</si>
  <si>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</si>
  <si>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</si>
  <si>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</si>
  <si>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</si>
  <si>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</si>
  <si>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</si>
  <si>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</si>
  <si>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</si>
  <si>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</si>
  <si>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</si>
  <si>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</si>
  <si>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</si>
  <si>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</si>
  <si>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</si>
  <si>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</si>
  <si>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</si>
  <si>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</si>
  <si>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</si>
  <si>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</si>
  <si>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</si>
  <si>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</si>
  <si>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</si>
  <si>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</si>
  <si>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</si>
  <si>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</si>
  <si>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</si>
  <si>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</si>
  <si>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</si>
  <si>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</si>
  <si>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</si>
  <si>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</si>
  <si>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</si>
  <si>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</si>
  <si>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</si>
  <si>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</si>
  <si>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</si>
  <si>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</si>
  <si>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</si>
  <si>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</si>
  <si>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</si>
  <si>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</si>
  <si>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</si>
  <si>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</si>
  <si>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</si>
  <si>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</si>
  <si>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</si>
  <si>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</si>
  <si>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</si>
  <si>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</si>
  <si>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</si>
  <si>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</si>
  <si>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</si>
  <si>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</si>
  <si>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</si>
  <si>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</si>
  <si>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</si>
  <si>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</si>
  <si>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</si>
  <si>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</si>
  <si>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</si>
  <si>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</si>
  <si>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</si>
  <si>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</si>
  <si>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</si>
  <si>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</si>
  <si>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</si>
  <si>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</si>
  <si>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</si>
  <si>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</si>
  <si>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</si>
  <si>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</si>
  <si>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</si>
  <si>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</si>
  <si>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</si>
  <si>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</si>
  <si>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</si>
  <si>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</si>
  <si>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</si>
  <si>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</si>
  <si>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</si>
  <si>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</si>
  <si>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</si>
  <si>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</si>
  <si>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</si>
  <si>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</si>
  <si>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</si>
  <si>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</si>
  <si>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</si>
  <si>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</si>
  <si>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</si>
  <si>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</si>
  <si>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</si>
  <si>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</si>
  <si>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</si>
  <si>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</si>
  <si>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</si>
  <si>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</si>
  <si>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</si>
  <si>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</si>
  <si>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</si>
  <si>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</si>
  <si>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</si>
  <si>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</si>
  <si>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</si>
  <si>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</si>
  <si>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</si>
  <si>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</si>
  <si>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</si>
  <si>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</si>
  <si>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</si>
  <si>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</si>
  <si>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</si>
  <si>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</si>
  <si>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</si>
  <si>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</si>
  <si>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</si>
  <si>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</si>
  <si>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</si>
  <si>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</si>
  <si>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</si>
  <si>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</si>
  <si>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</si>
  <si>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</si>
  <si>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</si>
  <si>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</si>
  <si>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</si>
  <si>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</si>
  <si>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</si>
  <si>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\\192.168.24.208\images\R&amp;D\2-Test oestrogénique\OECD and AOPs\REACTIV oecd interlaboratory validation\Results WF\Résultats CBA\2021-CHG-CBA-Anastrozole\plaque 1/@01 ts/A1_01.tif </t>
  </si>
  <si>
    <t xml:space="preserve"> 6765.4178 </t>
  </si>
  <si>
    <t xml:space="preserve"> 69.3601 </t>
  </si>
  <si>
    <t xml:space="preserve">\\192.168.24.208\images\R&amp;D\2-Test oestrogénique\OECD and AOPs\REACTIV oecd interlaboratory validation\Results WF\Résultats CBA\2021-CHG-CBA-Anastrozole\plaque 1/@01 ts/A1_02.tif </t>
  </si>
  <si>
    <t xml:space="preserve"> 5590.715 </t>
  </si>
  <si>
    <t xml:space="preserve"> 67.537 </t>
  </si>
  <si>
    <t xml:space="preserve">\\192.168.24.208\images\R&amp;D\2-Test oestrogénique\OECD and AOPs\REACTIV oecd interlaboratory validation\Results WF\Résultats CBA\2021-CHG-CBA-Anastrozole\plaque 1/@01 ts/A1_03.tif </t>
  </si>
  <si>
    <t xml:space="preserve"> 2392.9131 </t>
  </si>
  <si>
    <t xml:space="preserve"> 64.7545 </t>
  </si>
  <si>
    <t xml:space="preserve">\\192.168.24.208\images\R&amp;D\2-Test oestrogénique\OECD and AOPs\REACTIV oecd interlaboratory validation\Results WF\Résultats CBA\2021-CHG-CBA-Anastrozole\plaque 1/@01 ts/B1_01.tif </t>
  </si>
  <si>
    <t xml:space="preserve"> 2740.9731 </t>
  </si>
  <si>
    <t xml:space="preserve"> 65.5873 </t>
  </si>
  <si>
    <t xml:space="preserve">\\192.168.24.208\images\R&amp;D\2-Test oestrogénique\OECD and AOPs\REACTIV oecd interlaboratory validation\Results WF\Résultats CBA\2021-CHG-CBA-Anastrozole\plaque 1/@01 ts/B1_02.tif </t>
  </si>
  <si>
    <t xml:space="preserve"> 369.8138 </t>
  </si>
  <si>
    <t xml:space="preserve"> 61.8235 </t>
  </si>
  <si>
    <t xml:space="preserve">\\192.168.24.208\images\R&amp;D\2-Test oestrogénique\OECD and AOPs\REACTIV oecd interlaboratory validation\Results WF\Résultats CBA\2021-CHG-CBA-Anastrozole\plaque 1/@01 ts/B1_03.tif </t>
  </si>
  <si>
    <t xml:space="preserve"> 739.6277 </t>
  </si>
  <si>
    <t xml:space="preserve"> 62.8529 </t>
  </si>
  <si>
    <t xml:space="preserve">\\192.168.24.208\images\R&amp;D\2-Test oestrogénique\OECD and AOPs\REACTIV oecd interlaboratory validation\Results WF\Résultats CBA\2021-CHG-CBA-Anastrozole\plaque 1/@01 ts/C1_01.tif </t>
  </si>
  <si>
    <t xml:space="preserve"> 11029.1538 </t>
  </si>
  <si>
    <t xml:space="preserve"> 69.4536 </t>
  </si>
  <si>
    <t xml:space="preserve">\\192.168.24.208\images\R&amp;D\2-Test oestrogénique\OECD and AOPs\REACTIV oecd interlaboratory validation\Results WF\Résultats CBA\2021-CHG-CBA-Anastrozole\plaque 1/@01 ts/C1_02.tif </t>
  </si>
  <si>
    <t xml:space="preserve"> 8701.502 </t>
  </si>
  <si>
    <t xml:space="preserve"> 67.8025 </t>
  </si>
  <si>
    <t xml:space="preserve">\\192.168.24.208\images\R&amp;D\2-Test oestrogénique\OECD and AOPs\REACTIV oecd interlaboratory validation\Results WF\Résultats CBA\2021-CHG-CBA-Anastrozole\plaque 1/@01 ts/C1_03.tif </t>
  </si>
  <si>
    <t xml:space="preserve"> 10942.1388 </t>
  </si>
  <si>
    <t xml:space="preserve"> 67.7018 </t>
  </si>
  <si>
    <t xml:space="preserve">\\192.168.24.208\images\R&amp;D\2-Test oestrogénique\OECD and AOPs\REACTIV oecd interlaboratory validation\Results WF\Résultats CBA\2021-CHG-CBA-Anastrozole\plaque 1/@01 ts/D1_01.tif </t>
  </si>
  <si>
    <t xml:space="preserve"> 10093.7423 </t>
  </si>
  <si>
    <t xml:space="preserve"> 72.3664 </t>
  </si>
  <si>
    <t>\\192.168.24.208\images\R&amp;D\2-Test oestrogénique\OECD and AOPs\REACTIV oecd interlaboratory validation\Results WF\Résultats CBA\2021-CHG-CBA-Anastrozole\plaque 1/@01 ts/D1_02- exclu.tif</t>
  </si>
  <si>
    <t xml:space="preserve">\\192.168.24.208\images\R&amp;D\2-Test oestrogénique\OECD and AOPs\REACTIV oecd interlaboratory validation\Results WF\Résultats CBA\2021-CHG-CBA-Anastrozole\plaque 1/@01 ts/D1_03.tif </t>
  </si>
  <si>
    <t xml:space="preserve"> 8418.7032 </t>
  </si>
  <si>
    <t xml:space="preserve"> 68.5116 </t>
  </si>
  <si>
    <t>\\192.168.24.208\images\R&amp;D\2-Test oestrogénique\OECD and AOPs\REACTIV oecd interlaboratory validation\Results WF\Résultats CBA\2021-CHG-CBA-Anastrozole\plaque 1/@01 ts/E1_01- exclu.tif</t>
  </si>
  <si>
    <t xml:space="preserve">\\192.168.24.208\images\R&amp;D\2-Test oestrogénique\OECD and AOPs\REACTIV oecd interlaboratory validation\Results WF\Résultats CBA\2021-CHG-CBA-Anastrozole\plaque 1/@01 ts/E1_02.tif </t>
  </si>
  <si>
    <t xml:space="preserve"> 1588.0241 </t>
  </si>
  <si>
    <t xml:space="preserve"> 63.2603 </t>
  </si>
  <si>
    <t xml:space="preserve">\\192.168.24.208\images\R&amp;D\2-Test oestrogénique\OECD and AOPs\REACTIV oecd interlaboratory validation\Results WF\Résultats CBA\2021-CHG-CBA-Anastrozole\plaque 1/@01 ts/E1_03.tif </t>
  </si>
  <si>
    <t xml:space="preserve"> 63.1765 </t>
  </si>
  <si>
    <t xml:space="preserve">\\192.168.24.208\images\R&amp;D\2-Test oestrogénique\OECD and AOPs\REACTIV oecd interlaboratory validation\Results WF\Résultats CBA\2021-CHG-CBA-Anastrozole\plaque 1/@01 ts/F1_01.tif </t>
  </si>
  <si>
    <t xml:space="preserve"> 435.0751 </t>
  </si>
  <si>
    <t xml:space="preserve"> 64.45 </t>
  </si>
  <si>
    <t xml:space="preserve">\\192.168.24.208\images\R&amp;D\2-Test oestrogénique\OECD and AOPs\REACTIV oecd interlaboratory validation\Results WF\Résultats CBA\2021-CHG-CBA-Anastrozole\plaque 1/@01 ts/F1_02.tif </t>
  </si>
  <si>
    <t xml:space="preserve"> 326.3063 </t>
  </si>
  <si>
    <t xml:space="preserve"> 62.7333 </t>
  </si>
  <si>
    <t xml:space="preserve">\\192.168.24.208\images\R&amp;D\2-Test oestrogénique\OECD and AOPs\REACTIV oecd interlaboratory validation\Results WF\Résultats CBA\2021-CHG-CBA-Anastrozole\plaque 1/@01 ts/F1_03.tif </t>
  </si>
  <si>
    <t xml:space="preserve"> 304.5526 </t>
  </si>
  <si>
    <t xml:space="preserve"> 62.7143 </t>
  </si>
  <si>
    <t>\\192.168.24.208\images\R&amp;D\2-Test oestrogénique\OECD and AOPs\REACTIV oecd interlaboratory validation\Results WF\Résultats CBA\2021-CHG-CBA-Anastrozole\plaque 1/@01 ts/G1_01- exclu.tif</t>
  </si>
  <si>
    <t xml:space="preserve">\\192.168.24.208\images\R&amp;D\2-Test oestrogénique\OECD and AOPs\REACTIV oecd interlaboratory validation\Results WF\Résultats CBA\2021-CHG-CBA-Anastrozole\plaque 1/@01 ts/G1_02.tif </t>
  </si>
  <si>
    <t xml:space="preserve"> 1218.2103 </t>
  </si>
  <si>
    <t xml:space="preserve"> 63.4107 </t>
  </si>
  <si>
    <t xml:space="preserve">\\192.168.24.208\images\R&amp;D\2-Test oestrogénique\OECD and AOPs\REACTIV oecd interlaboratory validation\Results WF\Résultats CBA\2021-CHG-CBA-Anastrozole\plaque 1/@01 ts/G1_03.tif </t>
  </si>
  <si>
    <t xml:space="preserve"> 1348.7328 </t>
  </si>
  <si>
    <t xml:space="preserve"> 62.6613 </t>
  </si>
  <si>
    <t>\\192.168.24.208\images\R&amp;D\2-Test oestrogénique\OECD and AOPs\REACTIV oecd interlaboratory validation\Results WF\Résultats CBA\2021-CHG-CBA-Anastrozole\plaque 1/@01 ts/H1_01- exclu.tif</t>
  </si>
  <si>
    <t>\\192.168.24.208\images\R&amp;D\2-Test oestrogénique\OECD and AOPs\REACTIV oecd interlaboratory validation\Results WF\Résultats CBA\2021-CHG-CBA-Anastrozole\plaque 1/@01 ts/H1_02- exclu.tif</t>
  </si>
  <si>
    <t xml:space="preserve">\\192.168.24.208\images\R&amp;D\2-Test oestrogénique\OECD and AOPs\REACTIV oecd interlaboratory validation\Results WF\Résultats CBA\2021-CHG-CBA-Anastrozole\plaque 1/@01 ts/H1_03.tif </t>
  </si>
  <si>
    <t xml:space="preserve"> 783.1352 </t>
  </si>
  <si>
    <t xml:space="preserve"> 64.9167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</si>
  <si>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</si>
  <si>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</si>
  <si>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</si>
  <si>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</si>
  <si>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</si>
  <si>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</si>
  <si>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</si>
  <si>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\\192.168.24.208\images\R&amp;D\2-Test oestrogénique\OECD and AOPs\REACTIV oecd interlaboratory validation\Results WF\Résultats CBA\2021-CHG-CBA-Anastrozole\plaque 1/@01 ts/ </t>
  </si>
  <si>
    <t xml:space="preserve"> 65.1416 </t>
  </si>
  <si>
    <t xml:space="preserve"> 2.8199 </t>
  </si>
  <si>
    <t xml:space="preserve"> 222960.667 </t>
  </si>
  <si>
    <t xml:space="preserve"> 266441.607 </t>
  </si>
  <si>
    <t xml:space="preserve">file name </t>
  </si>
  <si>
    <t xml:space="preserve">\\192.168.24.208\images\R&amp;D\2-Test oestrogénique\OECD and AOPs\REACTIV oecd interlaboratory validation\Results WF\Résultats CBA\2021-CHG-CBA-Anastrozole\plaque 1/@02 ee2 33/A2_01.tif </t>
  </si>
  <si>
    <t xml:space="preserve"> 3806.9071 </t>
  </si>
  <si>
    <t xml:space="preserve"> 69.0514 </t>
  </si>
  <si>
    <t xml:space="preserve">\\192.168.24.208\images\R&amp;D\2-Test oestrogénique\OECD and AOPs\REACTIV oecd interlaboratory validation\Results WF\Résultats CBA\2021-CHG-CBA-Anastrozole\plaque 1/@02 ee2 33/A2_02.tif </t>
  </si>
  <si>
    <t xml:space="preserve"> 2697.4656 </t>
  </si>
  <si>
    <t xml:space="preserve"> 65.1694 </t>
  </si>
  <si>
    <t xml:space="preserve">\\192.168.24.208\images\R&amp;D\2-Test oestrogénique\OECD and AOPs\REACTIV oecd interlaboratory validation\Results WF\Résultats CBA\2021-CHG-CBA-Anastrozole\plaque 1/@02 ee2 33/A2_03.tif </t>
  </si>
  <si>
    <t xml:space="preserve"> 391.5676 </t>
  </si>
  <si>
    <t xml:space="preserve"> 63.0556 </t>
  </si>
  <si>
    <t xml:space="preserve">\\192.168.24.208\images\R&amp;D\2-Test oestrogénique\OECD and AOPs\REACTIV oecd interlaboratory validation\Results WF\Résultats CBA\2021-CHG-CBA-Anastrozole\plaque 1/@02 ee2 33/B2_01.tif </t>
  </si>
  <si>
    <t xml:space="preserve"> 522.0901 </t>
  </si>
  <si>
    <t xml:space="preserve"> 62.7917 </t>
  </si>
  <si>
    <t xml:space="preserve">\\192.168.24.208\images\R&amp;D\2-Test oestrogénique\OECD and AOPs\REACTIV oecd interlaboratory validation\Results WF\Résultats CBA\2021-CHG-CBA-Anastrozole\plaque 1/@02 ee2 33/B2_02.tif </t>
  </si>
  <si>
    <t xml:space="preserve"> 543.8439 </t>
  </si>
  <si>
    <t xml:space="preserve"> 63.2 </t>
  </si>
  <si>
    <t xml:space="preserve">\\192.168.24.208\images\R&amp;D\2-Test oestrogénique\OECD and AOPs\REACTIV oecd interlaboratory validation\Results WF\Résultats CBA\2021-CHG-CBA-Anastrozole\plaque 1/@02 ee2 33/B2_03.tif </t>
  </si>
  <si>
    <t xml:space="preserve"> 2001.3455 </t>
  </si>
  <si>
    <t xml:space="preserve"> 64.3043 </t>
  </si>
  <si>
    <t xml:space="preserve">\\192.168.24.208\images\R&amp;D\2-Test oestrogénique\OECD and AOPs\REACTIV oecd interlaboratory validation\Results WF\Résultats CBA\2021-CHG-CBA-Anastrozole\plaque 1/@02 ee2 33/C2_01.tif </t>
  </si>
  <si>
    <t xml:space="preserve"> 565.5976 </t>
  </si>
  <si>
    <t xml:space="preserve"> 63.8077 </t>
  </si>
  <si>
    <t xml:space="preserve">\\192.168.24.208\images\R&amp;D\2-Test oestrogénique\OECD and AOPs\REACTIV oecd interlaboratory validation\Results WF\Résultats CBA\2021-CHG-CBA-Anastrozole\plaque 1/@02 ee2 33/C2_02.tif </t>
  </si>
  <si>
    <t xml:space="preserve"> 478.5826 </t>
  </si>
  <si>
    <t xml:space="preserve"> 63.7273 </t>
  </si>
  <si>
    <t xml:space="preserve">\\192.168.24.208\images\R&amp;D\2-Test oestrogénique\OECD and AOPs\REACTIV oecd interlaboratory validation\Results WF\Résultats CBA\2021-CHG-CBA-Anastrozole\plaque 1/@02 ee2 33/C2_03.tif </t>
  </si>
  <si>
    <t xml:space="preserve"> 63.0588 </t>
  </si>
  <si>
    <t xml:space="preserve">\\192.168.24.208\images\R&amp;D\2-Test oestrogénique\OECD and AOPs\REACTIV oecd interlaboratory validation\Results WF\Résultats CBA\2021-CHG-CBA-Anastrozole\plaque 1/@02 ee2 33/D2_01.tif </t>
  </si>
  <si>
    <t xml:space="preserve"> 63.4167 </t>
  </si>
  <si>
    <t xml:space="preserve">\\192.168.24.208\images\R&amp;D\2-Test oestrogénique\OECD and AOPs\REACTIV oecd interlaboratory validation\Results WF\Résultats CBA\2021-CHG-CBA-Anastrozole\plaque 1/@02 ee2 33/D2_02.tif </t>
  </si>
  <si>
    <t xml:space="preserve"> 61.8667 </t>
  </si>
  <si>
    <t xml:space="preserve">\\192.168.24.208\images\R&amp;D\2-Test oestrogénique\OECD and AOPs\REACTIV oecd interlaboratory validation\Results WF\Résultats CBA\2021-CHG-CBA-Anastrozole\plaque 1/@02 ee2 33/D2_03.tif </t>
  </si>
  <si>
    <t xml:space="preserve"> 63.5 </t>
  </si>
  <si>
    <t>\\192.168.24.208\images\R&amp;D\2-Test oestrogénique\OECD and AOPs\REACTIV oecd interlaboratory validation\Results WF\Résultats CBA\2021-CHG-CBA-Anastrozole\plaque 1/@02 ee2 33/E2_01- exclu.tif</t>
  </si>
  <si>
    <t xml:space="preserve">\\192.168.24.208\images\R&amp;D\2-Test oestrogénique\OECD and AOPs\REACTIV oecd interlaboratory validation\Results WF\Résultats CBA\2021-CHG-CBA-Anastrozole\plaque 1/@02 ee2 33/E2_02.tif </t>
  </si>
  <si>
    <t xml:space="preserve"> 804.8889 </t>
  </si>
  <si>
    <t xml:space="preserve"> 62.9189 </t>
  </si>
  <si>
    <t xml:space="preserve">\\192.168.24.208\images\R&amp;D\2-Test oestrogénique\OECD and AOPs\REACTIV oecd interlaboratory validation\Results WF\Résultats CBA\2021-CHG-CBA-Anastrozole\plaque 1/@02 ee2 33/E2_03.tif </t>
  </si>
  <si>
    <t xml:space="preserve"> 2175.3755 </t>
  </si>
  <si>
    <t xml:space="preserve"> 65.45 </t>
  </si>
  <si>
    <t xml:space="preserve">\\192.168.24.208\images\R&amp;D\2-Test oestrogénique\OECD and AOPs\REACTIV oecd interlaboratory validation\Results WF\Résultats CBA\2021-CHG-CBA-Anastrozole\plaque 1/@02 ee2 33/F2_01.tif </t>
  </si>
  <si>
    <t xml:space="preserve"> 6265.0814 </t>
  </si>
  <si>
    <t xml:space="preserve"> 68.0382 </t>
  </si>
  <si>
    <t xml:space="preserve">\\192.168.24.208\images\R&amp;D\2-Test oestrogénique\OECD and AOPs\REACTIV oecd interlaboratory validation\Results WF\Résultats CBA\2021-CHG-CBA-Anastrozole\plaque 1/@02 ee2 33/F2_02.tif </t>
  </si>
  <si>
    <t xml:space="preserve"> 15466.9198 </t>
  </si>
  <si>
    <t xml:space="preserve"> 99.8256 </t>
  </si>
  <si>
    <t xml:space="preserve">\\192.168.24.208\images\R&amp;D\2-Test oestrogénique\OECD and AOPs\REACTIV oecd interlaboratory validation\Results WF\Résultats CBA\2021-CHG-CBA-Anastrozole\plaque 1/@02 ee2 33/F2_03.tif </t>
  </si>
  <si>
    <t xml:space="preserve"> 10528.8174 </t>
  </si>
  <si>
    <t xml:space="preserve"> 78.6818 </t>
  </si>
  <si>
    <t>\\192.168.24.208\images\R&amp;D\2-Test oestrogénique\OECD and AOPs\REACTIV oecd interlaboratory validation\Results WF\Résultats CBA\2021-CHG-CBA-Anastrozole\plaque 1/@02 ee2 33/G2_01- exclu.tif</t>
  </si>
  <si>
    <t xml:space="preserve">\\192.168.24.208\images\R&amp;D\2-Test oestrogénique\OECD and AOPs\REACTIV oecd interlaboratory validation\Results WF\Résultats CBA\2021-CHG-CBA-Anastrozole\plaque 1/@02 ee2 33/G2_02.tif </t>
  </si>
  <si>
    <t xml:space="preserve"> 62.5 </t>
  </si>
  <si>
    <t xml:space="preserve">\\192.168.24.208\images\R&amp;D\2-Test oestrogénique\OECD and AOPs\REACTIV oecd interlaboratory validation\Results WF\Résultats CBA\2021-CHG-CBA-Anastrozole\plaque 1/@02 ee2 33/G2_03.tif </t>
  </si>
  <si>
    <t xml:space="preserve"> 456.8289 </t>
  </si>
  <si>
    <t xml:space="preserve"> 63.6667 </t>
  </si>
  <si>
    <t xml:space="preserve">\\192.168.24.208\images\R&amp;D\2-Test oestrogénique\OECD and AOPs\REACTIV oecd interlaboratory validation\Results WF\Résultats CBA\2021-CHG-CBA-Anastrozole\plaque 1/@02 ee2 33/H2_01.tif </t>
  </si>
  <si>
    <t xml:space="preserve"> 3132.5407 </t>
  </si>
  <si>
    <t xml:space="preserve"> 65.9931 </t>
  </si>
  <si>
    <t xml:space="preserve">\\192.168.24.208\images\R&amp;D\2-Test oestrogénique\OECD and AOPs\REACTIV oecd interlaboratory validation\Results WF\Résultats CBA\2021-CHG-CBA-Anastrozole\plaque 1/@02 ee2 33/H2_02.tif </t>
  </si>
  <si>
    <t xml:space="preserve"> 2523.4356 </t>
  </si>
  <si>
    <t xml:space="preserve"> 63.819 </t>
  </si>
  <si>
    <t xml:space="preserve">\\192.168.24.208\images\R&amp;D\2-Test oestrogénique\OECD and AOPs\REACTIV oecd interlaboratory validation\Results WF\Résultats CBA\2021-CHG-CBA-Anastrozole\plaque 1/@02 ee2 33/H2_03.tif </t>
  </si>
  <si>
    <t xml:space="preserve"> 3437.0933 </t>
  </si>
  <si>
    <t xml:space="preserve"> 71.2785 </t>
  </si>
  <si>
    <t xml:space="preserve">\\192.168.24.208\images\R&amp;D\2-Test oestrogénique\OECD and AOPs\REACTIV oecd interlaboratory validation\Results WF\Résultats CBA\2021-CHG-CBA-Anastrozole\plaque 1/@02 ee2 33/ </t>
  </si>
  <si>
    <t xml:space="preserve"> 66.5277 </t>
  </si>
  <si>
    <t xml:space="preserve"> 7.9703 </t>
  </si>
  <si>
    <t xml:space="preserve"> 189024.667 </t>
  </si>
  <si>
    <t xml:space="preserve"> 340918.008 </t>
  </si>
  <si>
    <t xml:space="preserve">\\192.168.24.208\images\R&amp;D\2-Test oestrogénique\OECD and AOPs\REACTIV oecd interlaboratory validation\Results WF\Résultats CBA\2021-CHG-CBA-Anastrozole\plaque 1/@03 ee2 50/A3_01.tif </t>
  </si>
  <si>
    <t xml:space="preserve"> 6373.8502 </t>
  </si>
  <si>
    <t xml:space="preserve"> 63.884 </t>
  </si>
  <si>
    <t xml:space="preserve">\\192.168.24.208\images\R&amp;D\2-Test oestrogénique\OECD and AOPs\REACTIV oecd interlaboratory validation\Results WF\Résultats CBA\2021-CHG-CBA-Anastrozole\plaque 1/@03 ee2 50/A3_02.tif </t>
  </si>
  <si>
    <t xml:space="preserve"> 6569.634 </t>
  </si>
  <si>
    <t xml:space="preserve"> 64.3444 </t>
  </si>
  <si>
    <t xml:space="preserve">\\192.168.24.208\images\R&amp;D\2-Test oestrogénique\OECD and AOPs\REACTIV oecd interlaboratory validation\Results WF\Résultats CBA\2021-CHG-CBA-Anastrozole\plaque 1/@03 ee2 50/A3_03.tif </t>
  </si>
  <si>
    <t xml:space="preserve"> 6591.3878 </t>
  </si>
  <si>
    <t xml:space="preserve"> 64.7954 </t>
  </si>
  <si>
    <t xml:space="preserve">\\192.168.24.208\images\R&amp;D\2-Test oestrogénique\OECD and AOPs\REACTIV oecd interlaboratory validation\Results WF\Résultats CBA\2021-CHG-CBA-Anastrozole\plaque 1/@03 ee2 50/B3_01.tif </t>
  </si>
  <si>
    <t xml:space="preserve"> 5025.1174 </t>
  </si>
  <si>
    <t xml:space="preserve"> 66.4892 </t>
  </si>
  <si>
    <t xml:space="preserve">\\192.168.24.208\images\R&amp;D\2-Test oestrogénique\OECD and AOPs\REACTIV oecd interlaboratory validation\Results WF\Résultats CBA\2021-CHG-CBA-Anastrozole\plaque 1/@03 ee2 50/B3_02.tif </t>
  </si>
  <si>
    <t xml:space="preserve"> 5090.3787 </t>
  </si>
  <si>
    <t xml:space="preserve"> 68.4615 </t>
  </si>
  <si>
    <t xml:space="preserve">\\192.168.24.208\images\R&amp;D\2-Test oestrogénique\OECD and AOPs\REACTIV oecd interlaboratory validation\Results WF\Résultats CBA\2021-CHG-CBA-Anastrozole\plaque 1/@03 ee2 50/B3_03.tif </t>
  </si>
  <si>
    <t xml:space="preserve"> 4459.5198 </t>
  </si>
  <si>
    <t xml:space="preserve"> 66.0927 </t>
  </si>
  <si>
    <t xml:space="preserve">\\192.168.24.208\images\R&amp;D\2-Test oestrogénique\OECD and AOPs\REACTIV oecd interlaboratory validation\Results WF\Résultats CBA\2021-CHG-CBA-Anastrozole\plaque 1/@03 ee2 50/C3_01.tif </t>
  </si>
  <si>
    <t xml:space="preserve"> 1435.7478 </t>
  </si>
  <si>
    <t xml:space="preserve"> 65.5 </t>
  </si>
  <si>
    <t xml:space="preserve">\\192.168.24.208\images\R&amp;D\2-Test oestrogénique\OECD and AOPs\REACTIV oecd interlaboratory validation\Results WF\Résultats CBA\2021-CHG-CBA-Anastrozole\plaque 1/@03 ee2 50/C3_02.tif </t>
  </si>
  <si>
    <t xml:space="preserve"> 62.5556 </t>
  </si>
  <si>
    <t>\\192.168.24.208\images\R&amp;D\2-Test oestrogénique\OECD and AOPs\REACTIV oecd interlaboratory validation\Results WF\Résultats CBA\2021-CHG-CBA-Anastrozole\plaque 1/@03 ee2 50/C3_03- exclu.tif</t>
  </si>
  <si>
    <t xml:space="preserve">\\192.168.24.208\images\R&amp;D\2-Test oestrogénique\OECD and AOPs\REACTIV oecd interlaboratory validation\Results WF\Résultats CBA\2021-CHG-CBA-Anastrozole\plaque 1/@03 ee2 50/D3_01.tif </t>
  </si>
  <si>
    <t xml:space="preserve"> 1174.7028 </t>
  </si>
  <si>
    <t xml:space="preserve"> 63.3889 </t>
  </si>
  <si>
    <t xml:space="preserve">\\192.168.24.208\images\R&amp;D\2-Test oestrogénique\OECD and AOPs\REACTIV oecd interlaboratory validation\Results WF\Résultats CBA\2021-CHG-CBA-Anastrozole\plaque 1/@03 ee2 50/D3_02.tif </t>
  </si>
  <si>
    <t xml:space="preserve"> 1740.3004 </t>
  </si>
  <si>
    <t xml:space="preserve"> 63.1375 </t>
  </si>
  <si>
    <t xml:space="preserve">\\192.168.24.208\images\R&amp;D\2-Test oestrogénique\OECD and AOPs\REACTIV oecd interlaboratory validation\Results WF\Résultats CBA\2021-CHG-CBA-Anastrozole\plaque 1/@03 ee2 50/D3_03.tif </t>
  </si>
  <si>
    <t xml:space="preserve"> 1109.4415 </t>
  </si>
  <si>
    <t xml:space="preserve"> 62.5882 </t>
  </si>
  <si>
    <t xml:space="preserve">\\192.168.24.208\images\R&amp;D\2-Test oestrogénique\OECD and AOPs\REACTIV oecd interlaboratory validation\Results WF\Résultats CBA\2021-CHG-CBA-Anastrozole\plaque 1/@03 ee2 50/E3_01.tif </t>
  </si>
  <si>
    <t xml:space="preserve"> 4829.3336 </t>
  </si>
  <si>
    <t xml:space="preserve"> 71.6306 </t>
  </si>
  <si>
    <t xml:space="preserve">\\192.168.24.208\images\R&amp;D\2-Test oestrogénique\OECD and AOPs\REACTIV oecd interlaboratory validation\Results WF\Résultats CBA\2021-CHG-CBA-Anastrozole\plaque 1/@03 ee2 50/E3_02.tif </t>
  </si>
  <si>
    <t xml:space="preserve"> 5808.2526 </t>
  </si>
  <si>
    <t xml:space="preserve"> 66.9288 </t>
  </si>
  <si>
    <t xml:space="preserve">\\192.168.24.208\images\R&amp;D\2-Test oestrogénique\OECD and AOPs\REACTIV oecd interlaboratory validation\Results WF\Résultats CBA\2021-CHG-CBA-Anastrozole\plaque 1/@03 ee2 50/E3_03.tif </t>
  </si>
  <si>
    <t xml:space="preserve"> 5046.8712 </t>
  </si>
  <si>
    <t xml:space="preserve"> 70.3966 </t>
  </si>
  <si>
    <t xml:space="preserve">\\192.168.24.208\images\R&amp;D\2-Test oestrogénique\OECD and AOPs\REACTIV oecd interlaboratory validation\Results WF\Résultats CBA\2021-CHG-CBA-Anastrozole\plaque 1/@03 ee2 50/F3_01.tif </t>
  </si>
  <si>
    <t xml:space="preserve"> 3502.3546 </t>
  </si>
  <si>
    <t xml:space="preserve"> 64.3789 </t>
  </si>
  <si>
    <t xml:space="preserve">\\192.168.24.208\images\R&amp;D\2-Test oestrogénique\OECD and AOPs\REACTIV oecd interlaboratory validation\Results WF\Résultats CBA\2021-CHG-CBA-Anastrozole\plaque 1/@03 ee2 50/F3_02.tif </t>
  </si>
  <si>
    <t xml:space="preserve"> 6112.8052 </t>
  </si>
  <si>
    <t xml:space="preserve"> 69.879 </t>
  </si>
  <si>
    <t xml:space="preserve">\\192.168.24.208\images\R&amp;D\2-Test oestrogénique\OECD and AOPs\REACTIV oecd interlaboratory validation\Results WF\Résultats CBA\2021-CHG-CBA-Anastrozole\plaque 1/@03 ee2 50/F3_03.tif </t>
  </si>
  <si>
    <t xml:space="preserve"> 4089.7059 </t>
  </si>
  <si>
    <t xml:space="preserve"> 68.2394 </t>
  </si>
  <si>
    <t>\\192.168.24.208\images\R&amp;D\2-Test oestrogénique\OECD and AOPs\REACTIV oecd interlaboratory validation\Results WF\Résultats CBA\2021-CHG-CBA-Anastrozole\plaque 1/@03 ee2 50/G3_01- exclu.tif</t>
  </si>
  <si>
    <t>\\192.168.24.208\images\R&amp;D\2-Test oestrogénique\OECD and AOPs\REACTIV oecd interlaboratory validation\Results WF\Résultats CBA\2021-CHG-CBA-Anastrozole\plaque 1/@03 ee2 50/G3_02- exclu.tif</t>
  </si>
  <si>
    <t xml:space="preserve">\\192.168.24.208\images\R&amp;D\2-Test oestrogénique\OECD and AOPs\REACTIV oecd interlaboratory validation\Results WF\Résultats CBA\2021-CHG-CBA-Anastrozole\plaque 1/@03 ee2 50/G3_03.tif </t>
  </si>
  <si>
    <t xml:space="preserve"> 500.3364 </t>
  </si>
  <si>
    <t xml:space="preserve"> 62.2609 </t>
  </si>
  <si>
    <t xml:space="preserve">\\192.168.24.208\images\R&amp;D\2-Test oestrogénique\OECD and AOPs\REACTIV oecd interlaboratory validation\Results WF\Résultats CBA\2021-CHG-CBA-Anastrozole\plaque 1/@03 ee2 50/H3_01.tif </t>
  </si>
  <si>
    <t xml:space="preserve"> 6221.5739 </t>
  </si>
  <si>
    <t xml:space="preserve"> 63.6154 </t>
  </si>
  <si>
    <t xml:space="preserve">\\192.168.24.208\images\R&amp;D\2-Test oestrogénique\OECD and AOPs\REACTIV oecd interlaboratory validation\Results WF\Résultats CBA\2021-CHG-CBA-Anastrozole\plaque 1/@03 ee2 50/H3_02.tif </t>
  </si>
  <si>
    <t xml:space="preserve"> 3915.6759 </t>
  </si>
  <si>
    <t xml:space="preserve"> 63.6833 </t>
  </si>
  <si>
    <t xml:space="preserve">\\192.168.24.208\images\R&amp;D\2-Test oestrogénique\OECD and AOPs\REACTIV oecd interlaboratory validation\Results WF\Résultats CBA\2021-CHG-CBA-Anastrozole\plaque 1/@03 ee2 50/H3_03.tif </t>
  </si>
  <si>
    <t xml:space="preserve"> 2153.6217 </t>
  </si>
  <si>
    <t xml:space="preserve"> 63.404 </t>
  </si>
  <si>
    <t xml:space="preserve">\\192.168.24.208\images\R&amp;D\2-Test oestrogénique\OECD and AOPs\REACTIV oecd interlaboratory validation\Results WF\Résultats CBA\2021-CHG-CBA-Anastrozole\plaque 1/@03 ee2 50/ </t>
  </si>
  <si>
    <t xml:space="preserve"> 65.0973 </t>
  </si>
  <si>
    <t xml:space="preserve"> 2.823 </t>
  </si>
  <si>
    <t xml:space="preserve"> 229930.792 </t>
  </si>
  <si>
    <t xml:space="preserve"> 155944.244 </t>
  </si>
  <si>
    <t>\\192.168.24.208\images\R&amp;D\2-Test oestrogénique\OECD and AOPs\REACTIV oecd interlaboratory validation\Results WF\Résultats CBA\2021-CHG-CBA-Anastrozole\plaque 1/@04 ee2 76/A4_01- exclu.tif</t>
  </si>
  <si>
    <t xml:space="preserve">\\192.168.24.208\images\R&amp;D\2-Test oestrogénique\OECD and AOPs\REACTIV oecd interlaboratory validation\Results WF\Résultats CBA\2021-CHG-CBA-Anastrozole\plaque 1/@04 ee2 76/A4_02.tif </t>
  </si>
  <si>
    <t xml:space="preserve"> 21188.1574 </t>
  </si>
  <si>
    <t xml:space="preserve"> 65.2433 </t>
  </si>
  <si>
    <t xml:space="preserve">\\192.168.24.208\images\R&amp;D\2-Test oestrogénique\OECD and AOPs\REACTIV oecd interlaboratory validation\Results WF\Résultats CBA\2021-CHG-CBA-Anastrozole\plaque 1/@04 ee2 76/A4_03.tif </t>
  </si>
  <si>
    <t xml:space="preserve"> 21840.77 </t>
  </si>
  <si>
    <t xml:space="preserve"> 65.5149 </t>
  </si>
  <si>
    <t xml:space="preserve">\\192.168.24.208\images\R&amp;D\2-Test oestrogénique\OECD and AOPs\REACTIV oecd interlaboratory validation\Results WF\Résultats CBA\2021-CHG-CBA-Anastrozole\plaque 1/@04 ee2 76/B4_01.tif </t>
  </si>
  <si>
    <t xml:space="preserve"> 16815.6526 </t>
  </si>
  <si>
    <t xml:space="preserve"> 65.771 </t>
  </si>
  <si>
    <t xml:space="preserve">\\192.168.24.208\images\R&amp;D\2-Test oestrogénique\OECD and AOPs\REACTIV oecd interlaboratory validation\Results WF\Résultats CBA\2021-CHG-CBA-Anastrozole\plaque 1/@04 ee2 76/B4_02.tif </t>
  </si>
  <si>
    <t xml:space="preserve"> 20274.4997 </t>
  </si>
  <si>
    <t xml:space="preserve"> 67.0204 </t>
  </si>
  <si>
    <t xml:space="preserve">\\192.168.24.208\images\R&amp;D\2-Test oestrogénique\OECD and AOPs\REACTIV oecd interlaboratory validation\Results WF\Résultats CBA\2021-CHG-CBA-Anastrozole\plaque 1/@04 ee2 76/B4_03.tif </t>
  </si>
  <si>
    <t xml:space="preserve"> 8375.1957 </t>
  </si>
  <si>
    <t xml:space="preserve"> 64.6909 </t>
  </si>
  <si>
    <t xml:space="preserve">\\192.168.24.208\images\R&amp;D\2-Test oestrogénique\OECD and AOPs\REACTIV oecd interlaboratory validation\Results WF\Résultats CBA\2021-CHG-CBA-Anastrozole\plaque 1/@04 ee2 76/C4_01.tif </t>
  </si>
  <si>
    <t xml:space="preserve"> 66.5637 </t>
  </si>
  <si>
    <t xml:space="preserve">\\192.168.24.208\images\R&amp;D\2-Test oestrogénique\OECD and AOPs\REACTIV oecd interlaboratory validation\Results WF\Résultats CBA\2021-CHG-CBA-Anastrozole\plaque 1/@04 ee2 76/C4_02.tif </t>
  </si>
  <si>
    <t xml:space="preserve"> 16402.3313 </t>
  </si>
  <si>
    <t xml:space="preserve"> 65.7162 </t>
  </si>
  <si>
    <t xml:space="preserve">\\192.168.24.208\images\R&amp;D\2-Test oestrogénique\OECD and AOPs\REACTIV oecd interlaboratory validation\Results WF\Résultats CBA\2021-CHG-CBA-Anastrozole\plaque 1/@04 ee2 76/C4_03.tif </t>
  </si>
  <si>
    <t xml:space="preserve"> 13944.157 </t>
  </si>
  <si>
    <t xml:space="preserve"> 64.5663 </t>
  </si>
  <si>
    <t xml:space="preserve">\\192.168.24.208\images\R&amp;D\2-Test oestrogénique\OECD and AOPs\REACTIV oecd interlaboratory validation\Results WF\Résultats CBA\2021-CHG-CBA-Anastrozole\plaque 1/@04 ee2 76/D4_01.tif </t>
  </si>
  <si>
    <t xml:space="preserve"> 12834.7155 </t>
  </si>
  <si>
    <t xml:space="preserve"> 67.1153 </t>
  </si>
  <si>
    <t xml:space="preserve">\\192.168.24.208\images\R&amp;D\2-Test oestrogénique\OECD and AOPs\REACTIV oecd interlaboratory validation\Results WF\Résultats CBA\2021-CHG-CBA-Anastrozole\plaque 1/@04 ee2 76/D4_02.tif </t>
  </si>
  <si>
    <t xml:space="preserve"> 15619.1961 </t>
  </si>
  <si>
    <t xml:space="preserve"> 66.6114 </t>
  </si>
  <si>
    <t xml:space="preserve">\\192.168.24.208\images\R&amp;D\2-Test oestrogénique\OECD and AOPs\REACTIV oecd interlaboratory validation\Results WF\Résultats CBA\2021-CHG-CBA-Anastrozole\plaque 1/@04 ee2 76/D4_03.tif </t>
  </si>
  <si>
    <t xml:space="preserve"> 8048.8894 </t>
  </si>
  <si>
    <t xml:space="preserve"> 64.8324 </t>
  </si>
  <si>
    <t xml:space="preserve">\\192.168.24.208\images\R&amp;D\2-Test oestrogénique\OECD and AOPs\REACTIV oecd interlaboratory validation\Results WF\Résultats CBA\2021-CHG-CBA-Anastrozole\plaque 1/@04 ee2 76/E4_01.tif </t>
  </si>
  <si>
    <t xml:space="preserve"> 630.8589 </t>
  </si>
  <si>
    <t xml:space="preserve"> 62.9655 </t>
  </si>
  <si>
    <t xml:space="preserve">\\192.168.24.208\images\R&amp;D\2-Test oestrogénique\OECD and AOPs\REACTIV oecd interlaboratory validation\Results WF\Résultats CBA\2021-CHG-CBA-Anastrozole\plaque 1/@04 ee2 76/E4_02.tif </t>
  </si>
  <si>
    <t xml:space="preserve"> 413.3213 </t>
  </si>
  <si>
    <t xml:space="preserve"> 63.3684 </t>
  </si>
  <si>
    <t xml:space="preserve">\\192.168.24.208\images\R&amp;D\2-Test oestrogénique\OECD and AOPs\REACTIV oecd interlaboratory validation\Results WF\Résultats CBA\2021-CHG-CBA-Anastrozole\plaque 1/@04 ee2 76/E4_03.tif </t>
  </si>
  <si>
    <t xml:space="preserve"> 282.7988 </t>
  </si>
  <si>
    <t xml:space="preserve"> 62.8462 </t>
  </si>
  <si>
    <t xml:space="preserve">\\192.168.24.208\images\R&amp;D\2-Test oestrogénique\OECD and AOPs\REACTIV oecd interlaboratory validation\Results WF\Résultats CBA\2021-CHG-CBA-Anastrozole\plaque 1/@04 ee2 76/F4_01.tif </t>
  </si>
  <si>
    <t xml:space="preserve"> 1392.2403 </t>
  </si>
  <si>
    <t xml:space="preserve"> 62.75 </t>
  </si>
  <si>
    <t xml:space="preserve">\\192.168.24.208\images\R&amp;D\2-Test oestrogénique\OECD and AOPs\REACTIV oecd interlaboratory validation\Results WF\Résultats CBA\2021-CHG-CBA-Anastrozole\plaque 1/@04 ee2 76/F4_02.tif </t>
  </si>
  <si>
    <t xml:space="preserve"> 2284.1443 </t>
  </si>
  <si>
    <t xml:space="preserve"> 63.1143 </t>
  </si>
  <si>
    <t>\\192.168.24.208\images\R&amp;D\2-Test oestrogénique\OECD and AOPs\REACTIV oecd interlaboratory validation\Results WF\Résultats CBA\2021-CHG-CBA-Anastrozole\plaque 1/@04 ee2 76/F4_03- exclu.tif</t>
  </si>
  <si>
    <t xml:space="preserve">\\192.168.24.208\images\R&amp;D\2-Test oestrogénique\OECD and AOPs\REACTIV oecd interlaboratory validation\Results WF\Résultats CBA\2021-CHG-CBA-Anastrozole\plaque 1/@04 ee2 76/G4_01.tif </t>
  </si>
  <si>
    <t xml:space="preserve"> 3545.8621 </t>
  </si>
  <si>
    <t xml:space="preserve"> 62.816 </t>
  </si>
  <si>
    <t xml:space="preserve">\\192.168.24.208\images\R&amp;D\2-Test oestrogénique\OECD and AOPs\REACTIV oecd interlaboratory validation\Results WF\Résultats CBA\2021-CHG-CBA-Anastrozole\plaque 1/@04 ee2 76/G4_02.tif </t>
  </si>
  <si>
    <t xml:space="preserve"> 4394.2585 </t>
  </si>
  <si>
    <t xml:space="preserve"> 63.2475 </t>
  </si>
  <si>
    <t xml:space="preserve">\\192.168.24.208\images\R&amp;D\2-Test oestrogénique\OECD and AOPs\REACTIV oecd interlaboratory validation\Results WF\Résultats CBA\2021-CHG-CBA-Anastrozole\plaque 1/@04 ee2 76/G4_03.tif </t>
  </si>
  <si>
    <t xml:space="preserve"> 3937.4297 </t>
  </si>
  <si>
    <t xml:space="preserve"> 63.8619 </t>
  </si>
  <si>
    <t xml:space="preserve">\\192.168.24.208\images\R&amp;D\2-Test oestrogénique\OECD and AOPs\REACTIV oecd interlaboratory validation\Results WF\Résultats CBA\2021-CHG-CBA-Anastrozole\plaque 1/@04 ee2 76/H4_01.tif </t>
  </si>
  <si>
    <t xml:space="preserve"> 9897.9585 </t>
  </si>
  <si>
    <t xml:space="preserve"> 64.044 </t>
  </si>
  <si>
    <t xml:space="preserve">\\192.168.24.208\images\R&amp;D\2-Test oestrogénique\OECD and AOPs\REACTIV oecd interlaboratory validation\Results WF\Résultats CBA\2021-CHG-CBA-Anastrozole\plaque 1/@04 ee2 76/H4_02.tif </t>
  </si>
  <si>
    <t xml:space="preserve"> 16184.7937 </t>
  </si>
  <si>
    <t xml:space="preserve"> 65.4866 </t>
  </si>
  <si>
    <t xml:space="preserve">\\192.168.24.208\images\R&amp;D\2-Test oestrogénique\OECD and AOPs\REACTIV oecd interlaboratory validation\Results WF\Résultats CBA\2021-CHG-CBA-Anastrozole\plaque 1/@04 ee2 76/H4_03.tif </t>
  </si>
  <si>
    <t xml:space="preserve"> 11551.2439 </t>
  </si>
  <si>
    <t xml:space="preserve"> 64.9171 </t>
  </si>
  <si>
    <t xml:space="preserve">\\192.168.24.208\images\R&amp;D\2-Test oestrogénique\OECD and AOPs\REACTIV oecd interlaboratory validation\Results WF\Résultats CBA\2021-CHG-CBA-Anastrozole\plaque 1/@04 ee2 76/ </t>
  </si>
  <si>
    <t xml:space="preserve"> 65.1404 </t>
  </si>
  <si>
    <t xml:space="preserve"> 2.3353 </t>
  </si>
  <si>
    <t xml:space="preserve"> 744673.708 </t>
  </si>
  <si>
    <t xml:space="preserve"> 516844.198 </t>
  </si>
  <si>
    <t xml:space="preserve">\\192.168.24.208\images\R&amp;D\2-Test oestrogénique\OECD and AOPs\REACTIV oecd interlaboratory validation\Results WF\Résultats CBA\2021-CHG-CBA-Anastrozole\plaque 1/@05 ee2 114/A5_01.tif </t>
  </si>
  <si>
    <t xml:space="preserve"> 24472.9744 </t>
  </si>
  <si>
    <t xml:space="preserve"> 68.3573 </t>
  </si>
  <si>
    <t>\\192.168.24.208\images\R&amp;D\2-Test oestrogénique\OECD and AOPs\REACTIV oecd interlaboratory validation\Results WF\Résultats CBA\2021-CHG-CBA-Anastrozole\plaque 1/@05 ee2 114/A5_02- exclu.tif</t>
  </si>
  <si>
    <t xml:space="preserve">\\192.168.24.208\images\R&amp;D\2-Test oestrogénique\OECD and AOPs\REACTIV oecd interlaboratory validation\Results WF\Résultats CBA\2021-CHG-CBA-Anastrozole\plaque 1/@05 ee2 114/A5_03.tif </t>
  </si>
  <si>
    <t xml:space="preserve"> 22536.8902 </t>
  </si>
  <si>
    <t xml:space="preserve"> 65.918 </t>
  </si>
  <si>
    <t>\\192.168.24.208\images\R&amp;D\2-Test oestrogénique\OECD and AOPs\REACTIV oecd interlaboratory validation\Results WF\Résultats CBA\2021-CHG-CBA-Anastrozole\plaque 1/@05 ee2 114/B5_01- exclu.tif</t>
  </si>
  <si>
    <t xml:space="preserve">\\192.168.24.208\images\R&amp;D\2-Test oestrogénique\OECD and AOPs\REACTIV oecd interlaboratory validation\Results WF\Résultats CBA\2021-CHG-CBA-Anastrozole\plaque 1/@05 ee2 114/B5_02.tif </t>
  </si>
  <si>
    <t xml:space="preserve"> 64.6901 </t>
  </si>
  <si>
    <t xml:space="preserve">\\192.168.24.208\images\R&amp;D\2-Test oestrogénique\OECD and AOPs\REACTIV oecd interlaboratory validation\Results WF\Résultats CBA\2021-CHG-CBA-Anastrozole\plaque 1/@05 ee2 114/B5_03.tif </t>
  </si>
  <si>
    <t xml:space="preserve"> 20557.2985 </t>
  </si>
  <si>
    <t xml:space="preserve"> 67.2444 </t>
  </si>
  <si>
    <t xml:space="preserve">\\192.168.24.208\images\R&amp;D\2-Test oestrogénique\OECD and AOPs\REACTIV oecd interlaboratory validation\Results WF\Résultats CBA\2021-CHG-CBA-Anastrozole\plaque 1/@05 ee2 114/C5_01.tif </t>
  </si>
  <si>
    <t xml:space="preserve"> 3480.6008 </t>
  </si>
  <si>
    <t xml:space="preserve"> 65.6875 </t>
  </si>
  <si>
    <t xml:space="preserve">\\192.168.24.208\images\R&amp;D\2-Test oestrogénique\OECD and AOPs\REACTIV oecd interlaboratory validation\Results WF\Résultats CBA\2021-CHG-CBA-Anastrozole\plaque 1/@05 ee2 114/C5_02.tif </t>
  </si>
  <si>
    <t xml:space="preserve"> 2936.7569 </t>
  </si>
  <si>
    <t xml:space="preserve"> 65.6667 </t>
  </si>
  <si>
    <t xml:space="preserve">\\192.168.24.208\images\R&amp;D\2-Test oestrogénique\OECD and AOPs\REACTIV oecd interlaboratory validation\Results WF\Résultats CBA\2021-CHG-CBA-Anastrozole\plaque 1/@05 ee2 114/C5_03.tif </t>
  </si>
  <si>
    <t xml:space="preserve"> 1239.964 </t>
  </si>
  <si>
    <t xml:space="preserve"> 63.0702 </t>
  </si>
  <si>
    <t xml:space="preserve">\\192.168.24.208\images\R&amp;D\2-Test oestrogénique\OECD and AOPs\REACTIV oecd interlaboratory validation\Results WF\Résultats CBA\2021-CHG-CBA-Anastrozole\plaque 1/@05 ee2 114/D5_01.tif </t>
  </si>
  <si>
    <t xml:space="preserve"> 32782.9088 </t>
  </si>
  <si>
    <t xml:space="preserve"> 67.0836 </t>
  </si>
  <si>
    <t>\\192.168.24.208\images\R&amp;D\2-Test oestrogénique\OECD and AOPs\REACTIV oecd interlaboratory validation\Results WF\Résultats CBA\2021-CHG-CBA-Anastrozole\plaque 1/@05 ee2 114/D5_02- exclu.tif</t>
  </si>
  <si>
    <t xml:space="preserve">\\192.168.24.208\images\R&amp;D\2-Test oestrogénique\OECD and AOPs\REACTIV oecd interlaboratory validation\Results WF\Résultats CBA\2021-CHG-CBA-Anastrozole\plaque 1/@05 ee2 114/D5_03.tif </t>
  </si>
  <si>
    <t xml:space="preserve"> 27823.0526 </t>
  </si>
  <si>
    <t xml:space="preserve"> 65.7451 </t>
  </si>
  <si>
    <t xml:space="preserve">\\192.168.24.208\images\R&amp;D\2-Test oestrogénique\OECD and AOPs\REACTIV oecd interlaboratory validation\Results WF\Résultats CBA\2021-CHG-CBA-Anastrozole\plaque 1/@05 ee2 114/E5_01.tif </t>
  </si>
  <si>
    <t xml:space="preserve"> 16054.2712 </t>
  </si>
  <si>
    <t xml:space="preserve"> 65.0434 </t>
  </si>
  <si>
    <t xml:space="preserve">\\192.168.24.208\images\R&amp;D\2-Test oestrogénique\OECD and AOPs\REACTIV oecd interlaboratory validation\Results WF\Résultats CBA\2021-CHG-CBA-Anastrozole\plaque 1/@05 ee2 114/E5_02.tif </t>
  </si>
  <si>
    <t xml:space="preserve"> 11420.7214 </t>
  </si>
  <si>
    <t xml:space="preserve"> 64.8457 </t>
  </si>
  <si>
    <t xml:space="preserve">\\192.168.24.208\images\R&amp;D\2-Test oestrogénique\OECD and AOPs\REACTIV oecd interlaboratory validation\Results WF\Résultats CBA\2021-CHG-CBA-Anastrozole\plaque 1/@05 ee2 114/E5_03.tif </t>
  </si>
  <si>
    <t xml:space="preserve"> 15793.2261 </t>
  </si>
  <si>
    <t xml:space="preserve"> 65.1639 </t>
  </si>
  <si>
    <t xml:space="preserve">\\192.168.24.208\images\R&amp;D\2-Test oestrogénique\OECD and AOPs\REACTIV oecd interlaboratory validation\Results WF\Résultats CBA\2021-CHG-CBA-Anastrozole\plaque 1/@05 ee2 114/F5_01.tif </t>
  </si>
  <si>
    <t xml:space="preserve"> 52448.3033 </t>
  </si>
  <si>
    <t xml:space="preserve"> 71.3758 </t>
  </si>
  <si>
    <t xml:space="preserve">\\192.168.24.208\images\R&amp;D\2-Test oestrogénique\OECD and AOPs\REACTIV oecd interlaboratory validation\Results WF\Résultats CBA\2021-CHG-CBA-Anastrozole\plaque 1/@05 ee2 114/F5_02.tif </t>
  </si>
  <si>
    <t xml:space="preserve"> 40048.663 </t>
  </si>
  <si>
    <t xml:space="preserve"> 69.7094 </t>
  </si>
  <si>
    <t xml:space="preserve">\\192.168.24.208\images\R&amp;D\2-Test oestrogénique\OECD and AOPs\REACTIV oecd interlaboratory validation\Results WF\Résultats CBA\2021-CHG-CBA-Anastrozole\plaque 1/@05 ee2 114/F5_03.tif </t>
  </si>
  <si>
    <t xml:space="preserve"> 53884.0511 </t>
  </si>
  <si>
    <t xml:space="preserve"> 73.6233 </t>
  </si>
  <si>
    <t>\\192.168.24.208\images\R&amp;D\2-Test oestrogénique\OECD and AOPs\REACTIV oecd interlaboratory validation\Results WF\Résultats CBA\2021-CHG-CBA-Anastrozole\plaque 1/@05 ee2 114/G5_01- exclu.tif</t>
  </si>
  <si>
    <t xml:space="preserve">\\192.168.24.208\images\R&amp;D\2-Test oestrogénique\OECD and AOPs\REACTIV oecd interlaboratory validation\Results WF\Résultats CBA\2021-CHG-CBA-Anastrozole\plaque 1/@05 ee2 114/G5_02.tif </t>
  </si>
  <si>
    <t xml:space="preserve"> 35567.3894 </t>
  </si>
  <si>
    <t xml:space="preserve"> 69.7321 </t>
  </si>
  <si>
    <t xml:space="preserve">\\192.168.24.208\images\R&amp;D\2-Test oestrogénique\OECD and AOPs\REACTIV oecd interlaboratory validation\Results WF\Résultats CBA\2021-CHG-CBA-Anastrozole\plaque 1/@05 ee2 114/G5_03.tif </t>
  </si>
  <si>
    <t xml:space="preserve"> 36959.6298 </t>
  </si>
  <si>
    <t xml:space="preserve"> 76.824 </t>
  </si>
  <si>
    <t xml:space="preserve">\\192.168.24.208\images\R&amp;D\2-Test oestrogénique\OECD and AOPs\REACTIV oecd interlaboratory validation\Results WF\Résultats CBA\2021-CHG-CBA-Anastrozole\plaque 1/@05 ee2 114/H5_01.tif </t>
  </si>
  <si>
    <t xml:space="preserve"> 24081.4068 </t>
  </si>
  <si>
    <t xml:space="preserve"> 66.5185 </t>
  </si>
  <si>
    <t xml:space="preserve">\\192.168.24.208\images\R&amp;D\2-Test oestrogénique\OECD and AOPs\REACTIV oecd interlaboratory validation\Results WF\Résultats CBA\2021-CHG-CBA-Anastrozole\plaque 1/@05 ee2 114/H5_02.tif </t>
  </si>
  <si>
    <t xml:space="preserve"> 25256.1096 </t>
  </si>
  <si>
    <t xml:space="preserve"> 68.1344 </t>
  </si>
  <si>
    <t xml:space="preserve">\\192.168.24.208\images\R&amp;D\2-Test oestrogénique\OECD and AOPs\REACTIV oecd interlaboratory validation\Results WF\Résultats CBA\2021-CHG-CBA-Anastrozole\plaque 1/@05 ee2 114/H5_03.tif </t>
  </si>
  <si>
    <t xml:space="preserve"> 24429.4669 </t>
  </si>
  <si>
    <t xml:space="preserve"> 66.9047 </t>
  </si>
  <si>
    <t xml:space="preserve">\\192.168.24.208\images\R&amp;D\2-Test oestrogénique\OECD and AOPs\REACTIV oecd interlaboratory validation\Results WF\Résultats CBA\2021-CHG-CBA-Anastrozole\plaque 1/@05 ee2 114/ </t>
  </si>
  <si>
    <t xml:space="preserve"> 67.1077 </t>
  </si>
  <si>
    <t xml:space="preserve"> 3.2216 </t>
  </si>
  <si>
    <t xml:space="preserve"> 1537704.08 </t>
  </si>
  <si>
    <t xml:space="preserve"> 1047737.16 </t>
  </si>
  <si>
    <t xml:space="preserve">\\192.168.24.208\images\R&amp;D\2-Test oestrogénique\OECD and AOPs\REACTIV oecd interlaboratory validation\Results WF\Résultats CBA\2021-CHG-CBA-Anastrozole\plaque 1/@06 ee2 170/A6_01.tif </t>
  </si>
  <si>
    <t xml:space="preserve"> 64869.6974 </t>
  </si>
  <si>
    <t xml:space="preserve"> 73.6603 </t>
  </si>
  <si>
    <t xml:space="preserve">\\192.168.24.208\images\R&amp;D\2-Test oestrogénique\OECD and AOPs\REACTIV oecd interlaboratory validation\Results WF\Résultats CBA\2021-CHG-CBA-Anastrozole\plaque 1/@06 ee2 170/A6_02.tif </t>
  </si>
  <si>
    <t xml:space="preserve"> 67306.118 </t>
  </si>
  <si>
    <t xml:space="preserve"> 75.9409 </t>
  </si>
  <si>
    <t xml:space="preserve">\\192.168.24.208\images\R&amp;D\2-Test oestrogénique\OECD and AOPs\REACTIV oecd interlaboratory validation\Results WF\Résultats CBA\2021-CHG-CBA-Anastrozole\plaque 1/@06 ee2 170/A6_03.tif </t>
  </si>
  <si>
    <t xml:space="preserve"> 62585.5531 </t>
  </si>
  <si>
    <t xml:space="preserve"> 75.7786 </t>
  </si>
  <si>
    <t xml:space="preserve">\\192.168.24.208\images\R&amp;D\2-Test oestrogénique\OECD and AOPs\REACTIV oecd interlaboratory validation\Results WF\Résultats CBA\2021-CHG-CBA-Anastrozole\plaque 1/@06 ee2 170/B6_01.tif </t>
  </si>
  <si>
    <t xml:space="preserve"> 65913.8777 </t>
  </si>
  <si>
    <t xml:space="preserve"> 81.2624 </t>
  </si>
  <si>
    <t xml:space="preserve">\\192.168.24.208\images\R&amp;D\2-Test oestrogénique\OECD and AOPs\REACTIV oecd interlaboratory validation\Results WF\Résultats CBA\2021-CHG-CBA-Anastrozole\plaque 1/@06 ee2 170/B6_02.tif </t>
  </si>
  <si>
    <t xml:space="preserve"> 66871.0429 </t>
  </si>
  <si>
    <t xml:space="preserve"> 80.9086 </t>
  </si>
  <si>
    <t xml:space="preserve">\\192.168.24.208\images\R&amp;D\2-Test oestrogénique\OECD and AOPs\REACTIV oecd interlaboratory validation\Results WF\Résultats CBA\2021-CHG-CBA-Anastrozole\plaque 1/@06 ee2 170/B6_03.tif </t>
  </si>
  <si>
    <t xml:space="preserve"> 63977.7935 </t>
  </si>
  <si>
    <t xml:space="preserve"> 81.2747 </t>
  </si>
  <si>
    <t>\\192.168.24.208\images\R&amp;D\2-Test oestrogénique\OECD and AOPs\REACTIV oecd interlaboratory validation\Results WF\Résultats CBA\2021-CHG-CBA-Anastrozole\plaque 1/@06 ee2 170/C6_01- exclu.tif</t>
  </si>
  <si>
    <t>\\192.168.24.208\images\R&amp;D\2-Test oestrogénique\OECD and AOPs\REACTIV oecd interlaboratory validation\Results WF\Résultats CBA\2021-CHG-CBA-Anastrozole\plaque 1/@06 ee2 170/C6_02- exclu.tif</t>
  </si>
  <si>
    <t>\\192.168.24.208\images\R&amp;D\2-Test oestrogénique\OECD and AOPs\REACTIV oecd interlaboratory validation\Results WF\Résultats CBA\2021-CHG-CBA-Anastrozole\plaque 1/@06 ee2 170/C6_03- exclu.tif</t>
  </si>
  <si>
    <t>\\192.168.24.208\images\R&amp;D\2-Test oestrogénique\OECD and AOPs\REACTIV oecd interlaboratory validation\Results WF\Résultats CBA\2021-CHG-CBA-Anastrozole\plaque 1/@06 ee2 170/D6_01- exclu.tif</t>
  </si>
  <si>
    <t>\\192.168.24.208\images\R&amp;D\2-Test oestrogénique\OECD and AOPs\REACTIV oecd interlaboratory validation\Results WF\Résultats CBA\2021-CHG-CBA-Anastrozole\plaque 1/@06 ee2 170/D6_02- exclu.tif</t>
  </si>
  <si>
    <t xml:space="preserve">\\192.168.24.208\images\R&amp;D\2-Test oestrogénique\OECD and AOPs\REACTIV oecd interlaboratory validation\Results WF\Résultats CBA\2021-CHG-CBA-Anastrozole\plaque 1/@06 ee2 170/D6_03.tif </t>
  </si>
  <si>
    <t xml:space="preserve"> 41484.4108 </t>
  </si>
  <si>
    <t xml:space="preserve"> 71.3534 </t>
  </si>
  <si>
    <t xml:space="preserve">\\192.168.24.208\images\R&amp;D\2-Test oestrogénique\OECD and AOPs\REACTIV oecd interlaboratory validation\Results WF\Résultats CBA\2021-CHG-CBA-Anastrozole\plaque 1/@06 ee2 170/E6_01.tif </t>
  </si>
  <si>
    <t xml:space="preserve"> 22341.1064 </t>
  </si>
  <si>
    <t xml:space="preserve"> 76.2629 </t>
  </si>
  <si>
    <t xml:space="preserve">\\192.168.24.208\images\R&amp;D\2-Test oestrogénique\OECD and AOPs\REACTIV oecd interlaboratory validation\Results WF\Résultats CBA\2021-CHG-CBA-Anastrozole\plaque 1/@06 ee2 170/E6_02.tif </t>
  </si>
  <si>
    <t xml:space="preserve"> 23341.7791 </t>
  </si>
  <si>
    <t xml:space="preserve"> 77.123 </t>
  </si>
  <si>
    <t xml:space="preserve">\\192.168.24.208\images\R&amp;D\2-Test oestrogénique\OECD and AOPs\REACTIV oecd interlaboratory validation\Results WF\Résultats CBA\2021-CHG-CBA-Anastrozole\plaque 1/@06 ee2 170/E6_03.tif </t>
  </si>
  <si>
    <t xml:space="preserve"> 22254.0914 </t>
  </si>
  <si>
    <t xml:space="preserve"> 78.6667 </t>
  </si>
  <si>
    <t xml:space="preserve">\\192.168.24.208\images\R&amp;D\2-Test oestrogénique\OECD and AOPs\REACTIV oecd interlaboratory validation\Results WF\Résultats CBA\2021-CHG-CBA-Anastrozole\plaque 1/@06 ee2 170/F6_01.tif </t>
  </si>
  <si>
    <t xml:space="preserve"> 52731.1021 </t>
  </si>
  <si>
    <t xml:space="preserve"> 84.6906 </t>
  </si>
  <si>
    <t xml:space="preserve">\\192.168.24.208\images\R&amp;D\2-Test oestrogénique\OECD and AOPs\REACTIV oecd interlaboratory validation\Results WF\Résultats CBA\2021-CHG-CBA-Anastrozole\plaque 1/@06 ee2 170/F6_02.tif </t>
  </si>
  <si>
    <t xml:space="preserve"> 46574.7895 </t>
  </si>
  <si>
    <t xml:space="preserve"> 85.8786 </t>
  </si>
  <si>
    <t xml:space="preserve">\\192.168.24.208\images\R&amp;D\2-Test oestrogénique\OECD and AOPs\REACTIV oecd interlaboratory validation\Results WF\Résultats CBA\2021-CHG-CBA-Anastrozole\plaque 1/@06 ee2 170/F6_03.tif </t>
  </si>
  <si>
    <t xml:space="preserve"> 53535.9911 </t>
  </si>
  <si>
    <t xml:space="preserve"> 79.8712 </t>
  </si>
  <si>
    <t xml:space="preserve">\\192.168.24.208\images\R&amp;D\2-Test oestrogénique\OECD and AOPs\REACTIV oecd interlaboratory validation\Results WF\Résultats CBA\2021-CHG-CBA-Anastrozole\plaque 1/@06 ee2 170/G6_01.tif </t>
  </si>
  <si>
    <t xml:space="preserve"> 57799.727 </t>
  </si>
  <si>
    <t xml:space="preserve"> 74.7057 </t>
  </si>
  <si>
    <t xml:space="preserve">\\192.168.24.208\images\R&amp;D\2-Test oestrogénique\OECD and AOPs\REACTIV oecd interlaboratory validation\Results WF\Résultats CBA\2021-CHG-CBA-Anastrozole\plaque 1/@06 ee2 170/G6_02.tif </t>
  </si>
  <si>
    <t xml:space="preserve"> 57712.712 </t>
  </si>
  <si>
    <t xml:space="preserve"> 75.6016 </t>
  </si>
  <si>
    <t xml:space="preserve">\\192.168.24.208\images\R&amp;D\2-Test oestrogénique\OECD and AOPs\REACTIV oecd interlaboratory validation\Results WF\Résultats CBA\2021-CHG-CBA-Anastrozole\plaque 1/@06 ee2 170/G6_03.tif </t>
  </si>
  <si>
    <t xml:space="preserve"> 54645.4326 </t>
  </si>
  <si>
    <t xml:space="preserve"> 74.2623 </t>
  </si>
  <si>
    <t>\\192.168.24.208\images\R&amp;D\2-Test oestrogénique\OECD and AOPs\REACTIV oecd interlaboratory validation\Results WF\Résultats CBA\2021-CHG-CBA-Anastrozole\plaque 1/@06 ee2 170/H6_01- exclu.tif</t>
  </si>
  <si>
    <t xml:space="preserve">\\192.168.24.208\images\R&amp;D\2-Test oestrogénique\OECD and AOPs\REACTIV oecd interlaboratory validation\Results WF\Résultats CBA\2021-CHG-CBA-Anastrozole\plaque 1/@06 ee2 170/H6_02.tif </t>
  </si>
  <si>
    <t xml:space="preserve"> 41049.3357 </t>
  </si>
  <si>
    <t xml:space="preserve"> 69.097 </t>
  </si>
  <si>
    <t xml:space="preserve">\\192.168.24.208\images\R&amp;D\2-Test oestrogénique\OECD and AOPs\REACTIV oecd interlaboratory validation\Results WF\Résultats CBA\2021-CHG-CBA-Anastrozole\plaque 1/@06 ee2 170/H6_03.tif </t>
  </si>
  <si>
    <t xml:space="preserve"> 39526.5728 </t>
  </si>
  <si>
    <t xml:space="preserve"> 68.5542 </t>
  </si>
  <si>
    <t xml:space="preserve">\\192.168.24.208\images\R&amp;D\2-Test oestrogénique\OECD and AOPs\REACTIV oecd interlaboratory validation\Results WF\Résultats CBA\2021-CHG-CBA-Anastrozole\plaque 1/@06 ee2 170/ </t>
  </si>
  <si>
    <t xml:space="preserve"> 74.2876 </t>
  </si>
  <si>
    <t xml:space="preserve"> 6.5617 </t>
  </si>
  <si>
    <t xml:space="preserve"> 3164936.54 </t>
  </si>
  <si>
    <t xml:space="preserve"> 1814847.4 </t>
  </si>
  <si>
    <t xml:space="preserve">\\192.168.24.208\images\R&amp;D\2-Test oestrogénique\OECD and AOPs\REACTIV oecd interlaboratory validation\Results WF\Résultats CBA\2021-CHG-CBA-Anastrozole\plaque 1/@07 ee2 488/A7_01.tif </t>
  </si>
  <si>
    <t xml:space="preserve"> 82686.0228 </t>
  </si>
  <si>
    <t xml:space="preserve"> 95.0802 </t>
  </si>
  <si>
    <t>\\192.168.24.208\images\R&amp;D\2-Test oestrogénique\OECD and AOPs\REACTIV oecd interlaboratory validation\Results WF\Résultats CBA\2021-CHG-CBA-Anastrozole\plaque 1/@07 ee2 488/A7_02- exclu.tif</t>
  </si>
  <si>
    <t>\\192.168.24.208\images\R&amp;D\2-Test oestrogénique\OECD and AOPs\REACTIV oecd interlaboratory validation\Results WF\Résultats CBA\2021-CHG-CBA-Anastrozole\plaque 1/@07 ee2 488/A7_03- exclu.tif</t>
  </si>
  <si>
    <t xml:space="preserve">\\192.168.24.208\images\R&amp;D\2-Test oestrogénique\OECD and AOPs\REACTIV oecd interlaboratory validation\Results WF\Résultats CBA\2021-CHG-CBA-Anastrozole\plaque 1/@07 ee2 488/B7_01.tif </t>
  </si>
  <si>
    <t xml:space="preserve"> 69503.2472 </t>
  </si>
  <si>
    <t xml:space="preserve"> 98.4632 </t>
  </si>
  <si>
    <t xml:space="preserve">\\192.168.24.208\images\R&amp;D\2-Test oestrogénique\OECD and AOPs\REACTIV oecd interlaboratory validation\Results WF\Résultats CBA\2021-CHG-CBA-Anastrozole\plaque 1/@07 ee2 488/B7_02.tif </t>
  </si>
  <si>
    <t xml:space="preserve"> 63782.0097 </t>
  </si>
  <si>
    <t xml:space="preserve"> 98.2636 </t>
  </si>
  <si>
    <t xml:space="preserve">\\192.168.24.208\images\R&amp;D\2-Test oestrogénique\OECD and AOPs\REACTIV oecd interlaboratory validation\Results WF\Résultats CBA\2021-CHG-CBA-Anastrozole\plaque 1/@07 ee2 488/B7_03.tif </t>
  </si>
  <si>
    <t xml:space="preserve"> 59779.3188 </t>
  </si>
  <si>
    <t xml:space="preserve"> 103.4007 </t>
  </si>
  <si>
    <t xml:space="preserve">\\192.168.24.208\images\R&amp;D\2-Test oestrogénique\OECD and AOPs\REACTIV oecd interlaboratory validation\Results WF\Résultats CBA\2021-CHG-CBA-Anastrozole\plaque 1/@07 ee2 488/C7_01.tif </t>
  </si>
  <si>
    <t xml:space="preserve"> 57364.6519 </t>
  </si>
  <si>
    <t xml:space="preserve"> 113.2704 </t>
  </si>
  <si>
    <t xml:space="preserve">\\192.168.24.208\images\R&amp;D\2-Test oestrogénique\OECD and AOPs\REACTIV oecd interlaboratory validation\Results WF\Résultats CBA\2021-CHG-CBA-Anastrozole\plaque 1/@07 ee2 488/C7_02.tif </t>
  </si>
  <si>
    <t xml:space="preserve"> 54841.2164 </t>
  </si>
  <si>
    <t xml:space="preserve"> 118.6117 </t>
  </si>
  <si>
    <t xml:space="preserve">\\192.168.24.208\images\R&amp;D\2-Test oestrogénique\OECD and AOPs\REACTIV oecd interlaboratory validation\Results WF\Résultats CBA\2021-CHG-CBA-Anastrozole\plaque 1/@07 ee2 488/C7_03.tif </t>
  </si>
  <si>
    <t xml:space="preserve"> 66305.4453 </t>
  </si>
  <si>
    <t xml:space="preserve"> 107.7979 </t>
  </si>
  <si>
    <t xml:space="preserve">\\192.168.24.208\images\R&amp;D\2-Test oestrogénique\OECD and AOPs\REACTIV oecd interlaboratory validation\Results WF\Résultats CBA\2021-CHG-CBA-Anastrozole\plaque 1/@07 ee2 488/D7_01.tif </t>
  </si>
  <si>
    <t xml:space="preserve"> 74745.9022 </t>
  </si>
  <si>
    <t xml:space="preserve"> 110.2322 </t>
  </si>
  <si>
    <t xml:space="preserve">\\192.168.24.208\images\R&amp;D\2-Test oestrogénique\OECD and AOPs\REACTIV oecd interlaboratory validation\Results WF\Résultats CBA\2021-CHG-CBA-Anastrozole\plaque 1/@07 ee2 488/D7_02.tif </t>
  </si>
  <si>
    <t xml:space="preserve"> 86492.9299 </t>
  </si>
  <si>
    <t xml:space="preserve"> 103.7907 </t>
  </si>
  <si>
    <t xml:space="preserve">\\192.168.24.208\images\R&amp;D\2-Test oestrogénique\OECD and AOPs\REACTIV oecd interlaboratory validation\Results WF\Résultats CBA\2021-CHG-CBA-Anastrozole\plaque 1/@07 ee2 488/D7_03.tif </t>
  </si>
  <si>
    <t xml:space="preserve"> 77117.0615 </t>
  </si>
  <si>
    <t xml:space="preserve"> 107.2254 </t>
  </si>
  <si>
    <t xml:space="preserve">\\192.168.24.208\images\R&amp;D\2-Test oestrogénique\OECD and AOPs\REACTIV oecd interlaboratory validation\Results WF\Résultats CBA\2021-CHG-CBA-Anastrozole\plaque 1/@07 ee2 488/E7_01.tif </t>
  </si>
  <si>
    <t xml:space="preserve"> 69307.4634 </t>
  </si>
  <si>
    <t xml:space="preserve"> 113.5599 </t>
  </si>
  <si>
    <t xml:space="preserve">\\192.168.24.208\images\R&amp;D\2-Test oestrogénique\OECD and AOPs\REACTIV oecd interlaboratory validation\Results WF\Résultats CBA\2021-CHG-CBA-Anastrozole\plaque 1/@07 ee2 488/E7_02.tif </t>
  </si>
  <si>
    <t xml:space="preserve"> 65000.22 </t>
  </si>
  <si>
    <t xml:space="preserve"> 119.5509 </t>
  </si>
  <si>
    <t xml:space="preserve">\\192.168.24.208\images\R&amp;D\2-Test oestrogénique\OECD and AOPs\REACTIV oecd interlaboratory validation\Results WF\Résultats CBA\2021-CHG-CBA-Anastrozole\plaque 1/@07 ee2 488/E7_03.tif </t>
  </si>
  <si>
    <t xml:space="preserve"> 75333.2536 </t>
  </si>
  <si>
    <t xml:space="preserve"> 105.3506 </t>
  </si>
  <si>
    <t xml:space="preserve">\\192.168.24.208\images\R&amp;D\2-Test oestrogénique\OECD and AOPs\REACTIV oecd interlaboratory validation\Results WF\Résultats CBA\2021-CHG-CBA-Anastrozole\plaque 1/@07 ee2 488/F7_01.tif </t>
  </si>
  <si>
    <t xml:space="preserve"> 83186.3591 </t>
  </si>
  <si>
    <t xml:space="preserve"> 103.3509 </t>
  </si>
  <si>
    <t xml:space="preserve">\\192.168.24.208\images\R&amp;D\2-Test oestrogénique\OECD and AOPs\REACTIV oecd interlaboratory validation\Results WF\Résultats CBA\2021-CHG-CBA-Anastrozole\plaque 1/@07 ee2 488/F7_02.tif </t>
  </si>
  <si>
    <t xml:space="preserve"> 76442.6951 </t>
  </si>
  <si>
    <t xml:space="preserve"> 101.5902 </t>
  </si>
  <si>
    <t xml:space="preserve">\\192.168.24.208\images\R&amp;D\2-Test oestrogénique\OECD and AOPs\REACTIV oecd interlaboratory validation\Results WF\Résultats CBA\2021-CHG-CBA-Anastrozole\plaque 1/@07 ee2 488/F7_03.tif </t>
  </si>
  <si>
    <t xml:space="preserve"> 75724.8212 </t>
  </si>
  <si>
    <t xml:space="preserve"> 103.3183 </t>
  </si>
  <si>
    <t xml:space="preserve">\\192.168.24.208\images\R&amp;D\2-Test oestrogénique\OECD and AOPs\REACTIV oecd interlaboratory validation\Results WF\Résultats CBA\2021-CHG-CBA-Anastrozole\plaque 1/@07 ee2 488/G7_01.tif </t>
  </si>
  <si>
    <t xml:space="preserve"> 37198.9211 </t>
  </si>
  <si>
    <t xml:space="preserve"> 88.4275 </t>
  </si>
  <si>
    <t xml:space="preserve">\\192.168.24.208\images\R&amp;D\2-Test oestrogénique\OECD and AOPs\REACTIV oecd interlaboratory validation\Results WF\Résultats CBA\2021-CHG-CBA-Anastrozole\plaque 1/@07 ee2 488/G7_02.tif </t>
  </si>
  <si>
    <t xml:space="preserve"> 42050.0084 </t>
  </si>
  <si>
    <t xml:space="preserve"> 87.09 </t>
  </si>
  <si>
    <t xml:space="preserve">\\192.168.24.208\images\R&amp;D\2-Test oestrogénique\OECD and AOPs\REACTIV oecd interlaboratory validation\Results WF\Résultats CBA\2021-CHG-CBA-Anastrozole\plaque 1/@07 ee2 488/G7_03.tif </t>
  </si>
  <si>
    <t xml:space="preserve"> 39026.2365 </t>
  </si>
  <si>
    <t xml:space="preserve"> 87.4911 </t>
  </si>
  <si>
    <t xml:space="preserve">\\192.168.24.208\images\R&amp;D\2-Test oestrogénique\OECD and AOPs\REACTIV oecd interlaboratory validation\Results WF\Résultats CBA\2021-CHG-CBA-Anastrozole\plaque 1/@07 ee2 488/H7_01.tif </t>
  </si>
  <si>
    <t xml:space="preserve"> 58582.8622 </t>
  </si>
  <si>
    <t xml:space="preserve"> 94.9722 </t>
  </si>
  <si>
    <t xml:space="preserve">\\192.168.24.208\images\R&amp;D\2-Test oestrogénique\OECD and AOPs\REACTIV oecd interlaboratory validation\Results WF\Résultats CBA\2021-CHG-CBA-Anastrozole\plaque 1/@07 ee2 488/H7_02.tif </t>
  </si>
  <si>
    <t xml:space="preserve"> 52926.8859 </t>
  </si>
  <si>
    <t xml:space="preserve"> 95.4353 </t>
  </si>
  <si>
    <t xml:space="preserve">\\192.168.24.208\images\R&amp;D\2-Test oestrogénique\OECD and AOPs\REACTIV oecd interlaboratory validation\Results WF\Résultats CBA\2021-CHG-CBA-Anastrozole\plaque 1/@07 ee2 488/H7_03.tif </t>
  </si>
  <si>
    <t xml:space="preserve"> 45617.6242 </t>
  </si>
  <si>
    <t xml:space="preserve"> 98.144 </t>
  </si>
  <si>
    <t xml:space="preserve">\\192.168.24.208\images\R&amp;D\2-Test oestrogénique\OECD and AOPs\REACTIV oecd interlaboratory validation\Results WF\Résultats CBA\2021-CHG-CBA-Anastrozole\plaque 1/@07 ee2 488/ </t>
  </si>
  <si>
    <t xml:space="preserve"> 99.618 </t>
  </si>
  <si>
    <t xml:space="preserve"> 13.0885 </t>
  </si>
  <si>
    <t xml:space="preserve"> 6249698.92 </t>
  </si>
  <si>
    <t xml:space="preserve"> 2108714.02 </t>
  </si>
  <si>
    <t xml:space="preserve">\\192.168.24.208\images\R&amp;D\2-Test oestrogénique\OECD and AOPs\REACTIV oecd interlaboratory validation\Results WF\Résultats CBA\2021-CHG-CBA-Anastrozole\plaque 1/@08 Anastrozole 0.032/A8_01.tif </t>
  </si>
  <si>
    <t xml:space="preserve"> 4698.8111 </t>
  </si>
  <si>
    <t xml:space="preserve"> 69.4537 </t>
  </si>
  <si>
    <t xml:space="preserve">\\192.168.24.208\images\R&amp;D\2-Test oestrogénique\OECD and AOPs\REACTIV oecd interlaboratory validation\Results WF\Résultats CBA\2021-CHG-CBA-Anastrozole\plaque 1/@08 Anastrozole 0.032/A8_02.tif </t>
  </si>
  <si>
    <t xml:space="preserve"> 5851.7601 </t>
  </si>
  <si>
    <t xml:space="preserve"> 72.513 </t>
  </si>
  <si>
    <t xml:space="preserve">\\192.168.24.208\images\R&amp;D\2-Test oestrogénique\OECD and AOPs\REACTIV oecd interlaboratory validation\Results WF\Résultats CBA\2021-CHG-CBA-Anastrozole\plaque 1/@08 Anastrozole 0.032/A8_03.tif </t>
  </si>
  <si>
    <t xml:space="preserve"> 5416.685 </t>
  </si>
  <si>
    <t xml:space="preserve"> 69.7108 </t>
  </si>
  <si>
    <t xml:space="preserve">\\192.168.24.208\images\R&amp;D\2-Test oestrogénique\OECD and AOPs\REACTIV oecd interlaboratory validation\Results WF\Résultats CBA\2021-CHG-CBA-Anastrozole\plaque 1/@08 Anastrozole 0.032/B8_01.tif </t>
  </si>
  <si>
    <t xml:space="preserve"> 1501.0091 </t>
  </si>
  <si>
    <t xml:space="preserve"> 63.8261 </t>
  </si>
  <si>
    <t xml:space="preserve">\\192.168.24.208\images\R&amp;D\2-Test oestrogénique\OECD and AOPs\REACTIV oecd interlaboratory validation\Results WF\Résultats CBA\2021-CHG-CBA-Anastrozole\plaque 1/@08 Anastrozole 0.032/B8_02.tif </t>
  </si>
  <si>
    <t xml:space="preserve"> 5742.9913 </t>
  </si>
  <si>
    <t xml:space="preserve"> 68.2576 </t>
  </si>
  <si>
    <t xml:space="preserve">\\192.168.24.208\images\R&amp;D\2-Test oestrogénique\OECD and AOPs\REACTIV oecd interlaboratory validation\Results WF\Résultats CBA\2021-CHG-CBA-Anastrozole\plaque 1/@08 Anastrozole 0.032/B8_03.tif </t>
  </si>
  <si>
    <t xml:space="preserve"> 2501.6818 </t>
  </si>
  <si>
    <t xml:space="preserve"> 63.6696 </t>
  </si>
  <si>
    <t xml:space="preserve">\\192.168.24.208\images\R&amp;D\2-Test oestrogénique\OECD and AOPs\REACTIV oecd interlaboratory validation\Results WF\Résultats CBA\2021-CHG-CBA-Anastrozole\plaque 1/@08 Anastrozole 0.032/C8_01.tif </t>
  </si>
  <si>
    <t xml:space="preserve"> 3197.802 </t>
  </si>
  <si>
    <t xml:space="preserve"> 67.3469 </t>
  </si>
  <si>
    <t xml:space="preserve">\\192.168.24.208\images\R&amp;D\2-Test oestrogénique\OECD and AOPs\REACTIV oecd interlaboratory validation\Results WF\Résultats CBA\2021-CHG-CBA-Anastrozole\plaque 1/@08 Anastrozole 0.032/C8_02.tif </t>
  </si>
  <si>
    <t xml:space="preserve"> 1696.7929 </t>
  </si>
  <si>
    <t xml:space="preserve"> 64.5128 </t>
  </si>
  <si>
    <t xml:space="preserve">\\192.168.24.208\images\R&amp;D\2-Test oestrogénique\OECD and AOPs\REACTIV oecd interlaboratory validation\Results WF\Résultats CBA\2021-CHG-CBA-Anastrozole\plaque 1/@08 Anastrozole 0.032/C8_03.tif </t>
  </si>
  <si>
    <t xml:space="preserve"> 2762.7269 </t>
  </si>
  <si>
    <t xml:space="preserve"> 67.6693 </t>
  </si>
  <si>
    <t xml:space="preserve">\\192.168.24.208\images\R&amp;D\2-Test oestrogénique\OECD and AOPs\REACTIV oecd interlaboratory validation\Results WF\Résultats CBA\2021-CHG-CBA-Anastrozole\plaque 1/@08 Anastrozole 0.032/D8_01.tif </t>
  </si>
  <si>
    <t xml:space="preserve"> 63.6964 </t>
  </si>
  <si>
    <t xml:space="preserve">\\192.168.24.208\images\R&amp;D\2-Test oestrogénique\OECD and AOPs\REACTIV oecd interlaboratory validation\Results WF\Résultats CBA\2021-CHG-CBA-Anastrozole\plaque 1/@08 Anastrozole 0.032/D8_02.tif </t>
  </si>
  <si>
    <t xml:space="preserve"> 64.0375 </t>
  </si>
  <si>
    <t xml:space="preserve">\\192.168.24.208\images\R&amp;D\2-Test oestrogénique\OECD and AOPs\REACTIV oecd interlaboratory validation\Results WF\Résultats CBA\2021-CHG-CBA-Anastrozole\plaque 1/@08 Anastrozole 0.032/D8_03.tif </t>
  </si>
  <si>
    <t xml:space="preserve"> 2479.9281 </t>
  </si>
  <si>
    <t xml:space="preserve"> 64.6754 </t>
  </si>
  <si>
    <t>\\192.168.24.208\images\R&amp;D\2-Test oestrogénique\OECD and AOPs\REACTIV oecd interlaboratory validation\Results WF\Résultats CBA\2021-CHG-CBA-Anastrozole\plaque 1/@08 Anastrozole 0.032/E8_01- exclu.tif</t>
  </si>
  <si>
    <t xml:space="preserve">\\192.168.24.208\images\R&amp;D\2-Test oestrogénique\OECD and AOPs\REACTIV oecd interlaboratory validation\Results WF\Résultats CBA\2021-CHG-CBA-Anastrozole\plaque 1/@08 Anastrozole 0.032/E8_02.tif </t>
  </si>
  <si>
    <t xml:space="preserve"> 6156.3127 </t>
  </si>
  <si>
    <t xml:space="preserve"> 84.6502 </t>
  </si>
  <si>
    <t>\\192.168.24.208\images\R&amp;D\2-Test oestrogénique\OECD and AOPs\REACTIV oecd interlaboratory validation\Results WF\Résultats CBA\2021-CHG-CBA-Anastrozole\plaque 1/@08 Anastrozole 0.032/E8_03- exclu.tif</t>
  </si>
  <si>
    <t xml:space="preserve">\\192.168.24.208\images\R&amp;D\2-Test oestrogénique\OECD and AOPs\REACTIV oecd interlaboratory validation\Results WF\Résultats CBA\2021-CHG-CBA-Anastrozole\plaque 1/@08 Anastrozole 0.032/F8_01.tif </t>
  </si>
  <si>
    <t xml:space="preserve"> 5351.4237 </t>
  </si>
  <si>
    <t xml:space="preserve"> 68.9593 </t>
  </si>
  <si>
    <t xml:space="preserve">\\192.168.24.208\images\R&amp;D\2-Test oestrogénique\OECD and AOPs\REACTIV oecd interlaboratory validation\Results WF\Résultats CBA\2021-CHG-CBA-Anastrozole\plaque 1/@08 Anastrozole 0.032/F8_02.tif </t>
  </si>
  <si>
    <t xml:space="preserve"> 4285.4897 </t>
  </si>
  <si>
    <t xml:space="preserve"> 73.0711 </t>
  </si>
  <si>
    <t xml:space="preserve">\\192.168.24.208\images\R&amp;D\2-Test oestrogénique\OECD and AOPs\REACTIV oecd interlaboratory validation\Results WF\Résultats CBA\2021-CHG-CBA-Anastrozole\plaque 1/@08 Anastrozole 0.032/F8_03.tif </t>
  </si>
  <si>
    <t xml:space="preserve"> 2675.7119 </t>
  </si>
  <si>
    <t xml:space="preserve"> 66.1951 </t>
  </si>
  <si>
    <t xml:space="preserve">\\192.168.24.208\images\R&amp;D\2-Test oestrogénique\OECD and AOPs\REACTIV oecd interlaboratory validation\Results WF\Résultats CBA\2021-CHG-CBA-Anastrozole\plaque 1/@08 Anastrozole 0.032/G8_01.tif </t>
  </si>
  <si>
    <t xml:space="preserve"> 65.8293 </t>
  </si>
  <si>
    <t xml:space="preserve">\\192.168.24.208\images\R&amp;D\2-Test oestrogénique\OECD and AOPs\REACTIV oecd interlaboratory validation\Results WF\Résultats CBA\2021-CHG-CBA-Anastrozole\plaque 1/@08 Anastrozole 0.032/G8_02.tif </t>
  </si>
  <si>
    <t xml:space="preserve"> 1870.8229 </t>
  </si>
  <si>
    <t xml:space="preserve"> 63.9767 </t>
  </si>
  <si>
    <t xml:space="preserve">\\192.168.24.208\images\R&amp;D\2-Test oestrogénique\OECD and AOPs\REACTIV oecd interlaboratory validation\Results WF\Résultats CBA\2021-CHG-CBA-Anastrozole\plaque 1/@08 Anastrozole 0.032/G8_03.tif </t>
  </si>
  <si>
    <t xml:space="preserve"> 3415.3395 </t>
  </si>
  <si>
    <t xml:space="preserve"> 64.4841 </t>
  </si>
  <si>
    <t>\\192.168.24.208\images\R&amp;D\2-Test oestrogénique\OECD and AOPs\REACTIV oecd interlaboratory validation\Results WF\Résultats CBA\2021-CHG-CBA-Anastrozole\plaque 1/@08 Anastrozole 0.032/H8_01- exclu.tif</t>
  </si>
  <si>
    <t>\\192.168.24.208\images\R&amp;D\2-Test oestrogénique\OECD and AOPs\REACTIV oecd interlaboratory validation\Results WF\Résultats CBA\2021-CHG-CBA-Anastrozole\plaque 1/@08 Anastrozole 0.032/H8_02- exclu.tif</t>
  </si>
  <si>
    <t>\\192.168.24.208\images\R&amp;D\2-Test oestrogénique\OECD and AOPs\REACTIV oecd interlaboratory validation\Results WF\Résultats CBA\2021-CHG-CBA-Anastrozole\plaque 1/@08 Anastrozole 0.032/H8_03- exclu.tif</t>
  </si>
  <si>
    <t xml:space="preserve">\\192.168.24.208\images\R&amp;D\2-Test oestrogénique\OECD and AOPs\REACTIV oecd interlaboratory validation\Results WF\Résultats CBA\2021-CHG-CBA-Anastrozole\plaque 1/@08 Anastrozole 0.032/ </t>
  </si>
  <si>
    <t xml:space="preserve"> 67.0621 </t>
  </si>
  <si>
    <t xml:space="preserve"> 4.6986 </t>
  </si>
  <si>
    <t xml:space="preserve"> 196153.625 </t>
  </si>
  <si>
    <t xml:space="preserve"> 150134.668 </t>
  </si>
  <si>
    <t xml:space="preserve">\\192.168.24.208\images\R&amp;D\2-Test oestrogénique\OECD and AOPs\REACTIV oecd interlaboratory validation\Results WF\Résultats CBA\2021-CHG-CBA-Anastrozole\plaque 1/@09 Anastrozole 0.16/A9_01.tif </t>
  </si>
  <si>
    <t xml:space="preserve"> 14422.7396 </t>
  </si>
  <si>
    <t xml:space="preserve"> 85.5083 </t>
  </si>
  <si>
    <t xml:space="preserve">\\192.168.24.208\images\R&amp;D\2-Test oestrogénique\OECD and AOPs\REACTIV oecd interlaboratory validation\Results WF\Résultats CBA\2021-CHG-CBA-Anastrozole\plaque 1/@09 Anastrozole 0.16/A9_02.tif </t>
  </si>
  <si>
    <t xml:space="preserve"> 63.8 </t>
  </si>
  <si>
    <t>\\192.168.24.208\images\R&amp;D\2-Test oestrogénique\OECD and AOPs\REACTIV oecd interlaboratory validation\Results WF\Résultats CBA\2021-CHG-CBA-Anastrozole\plaque 1/@09 Anastrozole 0.16/A9_03- exclu.tif</t>
  </si>
  <si>
    <t xml:space="preserve">\\192.168.24.208\images\R&amp;D\2-Test oestrogénique\OECD and AOPs\REACTIV oecd interlaboratory validation\Results WF\Résultats CBA\2021-CHG-CBA-Anastrozole\plaque 1/@09 Anastrozole 0.16/B9_01.tif </t>
  </si>
  <si>
    <t xml:space="preserve"> 63.9286 </t>
  </si>
  <si>
    <t xml:space="preserve">\\192.168.24.208\images\R&amp;D\2-Test oestrogénique\OECD and AOPs\REACTIV oecd interlaboratory validation\Results WF\Résultats CBA\2021-CHG-CBA-Anastrozole\plaque 1/@09 Anastrozole 0.16/B9_02.tif </t>
  </si>
  <si>
    <t xml:space="preserve"> 5699.4838 </t>
  </si>
  <si>
    <t xml:space="preserve"> 67.6565 </t>
  </si>
  <si>
    <t xml:space="preserve">\\192.168.24.208\images\R&amp;D\2-Test oestrogénique\OECD and AOPs\REACTIV oecd interlaboratory validation\Results WF\Résultats CBA\2021-CHG-CBA-Anastrozole\plaque 1/@09 Anastrozole 0.16/B9_03.tif </t>
  </si>
  <si>
    <t xml:space="preserve"> 4046.1984 </t>
  </si>
  <si>
    <t xml:space="preserve"> 64.6935 </t>
  </si>
  <si>
    <t xml:space="preserve">\\192.168.24.208\images\R&amp;D\2-Test oestrogénique\OECD and AOPs\REACTIV oecd interlaboratory validation\Results WF\Résultats CBA\2021-CHG-CBA-Anastrozole\plaque 1/@09 Anastrozole 0.16/C9_01.tif </t>
  </si>
  <si>
    <t xml:space="preserve"> 8222.9194 </t>
  </si>
  <si>
    <t xml:space="preserve"> 69.5503 </t>
  </si>
  <si>
    <t xml:space="preserve">\\192.168.24.208\images\R&amp;D\2-Test oestrogénique\OECD and AOPs\REACTIV oecd interlaboratory validation\Results WF\Résultats CBA\2021-CHG-CBA-Anastrozole\plaque 1/@09 Anastrozole 0.16/C9_02.tif </t>
  </si>
  <si>
    <t xml:space="preserve"> 63.1429 </t>
  </si>
  <si>
    <t xml:space="preserve">\\192.168.24.208\images\R&amp;D\2-Test oestrogénique\OECD and AOPs\REACTIV oecd interlaboratory validation\Results WF\Résultats CBA\2021-CHG-CBA-Anastrozole\plaque 1/@09 Anastrozole 0.16/C9_03.tif </t>
  </si>
  <si>
    <t xml:space="preserve"> 4959.8561 </t>
  </si>
  <si>
    <t xml:space="preserve"> 69.3202 </t>
  </si>
  <si>
    <t xml:space="preserve">\\192.168.24.208\images\R&amp;D\2-Test oestrogénique\OECD and AOPs\REACTIV oecd interlaboratory validation\Results WF\Résultats CBA\2021-CHG-CBA-Anastrozole\plaque 1/@09 Anastrozole 0.16/D9_01.tif </t>
  </si>
  <si>
    <t xml:space="preserve"> 64.75 </t>
  </si>
  <si>
    <t xml:space="preserve">\\192.168.24.208\images\R&amp;D\2-Test oestrogénique\OECD and AOPs\REACTIV oecd interlaboratory validation\Results WF\Résultats CBA\2021-CHG-CBA-Anastrozole\plaque 1/@09 Anastrozole 0.16/D9_02.tif </t>
  </si>
  <si>
    <t xml:space="preserve"> 3850.4146 </t>
  </si>
  <si>
    <t xml:space="preserve"> 70.0904 </t>
  </si>
  <si>
    <t xml:space="preserve">\\192.168.24.208\images\R&amp;D\2-Test oestrogénique\OECD and AOPs\REACTIV oecd interlaboratory validation\Results WF\Résultats CBA\2021-CHG-CBA-Anastrozole\plaque 1/@09 Anastrozole 0.16/D9_03.tif </t>
  </si>
  <si>
    <t xml:space="preserve"> 1326.9791 </t>
  </si>
  <si>
    <t xml:space="preserve"> 65.7213 </t>
  </si>
  <si>
    <t xml:space="preserve">\\192.168.24.208\images\R&amp;D\2-Test oestrogénique\OECD and AOPs\REACTIV oecd interlaboratory validation\Results WF\Résultats CBA\2021-CHG-CBA-Anastrozole\plaque 1/@09 Anastrozole 0.16/E9_01.tif </t>
  </si>
  <si>
    <t xml:space="preserve"> 63.2917 </t>
  </si>
  <si>
    <t xml:space="preserve">\\192.168.24.208\images\R&amp;D\2-Test oestrogénique\OECD and AOPs\REACTIV oecd interlaboratory validation\Results WF\Résultats CBA\2021-CHG-CBA-Anastrozole\plaque 1/@09 Anastrozole 0.16/E9_02.tif </t>
  </si>
  <si>
    <t xml:space="preserve"> 63.1154 </t>
  </si>
  <si>
    <t>\\192.168.24.208\images\R&amp;D\2-Test oestrogénique\OECD and AOPs\REACTIV oecd interlaboratory validation\Results WF\Résultats CBA\2021-CHG-CBA-Anastrozole\plaque 1/@09 Anastrozole 0.16/E9_03- exclu.tif</t>
  </si>
  <si>
    <t xml:space="preserve">\\192.168.24.208\images\R&amp;D\2-Test oestrogénique\OECD and AOPs\REACTIV oecd interlaboratory validation\Results WF\Résultats CBA\2021-CHG-CBA-Anastrozole\plaque 1/@09 Anastrozole 0.16/F9_01.tif </t>
  </si>
  <si>
    <t xml:space="preserve"> 66.2121 </t>
  </si>
  <si>
    <t xml:space="preserve">\\192.168.24.208\images\R&amp;D\2-Test oestrogénique\OECD and AOPs\REACTIV oecd interlaboratory validation\Results WF\Résultats CBA\2021-CHG-CBA-Anastrozole\plaque 1/@09 Anastrozole 0.16/F9_02.tif </t>
  </si>
  <si>
    <t xml:space="preserve"> 3828.6609 </t>
  </si>
  <si>
    <t xml:space="preserve"> 66.6364 </t>
  </si>
  <si>
    <t xml:space="preserve">\\192.168.24.208\images\R&amp;D\2-Test oestrogénique\OECD and AOPs\REACTIV oecd interlaboratory validation\Results WF\Résultats CBA\2021-CHG-CBA-Anastrozole\plaque 1/@09 Anastrozole 0.16/F9_03.tif </t>
  </si>
  <si>
    <t xml:space="preserve"> 64.7778 </t>
  </si>
  <si>
    <t xml:space="preserve">\\192.168.24.208\images\R&amp;D\2-Test oestrogénique\OECD and AOPs\REACTIV oecd interlaboratory validation\Results WF\Résultats CBA\2021-CHG-CBA-Anastrozole\plaque 1/@09 Anastrozole 0.16/G9_01.tif </t>
  </si>
  <si>
    <t xml:space="preserve"> 4263.736 </t>
  </si>
  <si>
    <t xml:space="preserve"> 67.6429 </t>
  </si>
  <si>
    <t>\\192.168.24.208\images\R&amp;D\2-Test oestrogénique\OECD and AOPs\REACTIV oecd interlaboratory validation\Results WF\Résultats CBA\2021-CHG-CBA-Anastrozole\plaque 1/@09 Anastrozole 0.16/G9_02- exclu.tif</t>
  </si>
  <si>
    <t xml:space="preserve">\\192.168.24.208\images\R&amp;D\2-Test oestrogénique\OECD and AOPs\REACTIV oecd interlaboratory validation\Results WF\Résultats CBA\2021-CHG-CBA-Anastrozole\plaque 1/@09 Anastrozole 0.16/G9_03.tif </t>
  </si>
  <si>
    <t xml:space="preserve"> 3893.9221 </t>
  </si>
  <si>
    <t xml:space="preserve"> 66.1564 </t>
  </si>
  <si>
    <t xml:space="preserve">\\192.168.24.208\images\R&amp;D\2-Test oestrogénique\OECD and AOPs\REACTIV oecd interlaboratory validation\Results WF\Résultats CBA\2021-CHG-CBA-Anastrozole\plaque 1/@09 Anastrozole 0.16/H9_01.tif </t>
  </si>
  <si>
    <t xml:space="preserve"> 5003.3637 </t>
  </si>
  <si>
    <t xml:space="preserve"> 65.913 </t>
  </si>
  <si>
    <t xml:space="preserve">\\192.168.24.208\images\R&amp;D\2-Test oestrogénique\OECD and AOPs\REACTIV oecd interlaboratory validation\Results WF\Résultats CBA\2021-CHG-CBA-Anastrozole\plaque 1/@09 Anastrozole 0.16/H9_02.tif </t>
  </si>
  <si>
    <t xml:space="preserve"> 8157.6581 </t>
  </si>
  <si>
    <t xml:space="preserve"> 68.4987 </t>
  </si>
  <si>
    <t xml:space="preserve">\\192.168.24.208\images\R&amp;D\2-Test oestrogénique\OECD and AOPs\REACTIV oecd interlaboratory validation\Results WF\Résultats CBA\2021-CHG-CBA-Anastrozole\plaque 1/@09 Anastrozole 0.16/H9_03.tif </t>
  </si>
  <si>
    <t xml:space="preserve"> 5394.9312 </t>
  </si>
  <si>
    <t xml:space="preserve"> 67.5847 </t>
  </si>
  <si>
    <t xml:space="preserve">\\192.168.24.208\images\R&amp;D\2-Test oestrogénique\OECD and AOPs\REACTIV oecd interlaboratory validation\Results WF\Résultats CBA\2021-CHG-CBA-Anastrozole\plaque 1/@09 Anastrozole 0.16/ </t>
  </si>
  <si>
    <t xml:space="preserve"> 66.6287 </t>
  </si>
  <si>
    <t xml:space="preserve"> 4.5716 </t>
  </si>
  <si>
    <t xml:space="preserve"> 244102.583 </t>
  </si>
  <si>
    <t xml:space="preserve"> 268448.308 </t>
  </si>
  <si>
    <t xml:space="preserve">\\192.168.24.208\images\R&amp;D\2-Test oestrogénique\OECD and AOPs\REACTIV oecd interlaboratory validation\Results WF\Résultats CBA\2021-CHG-CBA-Anastrozole\plaque 1/@10 Anastrozole 0.8/A10_01.tif </t>
  </si>
  <si>
    <t xml:space="preserve"> 64.0124 </t>
  </si>
  <si>
    <t xml:space="preserve">\\192.168.24.208\images\R&amp;D\2-Test oestrogénique\OECD and AOPs\REACTIV oecd interlaboratory validation\Results WF\Résultats CBA\2021-CHG-CBA-Anastrozole\plaque 1/@10 Anastrozole 0.8/A10_02.tif </t>
  </si>
  <si>
    <t xml:space="preserve"> 62.3243 </t>
  </si>
  <si>
    <t xml:space="preserve">\\192.168.24.208\images\R&amp;D\2-Test oestrogénique\OECD and AOPs\REACTIV oecd interlaboratory validation\Results WF\Résultats CBA\2021-CHG-CBA-Anastrozole\plaque 1/@10 Anastrozole 0.8/A10_03.tif </t>
  </si>
  <si>
    <t xml:space="preserve"> 5786.4988 </t>
  </si>
  <si>
    <t xml:space="preserve"> 69.4699 </t>
  </si>
  <si>
    <t xml:space="preserve">\\192.168.24.208\images\R&amp;D\2-Test oestrogénique\OECD and AOPs\REACTIV oecd interlaboratory validation\Results WF\Résultats CBA\2021-CHG-CBA-Anastrozole\plaque 1/@10 Anastrozole 0.8/B10_01.tif </t>
  </si>
  <si>
    <t xml:space="preserve"> 5655.9763 </t>
  </si>
  <si>
    <t xml:space="preserve"> 65.7308 </t>
  </si>
  <si>
    <t xml:space="preserve">\\192.168.24.208\images\R&amp;D\2-Test oestrogénique\OECD and AOPs\REACTIV oecd interlaboratory validation\Results WF\Résultats CBA\2021-CHG-CBA-Anastrozole\plaque 1/@10 Anastrozole 0.8/B10_02.tif </t>
  </si>
  <si>
    <t xml:space="preserve"> 63.4375 </t>
  </si>
  <si>
    <t xml:space="preserve">\\192.168.24.208\images\R&amp;D\2-Test oestrogénique\OECD and AOPs\REACTIV oecd interlaboratory validation\Results WF\Résultats CBA\2021-CHG-CBA-Anastrozole\plaque 1/@10 Anastrozole 0.8/B10_03.tif </t>
  </si>
  <si>
    <t xml:space="preserve"> 2566.9431 </t>
  </si>
  <si>
    <t xml:space="preserve"> 64.5678 </t>
  </si>
  <si>
    <t xml:space="preserve">\\192.168.24.208\images\R&amp;D\2-Test oestrogénique\OECD and AOPs\REACTIV oecd interlaboratory validation\Results WF\Résultats CBA\2021-CHG-CBA-Anastrozole\plaque 1/@10 Anastrozole 0.8/C10_01.tif </t>
  </si>
  <si>
    <t xml:space="preserve"> 66.6826 </t>
  </si>
  <si>
    <t xml:space="preserve">\\192.168.24.208\images\R&amp;D\2-Test oestrogénique\OECD and AOPs\REACTIV oecd interlaboratory validation\Results WF\Résultats CBA\2021-CHG-CBA-Anastrozole\plaque 1/@10 Anastrozole 0.8/C10_02.tif </t>
  </si>
  <si>
    <t xml:space="preserve"> 5199.1474 </t>
  </si>
  <si>
    <t xml:space="preserve"> 70.5439 </t>
  </si>
  <si>
    <t xml:space="preserve">\\192.168.24.208\images\R&amp;D\2-Test oestrogénique\OECD and AOPs\REACTIV oecd interlaboratory validation\Results WF\Résultats CBA\2021-CHG-CBA-Anastrozole\plaque 1/@10 Anastrozole 0.8/C10_03.tif </t>
  </si>
  <si>
    <t xml:space="preserve"> 8092.3969 </t>
  </si>
  <si>
    <t xml:space="preserve"> 71.6156 </t>
  </si>
  <si>
    <t xml:space="preserve">\\192.168.24.208\images\R&amp;D\2-Test oestrogénique\OECD and AOPs\REACTIV oecd interlaboratory validation\Results WF\Résultats CBA\2021-CHG-CBA-Anastrozole\plaque 1/@10 Anastrozole 0.8/D10_01.tif </t>
  </si>
  <si>
    <t xml:space="preserve"> 2349.4055 </t>
  </si>
  <si>
    <t xml:space="preserve"> 64.6759 </t>
  </si>
  <si>
    <t xml:space="preserve">\\192.168.24.208\images\R&amp;D\2-Test oestrogénique\OECD and AOPs\REACTIV oecd interlaboratory validation\Results WF\Résultats CBA\2021-CHG-CBA-Anastrozole\plaque 1/@10 Anastrozole 0.8/D10_02.tif </t>
  </si>
  <si>
    <t xml:space="preserve"> 65.3949 </t>
  </si>
  <si>
    <t xml:space="preserve">\\192.168.24.208\images\R&amp;D\2-Test oestrogénique\OECD and AOPs\REACTIV oecd interlaboratory validation\Results WF\Résultats CBA\2021-CHG-CBA-Anastrozole\plaque 1/@10 Anastrozole 0.8/D10_03.tif </t>
  </si>
  <si>
    <t xml:space="preserve"> 1805.5617 </t>
  </si>
  <si>
    <t xml:space="preserve"> 64.6867 </t>
  </si>
  <si>
    <t xml:space="preserve">\\192.168.24.208\images\R&amp;D\2-Test oestrogénique\OECD and AOPs\REACTIV oecd interlaboratory validation\Results WF\Résultats CBA\2021-CHG-CBA-Anastrozole\plaque 1/@10 Anastrozole 0.8/E10_01.tif </t>
  </si>
  <si>
    <t xml:space="preserve"> 5721.2376 </t>
  </si>
  <si>
    <t xml:space="preserve"> 67.8745 </t>
  </si>
  <si>
    <t xml:space="preserve">\\192.168.24.208\images\R&amp;D\2-Test oestrogénique\OECD and AOPs\REACTIV oecd interlaboratory validation\Results WF\Résultats CBA\2021-CHG-CBA-Anastrozole\plaque 1/@10 Anastrozole 0.8/E10_02.tif </t>
  </si>
  <si>
    <t xml:space="preserve"> 62.8889 </t>
  </si>
  <si>
    <t xml:space="preserve">\\192.168.24.208\images\R&amp;D\2-Test oestrogénique\OECD and AOPs\REACTIV oecd interlaboratory validation\Results WF\Résultats CBA\2021-CHG-CBA-Anastrozole\plaque 1/@10 Anastrozole 0.8/E10_03.tif </t>
  </si>
  <si>
    <t xml:space="preserve"> 674.3664 </t>
  </si>
  <si>
    <t xml:space="preserve"> 62.7419 </t>
  </si>
  <si>
    <t xml:space="preserve">\\192.168.24.208\images\R&amp;D\2-Test oestrogénique\OECD and AOPs\REACTIV oecd interlaboratory validation\Results WF\Résultats CBA\2021-CHG-CBA-Anastrozole\plaque 1/@10 Anastrozole 0.8/F10_01.tif </t>
  </si>
  <si>
    <t xml:space="preserve"> 63.95 </t>
  </si>
  <si>
    <t xml:space="preserve">\\192.168.24.208\images\R&amp;D\2-Test oestrogénique\OECD and AOPs\REACTIV oecd interlaboratory validation\Results WF\Résultats CBA\2021-CHG-CBA-Anastrozole\plaque 1/@10 Anastrozole 0.8/F10_02.tif </t>
  </si>
  <si>
    <t xml:space="preserve">\\192.168.24.208\images\R&amp;D\2-Test oestrogénique\OECD and AOPs\REACTIV oecd interlaboratory validation\Results WF\Résultats CBA\2021-CHG-CBA-Anastrozole\plaque 1/@10 Anastrozole 0.8/F10_03.tif </t>
  </si>
  <si>
    <t xml:space="preserve"> 66.5789 </t>
  </si>
  <si>
    <t xml:space="preserve">\\192.168.24.208\images\R&amp;D\2-Test oestrogénique\OECD and AOPs\REACTIV oecd interlaboratory validation\Results WF\Résultats CBA\2021-CHG-CBA-Anastrozole\plaque 1/@10 Anastrozole 0.8/G10_01.tif </t>
  </si>
  <si>
    <t xml:space="preserve"> 4372.5048 </t>
  </si>
  <si>
    <t xml:space="preserve"> 67.7264 </t>
  </si>
  <si>
    <t xml:space="preserve">\\192.168.24.208\images\R&amp;D\2-Test oestrogénique\OECD and AOPs\REACTIV oecd interlaboratory validation\Results WF\Résultats CBA\2021-CHG-CBA-Anastrozole\plaque 1/@10 Anastrozole 0.8/G10_02.tif </t>
  </si>
  <si>
    <t xml:space="preserve"> 4568.2886 </t>
  </si>
  <si>
    <t xml:space="preserve"> 66.2857 </t>
  </si>
  <si>
    <t xml:space="preserve">\\192.168.24.208\images\R&amp;D\2-Test oestrogénique\OECD and AOPs\REACTIV oecd interlaboratory validation\Results WF\Résultats CBA\2021-CHG-CBA-Anastrozole\plaque 1/@10 Anastrozole 0.8/G10_03.tif </t>
  </si>
  <si>
    <t xml:space="preserve"> 2588.6968 </t>
  </si>
  <si>
    <t xml:space="preserve"> 64.8908 </t>
  </si>
  <si>
    <t xml:space="preserve">\\192.168.24.208\images\R&amp;D\2-Test oestrogénique\OECD and AOPs\REACTIV oecd interlaboratory validation\Results WF\Résultats CBA\2021-CHG-CBA-Anastrozole\plaque 1/@10 Anastrozole 0.8/H10_01.tif </t>
  </si>
  <si>
    <t xml:space="preserve"> 69.0417 </t>
  </si>
  <si>
    <t xml:space="preserve">\\192.168.24.208\images\R&amp;D\2-Test oestrogénique\OECD and AOPs\REACTIV oecd interlaboratory validation\Results WF\Résultats CBA\2021-CHG-CBA-Anastrozole\plaque 1/@10 Anastrozole 0.8/H10_02.tif </t>
  </si>
  <si>
    <t xml:space="preserve"> 7548.553 </t>
  </si>
  <si>
    <t xml:space="preserve"> 66.1556 </t>
  </si>
  <si>
    <t xml:space="preserve">\\192.168.24.208\images\R&amp;D\2-Test oestrogénique\OECD and AOPs\REACTIV oecd interlaboratory validation\Results WF\Résultats CBA\2021-CHG-CBA-Anastrozole\plaque 1/@10 Anastrozole 0.8/H10_03.tif </t>
  </si>
  <si>
    <t xml:space="preserve"> 696.1202 </t>
  </si>
  <si>
    <t xml:space="preserve">\\192.168.24.208\images\R&amp;D\2-Test oestrogénique\OECD and AOPs\REACTIV oecd interlaboratory validation\Results WF\Résultats CBA\2021-CHG-CBA-Anastrozole\plaque 1/@10 Anastrozole 0.8/ </t>
  </si>
  <si>
    <t xml:space="preserve"> 65.7407 </t>
  </si>
  <si>
    <t xml:space="preserve"> 2.5558 </t>
  </si>
  <si>
    <t xml:space="preserve"> 223023.125 </t>
  </si>
  <si>
    <t xml:space="preserve"> 169885.769 </t>
  </si>
  <si>
    <t xml:space="preserve">\\192.168.24.208\images\R&amp;D\2-Test oestrogénique\OECD and AOPs\REACTIV oecd interlaboratory validation\Results WF\Résultats CBA\2021-CHG-CBA-Anastrozole\plaque 1/@11 Anastrozole 4/A11_01.tif </t>
  </si>
  <si>
    <t xml:space="preserve"> 63.8636 </t>
  </si>
  <si>
    <t xml:space="preserve">\\192.168.24.208\images\R&amp;D\2-Test oestrogénique\OECD and AOPs\REACTIV oecd interlaboratory validation\Results WF\Résultats CBA\2021-CHG-CBA-Anastrozole\plaque 1/@11 Anastrozole 4/A11_02.tif </t>
  </si>
  <si>
    <t xml:space="preserve"> 1022.4265 </t>
  </si>
  <si>
    <t xml:space="preserve"> 67.7234 </t>
  </si>
  <si>
    <t xml:space="preserve">\\192.168.24.208\images\R&amp;D\2-Test oestrogénique\OECD and AOPs\REACTIV oecd interlaboratory validation\Results WF\Résultats CBA\2021-CHG-CBA-Anastrozole\plaque 1/@11 Anastrozole 4/A11_03.tif </t>
  </si>
  <si>
    <t xml:space="preserve"> 2893.2494 </t>
  </si>
  <si>
    <t xml:space="preserve"> 65.1805 </t>
  </si>
  <si>
    <t xml:space="preserve">\\192.168.24.208\images\R&amp;D\2-Test oestrogénique\OECD and AOPs\REACTIV oecd interlaboratory validation\Results WF\Résultats CBA\2021-CHG-CBA-Anastrozole\plaque 1/@11 Anastrozole 4/B11_01.tif </t>
  </si>
  <si>
    <t xml:space="preserve"> 63.4828 </t>
  </si>
  <si>
    <t xml:space="preserve">\\192.168.24.208\images\R&amp;D\2-Test oestrogénique\OECD and AOPs\REACTIV oecd interlaboratory validation\Results WF\Résultats CBA\2021-CHG-CBA-Anastrozole\plaque 1/@11 Anastrozole 4/B11_02.tif </t>
  </si>
  <si>
    <t xml:space="preserve"> 62.9565 </t>
  </si>
  <si>
    <t xml:space="preserve">\\192.168.24.208\images\R&amp;D\2-Test oestrogénique\OECD and AOPs\REACTIV oecd interlaboratory validation\Results WF\Résultats CBA\2021-CHG-CBA-Anastrozole\plaque 1/@11 Anastrozole 4/B11_03.tif </t>
  </si>
  <si>
    <t xml:space="preserve"> 195.7838 </t>
  </si>
  <si>
    <t xml:space="preserve">\\192.168.24.208\images\R&amp;D\2-Test oestrogénique\OECD and AOPs\REACTIV oecd interlaboratory validation\Results WF\Résultats CBA\2021-CHG-CBA-Anastrozole\plaque 1/@11 Anastrozole 4/C11_01.tif </t>
  </si>
  <si>
    <t xml:space="preserve"> 2849.7419 </t>
  </si>
  <si>
    <t xml:space="preserve"> 64.7481 </t>
  </si>
  <si>
    <t xml:space="preserve">\\192.168.24.208\images\R&amp;D\2-Test oestrogénique\OECD and AOPs\REACTIV oecd interlaboratory validation\Results WF\Résultats CBA\2021-CHG-CBA-Anastrozole\plaque 1/@11 Anastrozole 4/C11_02.tif </t>
  </si>
  <si>
    <t xml:space="preserve"> 63.0851 </t>
  </si>
  <si>
    <t xml:space="preserve">\\192.168.24.208\images\R&amp;D\2-Test oestrogénique\OECD and AOPs\REACTIV oecd interlaboratory validation\Results WF\Résultats CBA\2021-CHG-CBA-Anastrozole\plaque 1/@11 Anastrozole 4/C11_03.tif </t>
  </si>
  <si>
    <t xml:space="preserve"> 1152.949 </t>
  </si>
  <si>
    <t xml:space="preserve"> 64.3019 </t>
  </si>
  <si>
    <t xml:space="preserve">\\192.168.24.208\images\R&amp;D\2-Test oestrogénique\OECD and AOPs\REACTIV oecd interlaboratory validation\Results WF\Résultats CBA\2021-CHG-CBA-Anastrozole\plaque 1/@11 Anastrozole 4/D11_01.tif </t>
  </si>
  <si>
    <t xml:space="preserve"> 67.9255 </t>
  </si>
  <si>
    <t xml:space="preserve">\\192.168.24.208\images\R&amp;D\2-Test oestrogénique\OECD and AOPs\REACTIV oecd interlaboratory validation\Results WF\Résultats CBA\2021-CHG-CBA-Anastrozole\plaque 1/@11 Anastrozole 4/D11_02.tif </t>
  </si>
  <si>
    <t xml:space="preserve"> 848.3964 </t>
  </si>
  <si>
    <t xml:space="preserve"> 63.2564 </t>
  </si>
  <si>
    <t xml:space="preserve">\\192.168.24.208\images\R&amp;D\2-Test oestrogénique\OECD and AOPs\REACTIV oecd interlaboratory validation\Results WF\Résultats CBA\2021-CHG-CBA-Anastrozole\plaque 1/@11 Anastrozole 4/D11_03.tif </t>
  </si>
  <si>
    <t xml:space="preserve"> 2197.1293 </t>
  </si>
  <si>
    <t xml:space="preserve"> 65.1386 </t>
  </si>
  <si>
    <t xml:space="preserve">\\192.168.24.208\images\R&amp;D\2-Test oestrogénique\OECD and AOPs\REACTIV oecd interlaboratory validation\Results WF\Résultats CBA\2021-CHG-CBA-Anastrozole\plaque 1/@11 Anastrozole 4/E11_01.tif </t>
  </si>
  <si>
    <t xml:space="preserve"> 4154.9672 </t>
  </si>
  <si>
    <t xml:space="preserve"> 69.3717 </t>
  </si>
  <si>
    <t xml:space="preserve">\\192.168.24.208\images\R&amp;D\2-Test oestrogénique\OECD and AOPs\REACTIV oecd interlaboratory validation\Results WF\Résultats CBA\2021-CHG-CBA-Anastrozole\plaque 1/@11 Anastrozole 4/E11_02.tif </t>
  </si>
  <si>
    <t xml:space="preserve"> 3589.3696 </t>
  </si>
  <si>
    <t xml:space="preserve"> 73.097 </t>
  </si>
  <si>
    <t xml:space="preserve">\\192.168.24.208\images\R&amp;D\2-Test oestrogénique\OECD and AOPs\REACTIV oecd interlaboratory validation\Results WF\Résultats CBA\2021-CHG-CBA-Anastrozole\plaque 1/@11 Anastrozole 4/E11_03.tif </t>
  </si>
  <si>
    <t xml:space="preserve"> 64.4667 </t>
  </si>
  <si>
    <t xml:space="preserve">\\192.168.24.208\images\R&amp;D\2-Test oestrogénique\OECD and AOPs\REACTIV oecd interlaboratory validation\Results WF\Résultats CBA\2021-CHG-CBA-Anastrozole\plaque 1/@11 Anastrozole 4/F11_01.tif </t>
  </si>
  <si>
    <t xml:space="preserve"> 5568.9613 </t>
  </si>
  <si>
    <t xml:space="preserve"> 67.0312 </t>
  </si>
  <si>
    <t xml:space="preserve">\\192.168.24.208\images\R&amp;D\2-Test oestrogénique\OECD and AOPs\REACTIV oecd interlaboratory validation\Results WF\Résultats CBA\2021-CHG-CBA-Anastrozole\plaque 1/@11 Anastrozole 4/F11_02.tif </t>
  </si>
  <si>
    <t xml:space="preserve"> 64.4136 </t>
  </si>
  <si>
    <t xml:space="preserve">\\192.168.24.208\images\R&amp;D\2-Test oestrogénique\OECD and AOPs\REACTIV oecd interlaboratory validation\Results WF\Résultats CBA\2021-CHG-CBA-Anastrozole\plaque 1/@11 Anastrozole 4/F11_03.tif </t>
  </si>
  <si>
    <t xml:space="preserve"> 5264.4087 </t>
  </si>
  <si>
    <t xml:space="preserve"> 68.4876 </t>
  </si>
  <si>
    <t xml:space="preserve">\\192.168.24.208\images\R&amp;D\2-Test oestrogénique\OECD and AOPs\REACTIV oecd interlaboratory validation\Results WF\Résultats CBA\2021-CHG-CBA-Anastrozole\plaque 1/@11 Anastrozole 4/G11_01.tif </t>
  </si>
  <si>
    <t xml:space="preserve"> 13378.5593 </t>
  </si>
  <si>
    <t xml:space="preserve"> 89.5203 </t>
  </si>
  <si>
    <t xml:space="preserve">\\192.168.24.208\images\R&amp;D\2-Test oestrogénique\OECD and AOPs\REACTIV oecd interlaboratory validation\Results WF\Résultats CBA\2021-CHG-CBA-Anastrozole\plaque 1/@11 Anastrozole 4/G11_02.tif </t>
  </si>
  <si>
    <t xml:space="preserve"> 9702.1747 </t>
  </si>
  <si>
    <t xml:space="preserve"> 77.2758 </t>
  </si>
  <si>
    <t xml:space="preserve">\\192.168.24.208\images\R&amp;D\2-Test oestrogénique\OECD and AOPs\REACTIV oecd interlaboratory validation\Results WF\Résultats CBA\2021-CHG-CBA-Anastrozole\plaque 1/@11 Anastrozole 4/G11_03.tif </t>
  </si>
  <si>
    <t xml:space="preserve"> 10985.6463 </t>
  </si>
  <si>
    <t xml:space="preserve"> 78.3267 </t>
  </si>
  <si>
    <t>\\192.168.24.208\images\R&amp;D\2-Test oestrogénique\OECD and AOPs\REACTIV oecd interlaboratory validation\Results WF\Résultats CBA\2021-CHG-CBA-Anastrozole\plaque 1/@11 Anastrozole 4/H11_01- exclu.tif</t>
  </si>
  <si>
    <t>\\192.168.24.208\images\R&amp;D\2-Test oestrogénique\OECD and AOPs\REACTIV oecd interlaboratory validation\Results WF\Résultats CBA\2021-CHG-CBA-Anastrozole\plaque 1/@11 Anastrozole 4/H11_02- exclu.tif</t>
  </si>
  <si>
    <t>\\192.168.24.208\images\R&amp;D\2-Test oestrogénique\OECD and AOPs\REACTIV oecd interlaboratory validation\Results WF\Résultats CBA\2021-CHG-CBA-Anastrozole\plaque 1/@11 Anastrozole 4/H11_03- exclu.tif</t>
  </si>
  <si>
    <t xml:space="preserve">\\192.168.24.208\images\R&amp;D\2-Test oestrogénique\OECD and AOPs\REACTIV oecd interlaboratory validation\Results WF\Résultats CBA\2021-CHG-CBA-Anastrozole\plaque 1/@11 Anastrozole 4/ </t>
  </si>
  <si>
    <t xml:space="preserve"> 67.4507 </t>
  </si>
  <si>
    <t xml:space="preserve"> 6.3582 </t>
  </si>
  <si>
    <t xml:space="preserve"> 235226.917 </t>
  </si>
  <si>
    <t xml:space="preserve"> 302057.802 </t>
  </si>
  <si>
    <t xml:space="preserve">\\192.168.24.208\images\R&amp;D\2-Test oestrogénique\OECD and AOPs\REACTIV oecd interlaboratory validation\Results WF\Résultats CBA\2021-CHG-CBA-Anastrozole\plaque 1/@12 Anastrozole 20/A12_01.tif </t>
  </si>
  <si>
    <t xml:space="preserve"> 11485.9826 </t>
  </si>
  <si>
    <t xml:space="preserve"> 80.2254 </t>
  </si>
  <si>
    <t xml:space="preserve">\\192.168.24.208\images\R&amp;D\2-Test oestrogénique\OECD and AOPs\REACTIV oecd interlaboratory validation\Results WF\Résultats CBA\2021-CHG-CBA-Anastrozole\plaque 1/@12 Anastrozole 20/A12_02.tif </t>
  </si>
  <si>
    <t xml:space="preserve"> 8984.3008 </t>
  </si>
  <si>
    <t xml:space="preserve"> 75.6077 </t>
  </si>
  <si>
    <t>\\192.168.24.208\images\R&amp;D\2-Test oestrogénique\OECD and AOPs\REACTIV oecd interlaboratory validation\Results WF\Résultats CBA\2021-CHG-CBA-Anastrozole\plaque 1/@12 Anastrozole 20/A12_03- exclu.tif</t>
  </si>
  <si>
    <t xml:space="preserve">\\192.168.24.208\images\R&amp;D\2-Test oestrogénique\OECD and AOPs\REACTIV oecd interlaboratory validation\Results WF\Résultats CBA\2021-CHG-CBA-Anastrozole\plaque 1/@12 Anastrozole 20/B12_01.tif </t>
  </si>
  <si>
    <t xml:space="preserve"> 7069.9704 </t>
  </si>
  <si>
    <t xml:space="preserve"> 68.0462 </t>
  </si>
  <si>
    <t xml:space="preserve">\\192.168.24.208\images\R&amp;D\2-Test oestrogénique\OECD and AOPs\REACTIV oecd interlaboratory validation\Results WF\Résultats CBA\2021-CHG-CBA-Anastrozole\plaque 1/@12 Anastrozole 20/B12_02.tif </t>
  </si>
  <si>
    <t xml:space="preserve"> 826.6427 </t>
  </si>
  <si>
    <t>\\192.168.24.208\images\R&amp;D\2-Test oestrogénique\OECD and AOPs\REACTIV oecd interlaboratory validation\Results WF\Résultats CBA\2021-CHG-CBA-Anastrozole\plaque 1/@12 Anastrozole 20/B12_03- exclu.tif</t>
  </si>
  <si>
    <t xml:space="preserve">\\192.168.24.208\images\R&amp;D\2-Test oestrogénique\OECD and AOPs\REACTIV oecd interlaboratory validation\Results WF\Résultats CBA\2021-CHG-CBA-Anastrozole\plaque 1/@12 Anastrozole 20/C12_01.tif </t>
  </si>
  <si>
    <t xml:space="preserve"> 2980.2644 </t>
  </si>
  <si>
    <t xml:space="preserve"> 63.7664 </t>
  </si>
  <si>
    <t xml:space="preserve">\\192.168.24.208\images\R&amp;D\2-Test oestrogénique\OECD and AOPs\REACTIV oecd interlaboratory validation\Results WF\Résultats CBA\2021-CHG-CBA-Anastrozole\plaque 1/@12 Anastrozole 20/C12_02.tif </t>
  </si>
  <si>
    <t xml:space="preserve"> 68.3045 </t>
  </si>
  <si>
    <t xml:space="preserve">\\192.168.24.208\images\R&amp;D\2-Test oestrogénique\OECD and AOPs\REACTIV oecd interlaboratory validation\Results WF\Résultats CBA\2021-CHG-CBA-Anastrozole\plaque 1/@12 Anastrozole 20/C12_03.tif </t>
  </si>
  <si>
    <t xml:space="preserve"> 65.5646 </t>
  </si>
  <si>
    <t xml:space="preserve">\\192.168.24.208\images\R&amp;D\2-Test oestrogénique\OECD and AOPs\REACTIV oecd interlaboratory validation\Results WF\Résultats CBA\2021-CHG-CBA-Anastrozole\plaque 1/@12 Anastrozole 20/D12_01.tif </t>
  </si>
  <si>
    <t xml:space="preserve"> 5373.1775 </t>
  </si>
  <si>
    <t xml:space="preserve"> 70.6761 </t>
  </si>
  <si>
    <t xml:space="preserve">\\192.168.24.208\images\R&amp;D\2-Test oestrogénique\OECD and AOPs\REACTIV oecd interlaboratory validation\Results WF\Résultats CBA\2021-CHG-CBA-Anastrozole\plaque 1/@12 Anastrozole 20/D12_02.tif </t>
  </si>
  <si>
    <t xml:space="preserve"> 63.563 </t>
  </si>
  <si>
    <t xml:space="preserve">\\192.168.24.208\images\R&amp;D\2-Test oestrogénique\OECD and AOPs\REACTIV oecd interlaboratory validation\Results WF\Résultats CBA\2021-CHG-CBA-Anastrozole\plaque 1/@12 Anastrozole 20/D12_03.tif </t>
  </si>
  <si>
    <t xml:space="preserve"> 2044.853 </t>
  </si>
  <si>
    <t xml:space="preserve"> 66.7128 </t>
  </si>
  <si>
    <t xml:space="preserve">\\192.168.24.208\images\R&amp;D\2-Test oestrogénique\OECD and AOPs\REACTIV oecd interlaboratory validation\Results WF\Résultats CBA\2021-CHG-CBA-Anastrozole\plaque 1/@12 Anastrozole 20/E12_01.tif </t>
  </si>
  <si>
    <t xml:space="preserve"> 239.2913 </t>
  </si>
  <si>
    <t xml:space="preserve"> 63.5455 </t>
  </si>
  <si>
    <t xml:space="preserve">\\192.168.24.208\images\R&amp;D\2-Test oestrogénique\OECD and AOPs\REACTIV oecd interlaboratory validation\Results WF\Résultats CBA\2021-CHG-CBA-Anastrozole\plaque 1/@12 Anastrozole 20/E12_02.tif </t>
  </si>
  <si>
    <t xml:space="preserve"> 63.6176 </t>
  </si>
  <si>
    <t xml:space="preserve">\\192.168.24.208\images\R&amp;D\2-Test oestrogénique\OECD and AOPs\REACTIV oecd interlaboratory validation\Results WF\Résultats CBA\2021-CHG-CBA-Anastrozole\plaque 1/@12 Anastrozole 20/E12_03.tif </t>
  </si>
  <si>
    <t xml:space="preserve"> 348.0601 </t>
  </si>
  <si>
    <t>\\192.168.24.208\images\R&amp;D\2-Test oestrogénique\OECD and AOPs\REACTIV oecd interlaboratory validation\Results WF\Résultats CBA\2021-CHG-CBA-Anastrozole\plaque 1/@12 Anastrozole 20/F12_01- exclu.tif</t>
  </si>
  <si>
    <t xml:space="preserve">\\192.168.24.208\images\R&amp;D\2-Test oestrogénique\OECD and AOPs\REACTIV oecd interlaboratory validation\Results WF\Résultats CBA\2021-CHG-CBA-Anastrozole\plaque 1/@12 Anastrozole 20/F12_02.tif </t>
  </si>
  <si>
    <t xml:space="preserve"> 70.9744 </t>
  </si>
  <si>
    <t xml:space="preserve">\\192.168.24.208\images\R&amp;D\2-Test oestrogénique\OECD and AOPs\REACTIV oecd interlaboratory validation\Results WF\Résultats CBA\2021-CHG-CBA-Anastrozole\plaque 1/@12 Anastrozole 20/F12_03.tif </t>
  </si>
  <si>
    <t xml:space="preserve"> 4764.0723 </t>
  </si>
  <si>
    <t xml:space="preserve"> 67.1826 </t>
  </si>
  <si>
    <t xml:space="preserve">\\192.168.24.208\images\R&amp;D\2-Test oestrogénique\OECD and AOPs\REACTIV oecd interlaboratory validation\Results WF\Résultats CBA\2021-CHG-CBA-Anastrozole\plaque 1/@12 Anastrozole 20/G12_01.tif </t>
  </si>
  <si>
    <t xml:space="preserve"> 2066.6067 </t>
  </si>
  <si>
    <t xml:space="preserve"> 66.1474 </t>
  </si>
  <si>
    <t xml:space="preserve">\\192.168.24.208\images\R&amp;D\2-Test oestrogénique\OECD and AOPs\REACTIV oecd interlaboratory validation\Results WF\Résultats CBA\2021-CHG-CBA-Anastrozole\plaque 1/@12 Anastrozole 20/G12_02.tif </t>
  </si>
  <si>
    <t xml:space="preserve"> 761.3814 </t>
  </si>
  <si>
    <t xml:space="preserve"> 63.3429 </t>
  </si>
  <si>
    <t xml:space="preserve">\\192.168.24.208\images\R&amp;D\2-Test oestrogénique\OECD and AOPs\REACTIV oecd interlaboratory validation\Results WF\Résultats CBA\2021-CHG-CBA-Anastrozole\plaque 1/@12 Anastrozole 20/G12_03.tif </t>
  </si>
  <si>
    <t xml:space="preserve"> 1413.9941 </t>
  </si>
  <si>
    <t xml:space="preserve"> 63.1077 </t>
  </si>
  <si>
    <t xml:space="preserve">\\192.168.24.208\images\R&amp;D\2-Test oestrogénique\OECD and AOPs\REACTIV oecd interlaboratory validation\Results WF\Résultats CBA\2021-CHG-CBA-Anastrozole\plaque 1/@12 Anastrozole 20/H12_01.tif </t>
  </si>
  <si>
    <t xml:space="preserve"> 66.5 </t>
  </si>
  <si>
    <t xml:space="preserve">\\192.168.24.208\images\R&amp;D\2-Test oestrogénique\OECD and AOPs\REACTIV oecd interlaboratory validation\Results WF\Résultats CBA\2021-CHG-CBA-Anastrozole\plaque 1/@12 Anastrozole 20/H12_02.tif </t>
  </si>
  <si>
    <t xml:space="preserve"> 64.2727 </t>
  </si>
  <si>
    <t xml:space="preserve">\\192.168.24.208\images\R&amp;D\2-Test oestrogénique\OECD and AOPs\REACTIV oecd interlaboratory validation\Results WF\Résultats CBA\2021-CHG-CBA-Anastrozole\plaque 1/@12 Anastrozole 20/H12_03.tif </t>
  </si>
  <si>
    <t xml:space="preserve"> 69.8144 </t>
  </si>
  <si>
    <t xml:space="preserve">\\192.168.24.208\images\R&amp;D\2-Test oestrogénique\OECD and AOPs\REACTIV oecd interlaboratory validation\Results WF\Résultats CBA\2021-CHG-CBA-Anastrozole\plaque 1/@12 Anastrozole 20/ </t>
  </si>
  <si>
    <t xml:space="preserve"> 66.8622 </t>
  </si>
  <si>
    <t xml:space="preserve"> 4.3307 </t>
  </si>
  <si>
    <t xml:space="preserve"> 230868.958 </t>
  </si>
  <si>
    <t xml:space="preserve"> 234961.683 </t>
  </si>
  <si>
    <t xml:space="preserve">\\192.168.24.208\images\R&amp;D\2-Test oestrogénique\OECD and AOPs\REACTIV oecd interlaboratory validation\Results WF\Résultats CBA\2021-CHG-CBA-Anastrozole\plaque 2/@01 TESTO/A1_01.tif </t>
  </si>
  <si>
    <t xml:space="preserve"> 29258.8005 </t>
  </si>
  <si>
    <t xml:space="preserve"> 77.5167 </t>
  </si>
  <si>
    <t xml:space="preserve">\\192.168.24.208\images\R&amp;D\2-Test oestrogénique\OECD and AOPs\REACTIV oecd interlaboratory validation\Results WF\Résultats CBA\2021-CHG-CBA-Anastrozole\plaque 2/@01 TESTO/A1_02.tif </t>
  </si>
  <si>
    <t xml:space="preserve"> 24951.557 </t>
  </si>
  <si>
    <t xml:space="preserve"> 77.6757 </t>
  </si>
  <si>
    <t xml:space="preserve">\\192.168.24.208\images\R&amp;D\2-Test oestrogénique\OECD and AOPs\REACTIV oecd interlaboratory validation\Results WF\Résultats CBA\2021-CHG-CBA-Anastrozole\plaque 2/@01 TESTO/A1_03.tif </t>
  </si>
  <si>
    <t xml:space="preserve"> 23254.7641 </t>
  </si>
  <si>
    <t xml:space="preserve"> 79.0907 </t>
  </si>
  <si>
    <t xml:space="preserve">\\192.168.24.208\images\R&amp;D\2-Test oestrogénique\OECD and AOPs\REACTIV oecd interlaboratory validation\Results WF\Résultats CBA\2021-CHG-CBA-Anastrozole\plaque 2/@01 TESTO/B1_01.tif </t>
  </si>
  <si>
    <t xml:space="preserve"> 38982.729 </t>
  </si>
  <si>
    <t xml:space="preserve"> 70.2109 </t>
  </si>
  <si>
    <t xml:space="preserve">\\192.168.24.208\images\R&amp;D\2-Test oestrogénique\OECD and AOPs\REACTIV oecd interlaboratory validation\Results WF\Résultats CBA\2021-CHG-CBA-Anastrozole\plaque 2/@01 TESTO/B1_02.tif </t>
  </si>
  <si>
    <t xml:space="preserve"> 29193.5392 </t>
  </si>
  <si>
    <t xml:space="preserve"> 69.0082 </t>
  </si>
  <si>
    <t xml:space="preserve">\\192.168.24.208\images\R&amp;D\2-Test oestrogénique\OECD and AOPs\REACTIV oecd interlaboratory validation\Results WF\Résultats CBA\2021-CHG-CBA-Anastrozole\plaque 2/@01 TESTO/B1_03.tif </t>
  </si>
  <si>
    <t xml:space="preserve"> 25865.2147 </t>
  </si>
  <si>
    <t xml:space="preserve"> 69.1489 </t>
  </si>
  <si>
    <t xml:space="preserve">\\192.168.24.208\images\R&amp;D\2-Test oestrogénique\OECD and AOPs\REACTIV oecd interlaboratory validation\Results WF\Résultats CBA\2021-CHG-CBA-Anastrozole\plaque 2/@01 TESTO/C1_01.tif </t>
  </si>
  <si>
    <t xml:space="preserve"> 46422.5132 </t>
  </si>
  <si>
    <t xml:space="preserve"> 73.9288 </t>
  </si>
  <si>
    <t xml:space="preserve">\\192.168.24.208\images\R&amp;D\2-Test oestrogénique\OECD and AOPs\REACTIV oecd interlaboratory validation\Results WF\Résultats CBA\2021-CHG-CBA-Anastrozole\plaque 2/@01 TESTO/C1_02.tif </t>
  </si>
  <si>
    <t xml:space="preserve"> 43376.9875 </t>
  </si>
  <si>
    <t xml:space="preserve"> 72.3365 </t>
  </si>
  <si>
    <t xml:space="preserve">\\192.168.24.208\images\R&amp;D\2-Test oestrogénique\OECD and AOPs\REACTIV oecd interlaboratory validation\Results WF\Résultats CBA\2021-CHG-CBA-Anastrozole\plaque 2/@01 TESTO/C1_03.tif </t>
  </si>
  <si>
    <t xml:space="preserve"> 47336.1709 </t>
  </si>
  <si>
    <t xml:space="preserve"> 72.9968 </t>
  </si>
  <si>
    <t xml:space="preserve">\\192.168.24.208\images\R&amp;D\2-Test oestrogénique\OECD and AOPs\REACTIV oecd interlaboratory validation\Results WF\Résultats CBA\2021-CHG-CBA-Anastrozole\plaque 2/@01 TESTO/D1_01.tif </t>
  </si>
  <si>
    <t xml:space="preserve"> 23385.2866 </t>
  </si>
  <si>
    <t xml:space="preserve"> 67.4251 </t>
  </si>
  <si>
    <t xml:space="preserve">\\192.168.24.208\images\R&amp;D\2-Test oestrogénique\OECD and AOPs\REACTIV oecd interlaboratory validation\Results WF\Résultats CBA\2021-CHG-CBA-Anastrozole\plaque 2/@01 TESTO/D1_02.tif </t>
  </si>
  <si>
    <t xml:space="preserve"> 19012.7819 </t>
  </si>
  <si>
    <t xml:space="preserve"> 65.9977 </t>
  </si>
  <si>
    <t xml:space="preserve">\\192.168.24.208\images\R&amp;D\2-Test oestrogénique\OECD and AOPs\REACTIV oecd interlaboratory validation\Results WF\Résultats CBA\2021-CHG-CBA-Anastrozole\plaque 2/@01 TESTO/D1_03.tif </t>
  </si>
  <si>
    <t xml:space="preserve"> 17120.2052 </t>
  </si>
  <si>
    <t xml:space="preserve"> 66.0076 </t>
  </si>
  <si>
    <t xml:space="preserve">\\192.168.24.208\images\R&amp;D\2-Test oestrogénique\OECD and AOPs\REACTIV oecd interlaboratory validation\Results WF\Résultats CBA\2021-CHG-CBA-Anastrozole\plaque 2/@01 TESTO/E1_01.tif </t>
  </si>
  <si>
    <t xml:space="preserve"> 42767.8823 </t>
  </si>
  <si>
    <t xml:space="preserve"> 81.0524 </t>
  </si>
  <si>
    <t xml:space="preserve">\\192.168.24.208\images\R&amp;D\2-Test oestrogénique\OECD and AOPs\REACTIV oecd interlaboratory validation\Results WF\Résultats CBA\2021-CHG-CBA-Anastrozole\plaque 2/@01 TESTO/E1_02.tif </t>
  </si>
  <si>
    <t xml:space="preserve"> 42245.7922 </t>
  </si>
  <si>
    <t xml:space="preserve"> 80.1545 </t>
  </si>
  <si>
    <t xml:space="preserve">\\192.168.24.208\images\R&amp;D\2-Test oestrogénique\OECD and AOPs\REACTIV oecd interlaboratory validation\Results WF\Résultats CBA\2021-CHG-CBA-Anastrozole\plaque 2/@01 TESTO/E1_03.tif </t>
  </si>
  <si>
    <t xml:space="preserve"> 42267.546 </t>
  </si>
  <si>
    <t xml:space="preserve"> 79.0124 </t>
  </si>
  <si>
    <t>\\192.168.24.208\images\R&amp;D\2-Test oestrogénique\OECD and AOPs\REACTIV oecd interlaboratory validation\Results WF\Résultats CBA\2021-CHG-CBA-Anastrozole\plaque 2/@01 TESTO/F1_01- exclu.tif</t>
  </si>
  <si>
    <t xml:space="preserve">\\192.168.24.208\images\R&amp;D\2-Test oestrogénique\OECD and AOPs\REACTIV oecd interlaboratory validation\Results WF\Résultats CBA\2021-CHG-CBA-Anastrozole\plaque 2/@01 TESTO/F1_02.tif </t>
  </si>
  <si>
    <t xml:space="preserve"> 50533.9729 </t>
  </si>
  <si>
    <t xml:space="preserve"> 78.8071 </t>
  </si>
  <si>
    <t xml:space="preserve">\\192.168.24.208\images\R&amp;D\2-Test oestrogénique\OECD and AOPs\REACTIV oecd interlaboratory validation\Results WF\Résultats CBA\2021-CHG-CBA-Anastrozole\plaque 2/@01 TESTO/F1_03.tif </t>
  </si>
  <si>
    <t xml:space="preserve"> 54058.0812 </t>
  </si>
  <si>
    <t xml:space="preserve"> 78.4563 </t>
  </si>
  <si>
    <t xml:space="preserve">\\192.168.24.208\images\R&amp;D\2-Test oestrogénique\OECD and AOPs\REACTIV oecd interlaboratory validation\Results WF\Résultats CBA\2021-CHG-CBA-Anastrozole\plaque 2/@01 TESTO/G1_01.tif </t>
  </si>
  <si>
    <t xml:space="preserve"> 60932.2678 </t>
  </si>
  <si>
    <t xml:space="preserve"> 75.3681 </t>
  </si>
  <si>
    <t xml:space="preserve">\\192.168.24.208\images\R&amp;D\2-Test oestrogénique\OECD and AOPs\REACTIV oecd interlaboratory validation\Results WF\Résultats CBA\2021-CHG-CBA-Anastrozole\plaque 2/@01 TESTO/G1_02.tif </t>
  </si>
  <si>
    <t xml:space="preserve"> 59474.7662 </t>
  </si>
  <si>
    <t xml:space="preserve"> 76.3511 </t>
  </si>
  <si>
    <t xml:space="preserve">\\192.168.24.208\images\R&amp;D\2-Test oestrogénique\OECD and AOPs\REACTIV oecd interlaboratory validation\Results WF\Résultats CBA\2021-CHG-CBA-Anastrozole\plaque 2/@01 TESTO/G1_03.tif </t>
  </si>
  <si>
    <t xml:space="preserve"> 64760.9286 </t>
  </si>
  <si>
    <t xml:space="preserve"> 75.4797 </t>
  </si>
  <si>
    <t xml:space="preserve">\\192.168.24.208\images\R&amp;D\2-Test oestrogénique\OECD and AOPs\REACTIV oecd interlaboratory validation\Results WF\Résultats CBA\2021-CHG-CBA-Anastrozole\plaque 2/@01 TESTO/H1_01.tif </t>
  </si>
  <si>
    <t xml:space="preserve"> 56820.8081 </t>
  </si>
  <si>
    <t xml:space="preserve"> 73.7913 </t>
  </si>
  <si>
    <t>\\192.168.24.208\images\R&amp;D\2-Test oestrogénique\OECD and AOPs\REACTIV oecd interlaboratory validation\Results WF\Résultats CBA\2021-CHG-CBA-Anastrozole\plaque 2/@01 TESTO/H1_02- exclu.tif</t>
  </si>
  <si>
    <t>\\192.168.24.208\images\R&amp;D\2-Test oestrogénique\OECD and AOPs\REACTIV oecd interlaboratory validation\Results WF\Résultats CBA\2021-CHG-CBA-Anastrozole\plaque 2/@01 TESTO/H1_03- exclu.tif</t>
  </si>
  <si>
    <t xml:space="preserve">\\192.168.24.208\images\R&amp;D\2-Test oestrogénique\OECD and AOPs\REACTIV oecd interlaboratory validation\Results WF\Résultats CBA\2021-CHG-CBA-Anastrozole\plaque 2/@01 TESTO/ </t>
  </si>
  <si>
    <t xml:space="preserve"> 73.5073 </t>
  </si>
  <si>
    <t xml:space="preserve"> 5.4189 </t>
  </si>
  <si>
    <t xml:space="preserve"> 2805691.38 </t>
  </si>
  <si>
    <t xml:space="preserve"> 1364091.24 </t>
  </si>
  <si>
    <t xml:space="preserve">\\192.168.24.208\images\R&amp;D\2-Test oestrogénique\OECD and AOPs\REACTIV oecd interlaboratory validation\Results WF\Résultats CBA\2021-CHG-CBA-Anastrozole\plaque 2/@02 TESTO/A2_01.tif </t>
  </si>
  <si>
    <t xml:space="preserve"> 30955.5934 </t>
  </si>
  <si>
    <t xml:space="preserve"> 73.2108 </t>
  </si>
  <si>
    <t xml:space="preserve">\\192.168.24.208\images\R&amp;D\2-Test oestrogénique\OECD and AOPs\REACTIV oecd interlaboratory validation\Results WF\Résultats CBA\2021-CHG-CBA-Anastrozole\plaque 2/@02 TESTO/A2_02.tif </t>
  </si>
  <si>
    <t xml:space="preserve"> 24995.0645 </t>
  </si>
  <si>
    <t xml:space="preserve"> 73.0914 </t>
  </si>
  <si>
    <t xml:space="preserve">\\192.168.24.208\images\R&amp;D\2-Test oestrogénique\OECD and AOPs\REACTIV oecd interlaboratory validation\Results WF\Résultats CBA\2021-CHG-CBA-Anastrozole\plaque 2/@02 TESTO/A2_03.tif </t>
  </si>
  <si>
    <t xml:space="preserve"> 33000.4463 </t>
  </si>
  <si>
    <t xml:space="preserve"> 75.6223 </t>
  </si>
  <si>
    <t xml:space="preserve">\\192.168.24.208\images\R&amp;D\2-Test oestrogénique\OECD and AOPs\REACTIV oecd interlaboratory validation\Results WF\Résultats CBA\2021-CHG-CBA-Anastrozole\plaque 2/@02 TESTO/B2_01.tif </t>
  </si>
  <si>
    <t xml:space="preserve"> 11660.0127 </t>
  </si>
  <si>
    <t xml:space="preserve"> 73.1138 </t>
  </si>
  <si>
    <t xml:space="preserve">\\192.168.24.208\images\R&amp;D\2-Test oestrogénique\OECD and AOPs\REACTIV oecd interlaboratory validation\Results WF\Résultats CBA\2021-CHG-CBA-Anastrozole\plaque 2/@02 TESTO/B2_02.tif </t>
  </si>
  <si>
    <t xml:space="preserve"> 29150.0317 </t>
  </si>
  <si>
    <t xml:space="preserve"> 79.4485 </t>
  </si>
  <si>
    <t>\\192.168.24.208\images\R&amp;D\2-Test oestrogénique\OECD and AOPs\REACTIV oecd interlaboratory validation\Results WF\Résultats CBA\2021-CHG-CBA-Anastrozole\plaque 2/@02 TESTO/B2_03- exclu.tif</t>
  </si>
  <si>
    <t xml:space="preserve">\\192.168.24.208\images\R&amp;D\2-Test oestrogénique\OECD and AOPs\REACTIV oecd interlaboratory validation\Results WF\Résultats CBA\2021-CHG-CBA-Anastrozole\plaque 2/@02 TESTO/C2_01.tif </t>
  </si>
  <si>
    <t xml:space="preserve"> 43572.7713 </t>
  </si>
  <si>
    <t xml:space="preserve"> 77.4513 </t>
  </si>
  <si>
    <t xml:space="preserve">\\192.168.24.208\images\R&amp;D\2-Test oestrogénique\OECD and AOPs\REACTIV oecd interlaboratory validation\Results WF\Résultats CBA\2021-CHG-CBA-Anastrozole\plaque 2/@02 TESTO/C2_02.tif </t>
  </si>
  <si>
    <t xml:space="preserve"> 44834.4891 </t>
  </si>
  <si>
    <t xml:space="preserve"> 75.3275 </t>
  </si>
  <si>
    <t xml:space="preserve">\\192.168.24.208\images\R&amp;D\2-Test oestrogénique\OECD and AOPs\REACTIV oecd interlaboratory validation\Results WF\Résultats CBA\2021-CHG-CBA-Anastrozole\plaque 2/@02 TESTO/C2_03.tif </t>
  </si>
  <si>
    <t xml:space="preserve"> 44769.2278 </t>
  </si>
  <si>
    <t xml:space="preserve"> 77.1103 </t>
  </si>
  <si>
    <t xml:space="preserve">\\192.168.24.208\images\R&amp;D\2-Test oestrogénique\OECD and AOPs\REACTIV oecd interlaboratory validation\Results WF\Résultats CBA\2021-CHG-CBA-Anastrozole\plaque 2/@02 TESTO/D2_01.tif </t>
  </si>
  <si>
    <t xml:space="preserve"> 67.707 </t>
  </si>
  <si>
    <t xml:space="preserve">\\192.168.24.208\images\R&amp;D\2-Test oestrogénique\OECD and AOPs\REACTIV oecd interlaboratory validation\Results WF\Résultats CBA\2021-CHG-CBA-Anastrozole\plaque 2/@02 TESTO/D2_02.tif </t>
  </si>
  <si>
    <t xml:space="preserve"> 3154.2945 </t>
  </si>
  <si>
    <t xml:space="preserve"> 67.1586 </t>
  </si>
  <si>
    <t xml:space="preserve">\\192.168.24.208\images\R&amp;D\2-Test oestrogénique\OECD and AOPs\REACTIV oecd interlaboratory validation\Results WF\Résultats CBA\2021-CHG-CBA-Anastrozole\plaque 2/@02 TESTO/D2_03.tif </t>
  </si>
  <si>
    <t xml:space="preserve"> 3306.5708 </t>
  </si>
  <si>
    <t xml:space="preserve"> 65.9539 </t>
  </si>
  <si>
    <t xml:space="preserve">\\192.168.24.208\images\R&amp;D\2-Test oestrogénique\OECD and AOPs\REACTIV oecd interlaboratory validation\Results WF\Résultats CBA\2021-CHG-CBA-Anastrozole\plaque 2/@02 TESTO/E2_01.tif </t>
  </si>
  <si>
    <t xml:space="preserve"> 26648.3499 </t>
  </si>
  <si>
    <t xml:space="preserve"> 69.9429 </t>
  </si>
  <si>
    <t>\\192.168.24.208\images\R&amp;D\2-Test oestrogénique\OECD and AOPs\REACTIV oecd interlaboratory validation\Results WF\Résultats CBA\2021-CHG-CBA-Anastrozole\plaque 2/@02 TESTO/E2_02- exclu.tif</t>
  </si>
  <si>
    <t xml:space="preserve">\\192.168.24.208\images\R&amp;D\2-Test oestrogénique\OECD and AOPs\REACTIV oecd interlaboratory validation\Results WF\Résultats CBA\2021-CHG-CBA-Anastrozole\plaque 2/@02 TESTO/E2_03.tif </t>
  </si>
  <si>
    <t xml:space="preserve"> 27692.5301 </t>
  </si>
  <si>
    <t xml:space="preserve"> 69.9599 </t>
  </si>
  <si>
    <t xml:space="preserve">\\192.168.24.208\images\R&amp;D\2-Test oestrogénique\OECD and AOPs\REACTIV oecd interlaboratory validation\Results WF\Résultats CBA\2021-CHG-CBA-Anastrozole\plaque 2/@02 TESTO/F2_01.tif </t>
  </si>
  <si>
    <t xml:space="preserve"> 29302.308 </t>
  </si>
  <si>
    <t xml:space="preserve"> 71.4016 </t>
  </si>
  <si>
    <t xml:space="preserve">\\192.168.24.208\images\R&amp;D\2-Test oestrogénique\OECD and AOPs\REACTIV oecd interlaboratory validation\Results WF\Résultats CBA\2021-CHG-CBA-Anastrozole\plaque 2/@02 TESTO/F2_02.tif </t>
  </si>
  <si>
    <t xml:space="preserve"> 27844.8064 </t>
  </si>
  <si>
    <t xml:space="preserve"> 70.85 </t>
  </si>
  <si>
    <t xml:space="preserve">\\192.168.24.208\images\R&amp;D\2-Test oestrogénique\OECD and AOPs\REACTIV oecd interlaboratory validation\Results WF\Résultats CBA\2021-CHG-CBA-Anastrozole\plaque 2/@02 TESTO/F2_03.tif </t>
  </si>
  <si>
    <t xml:space="preserve"> 34153.3954 </t>
  </si>
  <si>
    <t xml:space="preserve"> 73.349 </t>
  </si>
  <si>
    <t xml:space="preserve">\\192.168.24.208\images\R&amp;D\2-Test oestrogénique\OECD and AOPs\REACTIV oecd interlaboratory validation\Results WF\Résultats CBA\2021-CHG-CBA-Anastrozole\plaque 2/@02 TESTO/G2_01.tif </t>
  </si>
  <si>
    <t xml:space="preserve"> 64.7273 </t>
  </si>
  <si>
    <t xml:space="preserve">\\192.168.24.208\images\R&amp;D\2-Test oestrogénique\OECD and AOPs\REACTIV oecd interlaboratory validation\Results WF\Résultats CBA\2021-CHG-CBA-Anastrozole\plaque 2/@02 TESTO/G2_02.tif </t>
  </si>
  <si>
    <t xml:space="preserve"> 63.4737 </t>
  </si>
  <si>
    <t xml:space="preserve">\\192.168.24.208\images\R&amp;D\2-Test oestrogénique\OECD and AOPs\REACTIV oecd interlaboratory validation\Results WF\Résultats CBA\2021-CHG-CBA-Anastrozole\plaque 2/@02 TESTO/G2_03.tif </t>
  </si>
  <si>
    <t xml:space="preserve"> 217.5376 </t>
  </si>
  <si>
    <t xml:space="preserve"> 60.9 </t>
  </si>
  <si>
    <t xml:space="preserve">\\192.168.24.208\images\R&amp;D\2-Test oestrogénique\OECD and AOPs\REACTIV oecd interlaboratory validation\Results WF\Résultats CBA\2021-CHG-CBA-Anastrozole\plaque 2/@02 TESTO/H2_01.tif </t>
  </si>
  <si>
    <t xml:space="preserve"> 8201.1656 </t>
  </si>
  <si>
    <t xml:space="preserve"> 66.6366 </t>
  </si>
  <si>
    <t xml:space="preserve">\\192.168.24.208\images\R&amp;D\2-Test oestrogénique\OECD and AOPs\REACTIV oecd interlaboratory validation\Results WF\Résultats CBA\2021-CHG-CBA-Anastrozole\plaque 2/@02 TESTO/H2_02.tif </t>
  </si>
  <si>
    <t xml:space="preserve"> 6199.8202 </t>
  </si>
  <si>
    <t xml:space="preserve"> 71.1193 </t>
  </si>
  <si>
    <t xml:space="preserve">\\192.168.24.208\images\R&amp;D\2-Test oestrogénique\OECD and AOPs\REACTIV oecd interlaboratory validation\Results WF\Résultats CBA\2021-CHG-CBA-Anastrozole\plaque 2/@02 TESTO/H2_03.tif </t>
  </si>
  <si>
    <t xml:space="preserve"> 7178.7392 </t>
  </si>
  <si>
    <t xml:space="preserve"> 68.4394 </t>
  </si>
  <si>
    <t xml:space="preserve">\\192.168.24.208\images\R&amp;D\2-Test oestrogénique\OECD and AOPs\REACTIV oecd interlaboratory validation\Results WF\Résultats CBA\2021-CHG-CBA-Anastrozole\plaque 2/@02 TESTO/ </t>
  </si>
  <si>
    <t xml:space="preserve"> 70.4325 </t>
  </si>
  <si>
    <t xml:space="preserve"> 4.7621 </t>
  </si>
  <si>
    <t xml:space="preserve"> 1439491.38 </t>
  </si>
  <si>
    <t xml:space="preserve"> 1163831.88 </t>
  </si>
  <si>
    <t xml:space="preserve">\\192.168.24.208\images\R&amp;D\2-Test oestrogénique\OECD and AOPs\REACTIV oecd interlaboratory validation\Results WF\Résultats CBA\2021-CHG-CBA-Anastrozole\plaque 2/@03  TESTO + EE2/A3_01.tif </t>
  </si>
  <si>
    <t xml:space="preserve"> 27018.1637 </t>
  </si>
  <si>
    <t xml:space="preserve"> 89.5161 </t>
  </si>
  <si>
    <t>\\192.168.24.208\images\R&amp;D\2-Test oestrogénique\OECD and AOPs\REACTIV oecd interlaboratory validation\Results WF\Résultats CBA\2021-CHG-CBA-Anastrozole\plaque 2/@03  TESTO + EE2/A3_02- exclu.tif</t>
  </si>
  <si>
    <t xml:space="preserve">\\192.168.24.208\images\R&amp;D\2-Test oestrogénique\OECD and AOPs\REACTIV oecd interlaboratory validation\Results WF\Résultats CBA\2021-CHG-CBA-Anastrozole\plaque 2/@03  TESTO + EE2/A3_03.tif </t>
  </si>
  <si>
    <t xml:space="preserve"> 40940.5669 </t>
  </si>
  <si>
    <t xml:space="preserve"> 83.8411 </t>
  </si>
  <si>
    <t xml:space="preserve">\\192.168.24.208\images\R&amp;D\2-Test oestrogénique\OECD and AOPs\REACTIV oecd interlaboratory validation\Results WF\Résultats CBA\2021-CHG-CBA-Anastrozole\plaque 2/@03  TESTO + EE2/B3_01.tif </t>
  </si>
  <si>
    <t xml:space="preserve"> 70634.4425 </t>
  </si>
  <si>
    <t xml:space="preserve"> 92.024 </t>
  </si>
  <si>
    <t xml:space="preserve">\\192.168.24.208\images\R&amp;D\2-Test oestrogénique\OECD and AOPs\REACTIV oecd interlaboratory validation\Results WF\Résultats CBA\2021-CHG-CBA-Anastrozole\plaque 2/@03  TESTO + EE2/B3_02.tif </t>
  </si>
  <si>
    <t xml:space="preserve"> 72135.4516 </t>
  </si>
  <si>
    <t xml:space="preserve"> 91.1445 </t>
  </si>
  <si>
    <t xml:space="preserve">\\192.168.24.208\images\R&amp;D\2-Test oestrogénique\OECD and AOPs\REACTIV oecd interlaboratory validation\Results WF\Résultats CBA\2021-CHG-CBA-Anastrozole\plaque 2/@03  TESTO + EE2/B3_03.tif </t>
  </si>
  <si>
    <t xml:space="preserve"> 70112.3524 </t>
  </si>
  <si>
    <t xml:space="preserve"> 91.9671 </t>
  </si>
  <si>
    <t xml:space="preserve">\\192.168.24.208\images\R&amp;D\2-Test oestrogénique\OECD and AOPs\REACTIV oecd interlaboratory validation\Results WF\Résultats CBA\2021-CHG-CBA-Anastrozole\plaque 2/@03  TESTO + EE2/C3_01.tif </t>
  </si>
  <si>
    <t xml:space="preserve"> 38786.9452 </t>
  </si>
  <si>
    <t xml:space="preserve"> 80.5614 </t>
  </si>
  <si>
    <t xml:space="preserve">\\192.168.24.208\images\R&amp;D\2-Test oestrogénique\OECD and AOPs\REACTIV oecd interlaboratory validation\Results WF\Résultats CBA\2021-CHG-CBA-Anastrozole\plaque 2/@03  TESTO + EE2/C3_02.tif </t>
  </si>
  <si>
    <t xml:space="preserve"> 40962.3207 </t>
  </si>
  <si>
    <t xml:space="preserve"> 79.4572 </t>
  </si>
  <si>
    <t xml:space="preserve">\\192.168.24.208\images\R&amp;D\2-Test oestrogénique\OECD and AOPs\REACTIV oecd interlaboratory validation\Results WF\Résultats CBA\2021-CHG-CBA-Anastrozole\plaque 2/@03  TESTO + EE2/C3_03.tif </t>
  </si>
  <si>
    <t xml:space="preserve"> 41854.2246 </t>
  </si>
  <si>
    <t xml:space="preserve"> 80.5899 </t>
  </si>
  <si>
    <t xml:space="preserve">\\192.168.24.208\images\R&amp;D\2-Test oestrogénique\OECD and AOPs\REACTIV oecd interlaboratory validation\Results WF\Résultats CBA\2021-CHG-CBA-Anastrozole\plaque 2/@03  TESTO + EE2/D3_01.tif </t>
  </si>
  <si>
    <t xml:space="preserve"> 34175.1491 </t>
  </si>
  <si>
    <t xml:space="preserve"> 81.1158 </t>
  </si>
  <si>
    <t xml:space="preserve">\\192.168.24.208\images\R&amp;D\2-Test oestrogénique\OECD and AOPs\REACTIV oecd interlaboratory validation\Results WF\Résultats CBA\2021-CHG-CBA-Anastrozole\plaque 2/@03  TESTO + EE2/D3_02.tif </t>
  </si>
  <si>
    <t xml:space="preserve"> 35480.3744 </t>
  </si>
  <si>
    <t xml:space="preserve"> 80.7247 </t>
  </si>
  <si>
    <t>\\192.168.24.208\images\R&amp;D\2-Test oestrogénique\OECD and AOPs\REACTIV oecd interlaboratory validation\Results WF\Résultats CBA\2021-CHG-CBA-Anastrozole\plaque 2/@03  TESTO + EE2/D3_03- exclu.tif</t>
  </si>
  <si>
    <t xml:space="preserve">\\192.168.24.208\images\R&amp;D\2-Test oestrogénique\OECD and AOPs\REACTIV oecd interlaboratory validation\Results WF\Résultats CBA\2021-CHG-CBA-Anastrozole\plaque 2/@03  TESTO + EE2/E3_01.tif </t>
  </si>
  <si>
    <t xml:space="preserve"> 32891.6776 </t>
  </si>
  <si>
    <t xml:space="preserve"> 75.7546 </t>
  </si>
  <si>
    <t xml:space="preserve">\\192.168.24.208\images\R&amp;D\2-Test oestrogénique\OECD and AOPs\REACTIV oecd interlaboratory validation\Results WF\Résultats CBA\2021-CHG-CBA-Anastrozole\plaque 2/@03  TESTO + EE2/E3_02.tif </t>
  </si>
  <si>
    <t xml:space="preserve"> 33870.5965 </t>
  </si>
  <si>
    <t xml:space="preserve"> 75.4387 </t>
  </si>
  <si>
    <t xml:space="preserve">\\192.168.24.208\images\R&amp;D\2-Test oestrogénique\OECD and AOPs\REACTIV oecd interlaboratory validation\Results WF\Résultats CBA\2021-CHG-CBA-Anastrozole\plaque 2/@03  TESTO + EE2/E3_03.tif </t>
  </si>
  <si>
    <t xml:space="preserve"> 34762.5005 </t>
  </si>
  <si>
    <t xml:space="preserve"> 73.6108 </t>
  </si>
  <si>
    <t xml:space="preserve">\\192.168.24.208\images\R&amp;D\2-Test oestrogénique\OECD and AOPs\REACTIV oecd interlaboratory validation\Results WF\Résultats CBA\2021-CHG-CBA-Anastrozole\plaque 2/@03  TESTO + EE2/F3_01.tif </t>
  </si>
  <si>
    <t xml:space="preserve"> 30041.9357 </t>
  </si>
  <si>
    <t xml:space="preserve"> 89.5409 </t>
  </si>
  <si>
    <t xml:space="preserve">\\192.168.24.208\images\R&amp;D\2-Test oestrogénique\OECD and AOPs\REACTIV oecd interlaboratory validation\Results WF\Résultats CBA\2021-CHG-CBA-Anastrozole\plaque 2/@03  TESTO + EE2/F3_02.tif </t>
  </si>
  <si>
    <t xml:space="preserve"> 34718.993 </t>
  </si>
  <si>
    <t xml:space="preserve"> 84.8076 </t>
  </si>
  <si>
    <t xml:space="preserve">\\192.168.24.208\images\R&amp;D\2-Test oestrogénique\OECD and AOPs\REACTIV oecd interlaboratory validation\Results WF\Résultats CBA\2021-CHG-CBA-Anastrozole\plaque 2/@03  TESTO + EE2/F3_03.tif </t>
  </si>
  <si>
    <t xml:space="preserve"> 32587.125 </t>
  </si>
  <si>
    <t xml:space="preserve"> 88.0227 </t>
  </si>
  <si>
    <t xml:space="preserve">\\192.168.24.208\images\R&amp;D\2-Test oestrogénique\OECD and AOPs\REACTIV oecd interlaboratory validation\Results WF\Résultats CBA\2021-CHG-CBA-Anastrozole\plaque 2/@03  TESTO + EE2/G3_01.tif </t>
  </si>
  <si>
    <t xml:space="preserve"> 33892.3503 </t>
  </si>
  <si>
    <t xml:space="preserve"> 82.3806 </t>
  </si>
  <si>
    <t xml:space="preserve">\\192.168.24.208\images\R&amp;D\2-Test oestrogénique\OECD and AOPs\REACTIV oecd interlaboratory validation\Results WF\Résultats CBA\2021-CHG-CBA-Anastrozole\plaque 2/@03  TESTO + EE2/G3_02.tif </t>
  </si>
  <si>
    <t xml:space="preserve"> 37416.4586 </t>
  </si>
  <si>
    <t xml:space="preserve"> 78.2808 </t>
  </si>
  <si>
    <t xml:space="preserve">\\192.168.24.208\images\R&amp;D\2-Test oestrogénique\OECD and AOPs\REACTIV oecd interlaboratory validation\Results WF\Résultats CBA\2021-CHG-CBA-Anastrozole\plaque 2/@03  TESTO + EE2/G3_03.tif </t>
  </si>
  <si>
    <t xml:space="preserve"> 34109.8878 </t>
  </si>
  <si>
    <t xml:space="preserve"> 80.4739 </t>
  </si>
  <si>
    <t xml:space="preserve">\\192.168.24.208\images\R&amp;D\2-Test oestrogénique\OECD and AOPs\REACTIV oecd interlaboratory validation\Results WF\Résultats CBA\2021-CHG-CBA-Anastrozole\plaque 2/@03  TESTO + EE2/H3_01.tif </t>
  </si>
  <si>
    <t xml:space="preserve"> 63238.1658 </t>
  </si>
  <si>
    <t xml:space="preserve"> 95.3643 </t>
  </si>
  <si>
    <t xml:space="preserve">\\192.168.24.208\images\R&amp;D\2-Test oestrogénique\OECD and AOPs\REACTIV oecd interlaboratory validation\Results WF\Résultats CBA\2021-CHG-CBA-Anastrozole\plaque 2/@03  TESTO + EE2/H3_02.tif </t>
  </si>
  <si>
    <t xml:space="preserve"> 63259.9196 </t>
  </si>
  <si>
    <t xml:space="preserve"> 95.815 </t>
  </si>
  <si>
    <t xml:space="preserve">\\192.168.24.208\images\R&amp;D\2-Test oestrogénique\OECD and AOPs\REACTIV oecd interlaboratory validation\Results WF\Résultats CBA\2021-CHG-CBA-Anastrozole\plaque 2/@03  TESTO + EE2/H3_03.tif </t>
  </si>
  <si>
    <t xml:space="preserve"> 69133.4334 </t>
  </si>
  <si>
    <t xml:space="preserve"> 94.5437 </t>
  </si>
  <si>
    <t xml:space="preserve">\\192.168.24.208\images\R&amp;D\2-Test oestrogénique\OECD and AOPs\REACTIV oecd interlaboratory validation\Results WF\Résultats CBA\2021-CHG-CBA-Anastrozole\plaque 2/@03  TESTO + EE2/ </t>
  </si>
  <si>
    <t xml:space="preserve"> 84.346 </t>
  </si>
  <si>
    <t xml:space="preserve"> 6.7191 </t>
  </si>
  <si>
    <t xml:space="preserve"> 3695522.5 </t>
  </si>
  <si>
    <t xml:space="preserve"> 1603931.87 </t>
  </si>
  <si>
    <t xml:space="preserve">\\192.168.24.208\images\R&amp;D\2-Test oestrogénique\OECD and AOPs\REACTIV oecd interlaboratory validation\Results WF\Résultats CBA\2021-CHG-CBA-Anastrozole\plaque 2/@04  TESTO + FAD/A4_01.tif </t>
  </si>
  <si>
    <t xml:space="preserve"> 63.75 </t>
  </si>
  <si>
    <t xml:space="preserve">\\192.168.24.208\images\R&amp;D\2-Test oestrogénique\OECD and AOPs\REACTIV oecd interlaboratory validation\Results WF\Résultats CBA\2021-CHG-CBA-Anastrozole\plaque 2/@04  TESTO + FAD/A4_02.tif </t>
  </si>
  <si>
    <t xml:space="preserve"> 1131.1953 </t>
  </si>
  <si>
    <t xml:space="preserve"> 69.75 </t>
  </si>
  <si>
    <t xml:space="preserve">\\192.168.24.208\images\R&amp;D\2-Test oestrogénique\OECD and AOPs\REACTIV oecd interlaboratory validation\Results WF\Résultats CBA\2021-CHG-CBA-Anastrozole\plaque 2/@04  TESTO + FAD/A4_03.tif </t>
  </si>
  <si>
    <t xml:space="preserve"> 67.0145 </t>
  </si>
  <si>
    <t xml:space="preserve">\\192.168.24.208\images\R&amp;D\2-Test oestrogénique\OECD and AOPs\REACTIV oecd interlaboratory validation\Results WF\Résultats CBA\2021-CHG-CBA-Anastrozole\plaque 2/@04  TESTO + FAD/B4_01.tif </t>
  </si>
  <si>
    <t xml:space="preserve"> 5438.4388 </t>
  </si>
  <si>
    <t xml:space="preserve"> 68.3 </t>
  </si>
  <si>
    <t xml:space="preserve">\\192.168.24.208\images\R&amp;D\2-Test oestrogénique\OECD and AOPs\REACTIV oecd interlaboratory validation\Results WF\Résultats CBA\2021-CHG-CBA-Anastrozole\plaque 2/@04  TESTO + FAD/B4_02.tif </t>
  </si>
  <si>
    <t xml:space="preserve"> 1065.934 </t>
  </si>
  <si>
    <t xml:space="preserve"> 63.1837 </t>
  </si>
  <si>
    <t xml:space="preserve">\\192.168.24.208\images\R&amp;D\2-Test oestrogénique\OECD and AOPs\REACTIV oecd interlaboratory validation\Results WF\Résultats CBA\2021-CHG-CBA-Anastrozole\plaque 2/@04  TESTO + FAD/B4_03.tif </t>
  </si>
  <si>
    <t xml:space="preserve"> 1675.0391 </t>
  </si>
  <si>
    <t xml:space="preserve"> 63.4416 </t>
  </si>
  <si>
    <t xml:space="preserve">\\192.168.24.208\images\R&amp;D\2-Test oestrogénique\OECD and AOPs\REACTIV oecd interlaboratory validation\Results WF\Résultats CBA\2021-CHG-CBA-Anastrozole\plaque 2/@04  TESTO + FAD/C4_01.tif </t>
  </si>
  <si>
    <t xml:space="preserve"> 63.6857 </t>
  </si>
  <si>
    <t>\\192.168.24.208\images\R&amp;D\2-Test oestrogénique\OECD and AOPs\REACTIV oecd interlaboratory validation\Results WF\Résultats CBA\2021-CHG-CBA-Anastrozole\plaque 2/@04  TESTO + FAD/C4_02- exclu.tif</t>
  </si>
  <si>
    <t xml:space="preserve">\\192.168.24.208\images\R&amp;D\2-Test oestrogénique\OECD and AOPs\REACTIV oecd interlaboratory validation\Results WF\Résultats CBA\2021-CHG-CBA-Anastrozole\plaque 2/@04  TESTO + FAD/C4_03.tif </t>
  </si>
  <si>
    <t xml:space="preserve"> 174.03 </t>
  </si>
  <si>
    <t xml:space="preserve"> 64.25 </t>
  </si>
  <si>
    <t xml:space="preserve">\\192.168.24.208\images\R&amp;D\2-Test oestrogénique\OECD and AOPs\REACTIV oecd interlaboratory validation\Results WF\Résultats CBA\2021-CHG-CBA-Anastrozole\plaque 2/@04  TESTO + FAD/D4_01.tif </t>
  </si>
  <si>
    <t xml:space="preserve"> 62.375 </t>
  </si>
  <si>
    <t xml:space="preserve">\\192.168.24.208\images\R&amp;D\2-Test oestrogénique\OECD and AOPs\REACTIV oecd interlaboratory validation\Results WF\Résultats CBA\2021-CHG-CBA-Anastrozole\plaque 2/@04  TESTO + FAD/D4_02.tif </t>
  </si>
  <si>
    <t xml:space="preserve">\\192.168.24.208\images\R&amp;D\2-Test oestrogénique\OECD and AOPs\REACTIV oecd interlaboratory validation\Results WF\Résultats CBA\2021-CHG-CBA-Anastrozole\plaque 2/@04  TESTO + FAD/D4_03.tif </t>
  </si>
  <si>
    <t xml:space="preserve"> 63.4118 </t>
  </si>
  <si>
    <t>\\192.168.24.208\images\R&amp;D\2-Test oestrogénique\OECD and AOPs\REACTIV oecd interlaboratory validation\Results WF\Résultats CBA\2021-CHG-CBA-Anastrozole\plaque 2/@04  TESTO + FAD/E4_01- exclu.tif</t>
  </si>
  <si>
    <t xml:space="preserve">\\192.168.24.208\images\R&amp;D\2-Test oestrogénique\OECD and AOPs\REACTIV oecd interlaboratory validation\Results WF\Résultats CBA\2021-CHG-CBA-Anastrozole\plaque 2/@04  TESTO + FAD/E4_02.tif </t>
  </si>
  <si>
    <t xml:space="preserve">\\192.168.24.208\images\R&amp;D\2-Test oestrogénique\OECD and AOPs\REACTIV oecd interlaboratory validation\Results WF\Résultats CBA\2021-CHG-CBA-Anastrozole\plaque 2/@04  TESTO + FAD/E4_03.tif </t>
  </si>
  <si>
    <t xml:space="preserve"> 8962.5471 </t>
  </si>
  <si>
    <t xml:space="preserve"> 82.949 </t>
  </si>
  <si>
    <t xml:space="preserve">\\192.168.24.208\images\R&amp;D\2-Test oestrogénique\OECD and AOPs\REACTIV oecd interlaboratory validation\Results WF\Résultats CBA\2021-CHG-CBA-Anastrozole\plaque 2/@04  TESTO + FAD/F4_01.tif </t>
  </si>
  <si>
    <t xml:space="preserve"> 64.2174 </t>
  </si>
  <si>
    <t xml:space="preserve">\\192.168.24.208\images\R&amp;D\2-Test oestrogénique\OECD and AOPs\REACTIV oecd interlaboratory validation\Results WF\Résultats CBA\2021-CHG-CBA-Anastrozole\plaque 2/@04  TESTO + FAD/F4_02.tif </t>
  </si>
  <si>
    <t xml:space="preserve"> 609.1051 </t>
  </si>
  <si>
    <t xml:space="preserve"> 63.8214 </t>
  </si>
  <si>
    <t xml:space="preserve">\\192.168.24.208\images\R&amp;D\2-Test oestrogénique\OECD and AOPs\REACTIV oecd interlaboratory validation\Results WF\Résultats CBA\2021-CHG-CBA-Anastrozole\plaque 2/@04  TESTO + FAD/F4_03.tif </t>
  </si>
  <si>
    <t xml:space="preserve"> 261.0451 </t>
  </si>
  <si>
    <t xml:space="preserve"> 62.9167 </t>
  </si>
  <si>
    <t xml:space="preserve">\\192.168.24.208\images\R&amp;D\2-Test oestrogénique\OECD and AOPs\REACTIV oecd interlaboratory validation\Results WF\Résultats CBA\2021-CHG-CBA-Anastrozole\plaque 2/@04  TESTO + FAD/G4_01.tif </t>
  </si>
  <si>
    <t xml:space="preserve"> 66.0667 </t>
  </si>
  <si>
    <t xml:space="preserve">\\192.168.24.208\images\R&amp;D\2-Test oestrogénique\OECD and AOPs\REACTIV oecd interlaboratory validation\Results WF\Résultats CBA\2021-CHG-CBA-Anastrozole\plaque 2/@04  TESTO + FAD/G4_02.tif </t>
  </si>
  <si>
    <t xml:space="preserve"> 3872.1684 </t>
  </si>
  <si>
    <t xml:space="preserve"> 69.4607 </t>
  </si>
  <si>
    <t xml:space="preserve">\\192.168.24.208\images\R&amp;D\2-Test oestrogénique\OECD and AOPs\REACTIV oecd interlaboratory validation\Results WF\Résultats CBA\2021-CHG-CBA-Anastrozole\plaque 2/@04  TESTO + FAD/G4_03.tif </t>
  </si>
  <si>
    <t xml:space="preserve"> 1827.3154 </t>
  </si>
  <si>
    <t xml:space="preserve"> 63.7738 </t>
  </si>
  <si>
    <t xml:space="preserve">\\192.168.24.208\images\R&amp;D\2-Test oestrogénique\OECD and AOPs\REACTIV oecd interlaboratory validation\Results WF\Résultats CBA\2021-CHG-CBA-Anastrozole\plaque 2/@04  TESTO + FAD/H4_01.tif </t>
  </si>
  <si>
    <t xml:space="preserve"> 11681.7664 </t>
  </si>
  <si>
    <t xml:space="preserve"> 69.8827 </t>
  </si>
  <si>
    <t xml:space="preserve">\\192.168.24.208\images\R&amp;D\2-Test oestrogénique\OECD and AOPs\REACTIV oecd interlaboratory validation\Results WF\Résultats CBA\2021-CHG-CBA-Anastrozole\plaque 2/@04  TESTO + FAD/H4_02.tif </t>
  </si>
  <si>
    <t xml:space="preserve"> 7918.3668 </t>
  </si>
  <si>
    <t xml:space="preserve"> 67.283 </t>
  </si>
  <si>
    <t xml:space="preserve">\\192.168.24.208\images\R&amp;D\2-Test oestrogénique\OECD and AOPs\REACTIV oecd interlaboratory validation\Results WF\Résultats CBA\2021-CHG-CBA-Anastrozole\plaque 2/@04  TESTO + FAD/H4_03.tif </t>
  </si>
  <si>
    <t xml:space="preserve"> 2458.1743 </t>
  </si>
  <si>
    <t xml:space="preserve"> 63.5575 </t>
  </si>
  <si>
    <t xml:space="preserve">\\192.168.24.208\images\R&amp;D\2-Test oestrogénique\OECD and AOPs\REACTIV oecd interlaboratory validation\Results WF\Résultats CBA\2021-CHG-CBA-Anastrozole\plaque 2/@04  TESTO + FAD/ </t>
  </si>
  <si>
    <t xml:space="preserve"> 65.9378 </t>
  </si>
  <si>
    <t xml:space="preserve"> 4.2836 </t>
  </si>
  <si>
    <t xml:space="preserve"> 157621.292 </t>
  </si>
  <si>
    <t xml:space="preserve"> 230117.266 </t>
  </si>
  <si>
    <t xml:space="preserve">\\192.168.24.208\images\R&amp;D\2-Test oestrogénique\OECD and AOPs\REACTIV oecd interlaboratory validation\Results WF\Résultats CBA\2021-CHG-CBA-Anastrozole\plaque 2/@05 Anastrozole 0.032/A5_01.tif </t>
  </si>
  <si>
    <t xml:space="preserve"> 13704.8657 </t>
  </si>
  <si>
    <t xml:space="preserve"> 65.8968 </t>
  </si>
  <si>
    <t xml:space="preserve">\\192.168.24.208\images\R&amp;D\2-Test oestrogénique\OECD and AOPs\REACTIV oecd interlaboratory validation\Results WF\Résultats CBA\2021-CHG-CBA-Anastrozole\plaque 2/@05 Anastrozole 0.032/A5_02.tif </t>
  </si>
  <si>
    <t xml:space="preserve"> 64.7593 </t>
  </si>
  <si>
    <t xml:space="preserve">\\192.168.24.208\images\R&amp;D\2-Test oestrogénique\OECD and AOPs\REACTIV oecd interlaboratory validation\Results WF\Résultats CBA\2021-CHG-CBA-Anastrozole\plaque 2/@05 Anastrozole 0.032/A5_03.tif </t>
  </si>
  <si>
    <t xml:space="preserve"> 9397.6222 </t>
  </si>
  <si>
    <t xml:space="preserve"> 64.8171 </t>
  </si>
  <si>
    <t xml:space="preserve">\\192.168.24.208\images\R&amp;D\2-Test oestrogénique\OECD and AOPs\REACTIV oecd interlaboratory validation\Results WF\Résultats CBA\2021-CHG-CBA-Anastrozole\plaque 2/@05 Anastrozole 0.032/B5_01.tif </t>
  </si>
  <si>
    <t xml:space="preserve"> 18120.8779 </t>
  </si>
  <si>
    <t xml:space="preserve"> 69.7059 </t>
  </si>
  <si>
    <t>\\192.168.24.208\images\R&amp;D\2-Test oestrogénique\OECD and AOPs\REACTIV oecd interlaboratory validation\Results WF\Résultats CBA\2021-CHG-CBA-Anastrozole\plaque 2/@05 Anastrozole 0.032/B5_02- exclu.tif</t>
  </si>
  <si>
    <t xml:space="preserve">\\192.168.24.208\images\R&amp;D\2-Test oestrogénique\OECD and AOPs\REACTIV oecd interlaboratory validation\Results WF\Résultats CBA\2021-CHG-CBA-Anastrozole\plaque 2/@05 Anastrozole 0.032/B5_03.tif </t>
  </si>
  <si>
    <t xml:space="preserve"> 69.7137 </t>
  </si>
  <si>
    <t xml:space="preserve">\\192.168.24.208\images\R&amp;D\2-Test oestrogénique\OECD and AOPs\REACTIV oecd interlaboratory validation\Results WF\Résultats CBA\2021-CHG-CBA-Anastrozole\plaque 2/@05 Anastrozole 0.032/C5_01.tif </t>
  </si>
  <si>
    <t xml:space="preserve"> 14857.8147 </t>
  </si>
  <si>
    <t xml:space="preserve"> 71.6237 </t>
  </si>
  <si>
    <t xml:space="preserve">\\192.168.24.208\images\R&amp;D\2-Test oestrogénique\OECD and AOPs\REACTIV oecd interlaboratory validation\Results WF\Résultats CBA\2021-CHG-CBA-Anastrozole\plaque 2/@05 Anastrozole 0.032/C5_02.tif </t>
  </si>
  <si>
    <t xml:space="preserve"> 16859.1601 </t>
  </si>
  <si>
    <t xml:space="preserve"> 73.5639 </t>
  </si>
  <si>
    <t xml:space="preserve">\\192.168.24.208\images\R&amp;D\2-Test oestrogénique\OECD and AOPs\REACTIV oecd interlaboratory validation\Results WF\Résultats CBA\2021-CHG-CBA-Anastrozole\plaque 2/@05 Anastrozole 0.032/C5_03.tif </t>
  </si>
  <si>
    <t xml:space="preserve"> 14836.0609 </t>
  </si>
  <si>
    <t xml:space="preserve"> 73.5674 </t>
  </si>
  <si>
    <t xml:space="preserve">\\192.168.24.208\images\R&amp;D\2-Test oestrogénique\OECD and AOPs\REACTIV oecd interlaboratory validation\Results WF\Résultats CBA\2021-CHG-CBA-Anastrozole\plaque 2/@05 Anastrozole 0.032/D5_01.tif </t>
  </si>
  <si>
    <t xml:space="preserve"> 27279.2088 </t>
  </si>
  <si>
    <t xml:space="preserve"> 71.7129 </t>
  </si>
  <si>
    <t xml:space="preserve">\\192.168.24.208\images\R&amp;D\2-Test oestrogénique\OECD and AOPs\REACTIV oecd interlaboratory validation\Results WF\Résultats CBA\2021-CHG-CBA-Anastrozole\plaque 2/@05 Anastrozole 0.032/D5_02.tif </t>
  </si>
  <si>
    <t xml:space="preserve"> 19882.9321 </t>
  </si>
  <si>
    <t xml:space="preserve"> 69.5164 </t>
  </si>
  <si>
    <t xml:space="preserve">\\192.168.24.208\images\R&amp;D\2-Test oestrogénique\OECD and AOPs\REACTIV oecd interlaboratory validation\Results WF\Résultats CBA\2021-CHG-CBA-Anastrozole\plaque 2/@05 Anastrozole 0.032/D5_03.tif </t>
  </si>
  <si>
    <t xml:space="preserve"> 26126.2598 </t>
  </si>
  <si>
    <t xml:space="preserve"> 69.1207 </t>
  </si>
  <si>
    <t xml:space="preserve">\\192.168.24.208\images\R&amp;D\2-Test oestrogénique\OECD and AOPs\REACTIV oecd interlaboratory validation\Results WF\Résultats CBA\2021-CHG-CBA-Anastrozole\plaque 2/@05 Anastrozole 0.032/E5_01.tif </t>
  </si>
  <si>
    <t xml:space="preserve"> 22689.1665 </t>
  </si>
  <si>
    <t xml:space="preserve"> 71.8456 </t>
  </si>
  <si>
    <t xml:space="preserve">\\192.168.24.208\images\R&amp;D\2-Test oestrogénique\OECD and AOPs\REACTIV oecd interlaboratory validation\Results WF\Résultats CBA\2021-CHG-CBA-Anastrozole\plaque 2/@05 Anastrozole 0.032/E5_02.tif </t>
  </si>
  <si>
    <t xml:space="preserve"> 18729.9831 </t>
  </si>
  <si>
    <t xml:space="preserve"> 71.5099 </t>
  </si>
  <si>
    <t xml:space="preserve">\\192.168.24.208\images\R&amp;D\2-Test oestrogénique\OECD and AOPs\REACTIV oecd interlaboratory validation\Results WF\Résultats CBA\2021-CHG-CBA-Anastrozole\plaque 2/@05 Anastrozole 0.032/E5_03.tif </t>
  </si>
  <si>
    <t xml:space="preserve"> 20535.5447 </t>
  </si>
  <si>
    <t xml:space="preserve"> 71.3453 </t>
  </si>
  <si>
    <t xml:space="preserve">\\192.168.24.208\images\R&amp;D\2-Test oestrogénique\OECD and AOPs\REACTIV oecd interlaboratory validation\Results WF\Résultats CBA\2021-CHG-CBA-Anastrozole\plaque 2/@05 Anastrozole 0.032/F5_01.tif </t>
  </si>
  <si>
    <t xml:space="preserve"> 66.1087 </t>
  </si>
  <si>
    <t xml:space="preserve">\\192.168.24.208\images\R&amp;D\2-Test oestrogénique\OECD and AOPs\REACTIV oecd interlaboratory validation\Results WF\Résultats CBA\2021-CHG-CBA-Anastrozole\plaque 2/@05 Anastrozole 0.032/F5_02.tif </t>
  </si>
  <si>
    <t xml:space="preserve"> 19491.3645 </t>
  </si>
  <si>
    <t xml:space="preserve"> 66.1629 </t>
  </si>
  <si>
    <t xml:space="preserve">\\192.168.24.208\images\R&amp;D\2-Test oestrogénique\OECD and AOPs\REACTIV oecd interlaboratory validation\Results WF\Résultats CBA\2021-CHG-CBA-Anastrozole\plaque 2/@05 Anastrozole 0.032/F5_03.tif </t>
  </si>
  <si>
    <t xml:space="preserve"> 23428.7941 </t>
  </si>
  <si>
    <t xml:space="preserve"> 66.5617 </t>
  </si>
  <si>
    <t xml:space="preserve">\\192.168.24.208\images\R&amp;D\2-Test oestrogénique\OECD and AOPs\REACTIV oecd interlaboratory validation\Results WF\Résultats CBA\2021-CHG-CBA-Anastrozole\plaque 2/@05 Anastrozole 0.032/G5_01.tif </t>
  </si>
  <si>
    <t xml:space="preserve"> 11942.8115 </t>
  </si>
  <si>
    <t xml:space="preserve"> 65.8707 </t>
  </si>
  <si>
    <t xml:space="preserve">\\192.168.24.208\images\R&amp;D\2-Test oestrogénique\OECD and AOPs\REACTIV oecd interlaboratory validation\Results WF\Résultats CBA\2021-CHG-CBA-Anastrozole\plaque 2/@05 Anastrozole 0.032/G5_02.tif </t>
  </si>
  <si>
    <t xml:space="preserve"> 12856.4692 </t>
  </si>
  <si>
    <t xml:space="preserve"> 67.0914 </t>
  </si>
  <si>
    <t xml:space="preserve">\\192.168.24.208\images\R&amp;D\2-Test oestrogénique\OECD and AOPs\REACTIV oecd interlaboratory validation\Results WF\Résultats CBA\2021-CHG-CBA-Anastrozole\plaque 2/@05 Anastrozole 0.032/G5_03.tif </t>
  </si>
  <si>
    <t xml:space="preserve"> 11050.9075 </t>
  </si>
  <si>
    <t xml:space="preserve"> 66.0335 </t>
  </si>
  <si>
    <t xml:space="preserve">\\192.168.24.208\images\R&amp;D\2-Test oestrogénique\OECD and AOPs\REACTIV oecd interlaboratory validation\Results WF\Résultats CBA\2021-CHG-CBA-Anastrozole\plaque 2/@05 Anastrozole 0.032/H5_01.tif </t>
  </si>
  <si>
    <t xml:space="preserve"> 7635.568 </t>
  </si>
  <si>
    <t xml:space="preserve"> 65.0513 </t>
  </si>
  <si>
    <t xml:space="preserve">\\192.168.24.208\images\R&amp;D\2-Test oestrogénique\OECD and AOPs\REACTIV oecd interlaboratory validation\Results WF\Résultats CBA\2021-CHG-CBA-Anastrozole\plaque 2/@05 Anastrozole 0.032/H5_02.tif </t>
  </si>
  <si>
    <t xml:space="preserve"> 9310.6071 </t>
  </si>
  <si>
    <t xml:space="preserve"> 64.9836 </t>
  </si>
  <si>
    <t xml:space="preserve">\\192.168.24.208\images\R&amp;D\2-Test oestrogénique\OECD and AOPs\REACTIV oecd interlaboratory validation\Results WF\Résultats CBA\2021-CHG-CBA-Anastrozole\plaque 2/@05 Anastrozole 0.032/H5_03.tif </t>
  </si>
  <si>
    <t xml:space="preserve"> 10028.4811 </t>
  </si>
  <si>
    <t xml:space="preserve"> 66.1106 </t>
  </si>
  <si>
    <t xml:space="preserve">\\192.168.24.208\images\R&amp;D\2-Test oestrogénique\OECD and AOPs\REACTIV oecd interlaboratory validation\Results WF\Résultats CBA\2021-CHG-CBA-Anastrozole\plaque 2/@05 Anastrozole 0.032/ </t>
  </si>
  <si>
    <t xml:space="preserve"> 68.2588 </t>
  </si>
  <si>
    <t xml:space="preserve"> 2.9906 </t>
  </si>
  <si>
    <t xml:space="preserve"> 1113373.5 </t>
  </si>
  <si>
    <t xml:space="preserve"> 451864.398 </t>
  </si>
  <si>
    <t xml:space="preserve">\\192.168.24.208\images\R&amp;D\2-Test oestrogénique\OECD and AOPs\REACTIV oecd interlaboratory validation\Results WF\Résultats CBA\2021-CHG-CBA-Anastrozole\plaque 2/@06Anastrozole 0.16/A6_01.tif </t>
  </si>
  <si>
    <t xml:space="preserve"> 1783.8079 </t>
  </si>
  <si>
    <t xml:space="preserve"> 64.3171 </t>
  </si>
  <si>
    <t xml:space="preserve">\\192.168.24.208\images\R&amp;D\2-Test oestrogénique\OECD and AOPs\REACTIV oecd interlaboratory validation\Results WF\Résultats CBA\2021-CHG-CBA-Anastrozole\plaque 2/@06Anastrozole 0.16/A6_02.tif </t>
  </si>
  <si>
    <t xml:space="preserve"> 62.3514 </t>
  </si>
  <si>
    <t xml:space="preserve">\\192.168.24.208\images\R&amp;D\2-Test oestrogénique\OECD and AOPs\REACTIV oecd interlaboratory validation\Results WF\Résultats CBA\2021-CHG-CBA-Anastrozole\plaque 2/@06Anastrozole 0.16/A6_03.tif </t>
  </si>
  <si>
    <t xml:space="preserve"> 63.3333 </t>
  </si>
  <si>
    <t xml:space="preserve">\\192.168.24.208\images\R&amp;D\2-Test oestrogénique\OECD and AOPs\REACTIV oecd interlaboratory validation\Results WF\Résultats CBA\2021-CHG-CBA-Anastrozole\plaque 2/@06Anastrozole 0.16/B6_01.tif </t>
  </si>
  <si>
    <t xml:space="preserve"> 26452.5661 </t>
  </si>
  <si>
    <t xml:space="preserve"> 71.1127 </t>
  </si>
  <si>
    <t xml:space="preserve">\\192.168.24.208\images\R&amp;D\2-Test oestrogénique\OECD and AOPs\REACTIV oecd interlaboratory validation\Results WF\Résultats CBA\2021-CHG-CBA-Anastrozole\plaque 2/@06Anastrozole 0.16/B6_02.tif </t>
  </si>
  <si>
    <t xml:space="preserve"> 30542.272 </t>
  </si>
  <si>
    <t xml:space="preserve"> 72.5627 </t>
  </si>
  <si>
    <t xml:space="preserve">\\192.168.24.208\images\R&amp;D\2-Test oestrogénique\OECD and AOPs\REACTIV oecd interlaboratory validation\Results WF\Résultats CBA\2021-CHG-CBA-Anastrozole\plaque 2/@06Anastrozole 0.16/B6_03.tif </t>
  </si>
  <si>
    <t xml:space="preserve"> 72.4252 </t>
  </si>
  <si>
    <t xml:space="preserve">\\192.168.24.208\images\R&amp;D\2-Test oestrogénique\OECD and AOPs\REACTIV oecd interlaboratory validation\Results WF\Résultats CBA\2021-CHG-CBA-Anastrozole\plaque 2/@06Anastrozole 0.16/C6_01.tif </t>
  </si>
  <si>
    <t xml:space="preserve"> 20644.3135 </t>
  </si>
  <si>
    <t xml:space="preserve"> 68.5817 </t>
  </si>
  <si>
    <t xml:space="preserve">\\192.168.24.208\images\R&amp;D\2-Test oestrogénique\OECD and AOPs\REACTIV oecd interlaboratory validation\Results WF\Résultats CBA\2021-CHG-CBA-Anastrozole\plaque 2/@06Anastrozole 0.16/C6_02.tif </t>
  </si>
  <si>
    <t xml:space="preserve"> 16837.4064 </t>
  </si>
  <si>
    <t xml:space="preserve"> 68.8966 </t>
  </si>
  <si>
    <t xml:space="preserve">\\192.168.24.208\images\R&amp;D\2-Test oestrogénique\OECD and AOPs\REACTIV oecd interlaboratory validation\Results WF\Résultats CBA\2021-CHG-CBA-Anastrozole\plaque 2/@06Anastrozole 0.16/C6_03.tif </t>
  </si>
  <si>
    <t xml:space="preserve"> 16532.8538 </t>
  </si>
  <si>
    <t xml:space="preserve"> 67.9579 </t>
  </si>
  <si>
    <t xml:space="preserve">\\192.168.24.208\images\R&amp;D\2-Test oestrogénique\OECD and AOPs\REACTIV oecd interlaboratory validation\Results WF\Résultats CBA\2021-CHG-CBA-Anastrozole\plaque 2/@06Anastrozole 0.16/D6_01.tif </t>
  </si>
  <si>
    <t xml:space="preserve"> 17468.2653 </t>
  </si>
  <si>
    <t xml:space="preserve"> 68.3188 </t>
  </si>
  <si>
    <t xml:space="preserve">\\192.168.24.208\images\R&amp;D\2-Test oestrogénique\OECD and AOPs\REACTIV oecd interlaboratory validation\Results WF\Résultats CBA\2021-CHG-CBA-Anastrozole\plaque 2/@06Anastrozole 0.16/D6_02.tif </t>
  </si>
  <si>
    <t xml:space="preserve"> 19556.6257 </t>
  </si>
  <si>
    <t xml:space="preserve"> 68.7653 </t>
  </si>
  <si>
    <t xml:space="preserve">\\192.168.24.208\images\R&amp;D\2-Test oestrogénique\OECD and AOPs\REACTIV oecd interlaboratory validation\Results WF\Résultats CBA\2021-CHG-CBA-Anastrozole\plaque 2/@06Anastrozole 0.16/D6_03.tif </t>
  </si>
  <si>
    <t xml:space="preserve"> 16489.3463 </t>
  </si>
  <si>
    <t xml:space="preserve"> 67.9485 </t>
  </si>
  <si>
    <t xml:space="preserve">\\192.168.24.208\images\R&amp;D\2-Test oestrogénique\OECD and AOPs\REACTIV oecd interlaboratory validation\Results WF\Résultats CBA\2021-CHG-CBA-Anastrozole\plaque 2/@06Anastrozole 0.16/E6_01.tif </t>
  </si>
  <si>
    <t xml:space="preserve"> 3698.1384 </t>
  </si>
  <si>
    <t xml:space="preserve"> 63.4824 </t>
  </si>
  <si>
    <t xml:space="preserve">\\192.168.24.208\images\R&amp;D\2-Test oestrogénique\OECD and AOPs\REACTIV oecd interlaboratory validation\Results WF\Résultats CBA\2021-CHG-CBA-Anastrozole\plaque 2/@06Anastrozole 0.16/E6_02.tif </t>
  </si>
  <si>
    <t xml:space="preserve"> 4655.3036 </t>
  </si>
  <si>
    <t xml:space="preserve"> 63.9813 </t>
  </si>
  <si>
    <t xml:space="preserve">\\192.168.24.208\images\R&amp;D\2-Test oestrogénique\OECD and AOPs\REACTIV oecd interlaboratory validation\Results WF\Résultats CBA\2021-CHG-CBA-Anastrozole\plaque 2/@06Anastrozole 0.16/E6_03.tif </t>
  </si>
  <si>
    <t xml:space="preserve"> 64.878 </t>
  </si>
  <si>
    <t xml:space="preserve">\\192.168.24.208\images\R&amp;D\2-Test oestrogénique\OECD and AOPs\REACTIV oecd interlaboratory validation\Results WF\Résultats CBA\2021-CHG-CBA-Anastrozole\plaque 2/@06Anastrozole 0.16/F6_01.tif </t>
  </si>
  <si>
    <t xml:space="preserve"> 4524.781 </t>
  </si>
  <si>
    <t xml:space="preserve"> 63.4856 </t>
  </si>
  <si>
    <t xml:space="preserve">\\192.168.24.208\images\R&amp;D\2-Test oestrogénique\OECD and AOPs\REACTIV oecd interlaboratory validation\Results WF\Résultats CBA\2021-CHG-CBA-Anastrozole\plaque 2/@06Anastrozole 0.16/F6_02.tif </t>
  </si>
  <si>
    <t xml:space="preserve"> 5481.9463 </t>
  </si>
  <si>
    <t xml:space="preserve"> 64.1111 </t>
  </si>
  <si>
    <t xml:space="preserve">\\192.168.24.208\images\R&amp;D\2-Test oestrogénique\OECD and AOPs\REACTIV oecd interlaboratory validation\Results WF\Résultats CBA\2021-CHG-CBA-Anastrozole\plaque 2/@06Anastrozole 0.16/F6_03.tif </t>
  </si>
  <si>
    <t xml:space="preserve"> 63.236 </t>
  </si>
  <si>
    <t xml:space="preserve">\\192.168.24.208\images\R&amp;D\2-Test oestrogénique\OECD and AOPs\REACTIV oecd interlaboratory validation\Results WF\Résultats CBA\2021-CHG-CBA-Anastrozole\plaque 2/@06Anastrozole 0.16/G6_01.tif </t>
  </si>
  <si>
    <t xml:space="preserve"> 21427.4487 </t>
  </si>
  <si>
    <t xml:space="preserve"> 67.2487 </t>
  </si>
  <si>
    <t>\\192.168.24.208\images\R&amp;D\2-Test oestrogénique\OECD and AOPs\REACTIV oecd interlaboratory validation\Results WF\Résultats CBA\2021-CHG-CBA-Anastrozole\plaque 2/@06Anastrozole 0.16/G6_02- exclu.tif</t>
  </si>
  <si>
    <t xml:space="preserve">\\192.168.24.208\images\R&amp;D\2-Test oestrogénique\OECD and AOPs\REACTIV oecd interlaboratory validation\Results WF\Résultats CBA\2021-CHG-CBA-Anastrozole\plaque 2/@06Anastrozole 0.16/G6_03.tif </t>
  </si>
  <si>
    <t xml:space="preserve"> 20492.0372 </t>
  </si>
  <si>
    <t xml:space="preserve"> 66.2346 </t>
  </si>
  <si>
    <t xml:space="preserve">\\192.168.24.208\images\R&amp;D\2-Test oestrogénique\OECD and AOPs\REACTIV oecd interlaboratory validation\Results WF\Résultats CBA\2021-CHG-CBA-Anastrozole\plaque 2/@06Anastrozole 0.16/H6_01.tif </t>
  </si>
  <si>
    <t xml:space="preserve"> 3741.6459 </t>
  </si>
  <si>
    <t xml:space="preserve"> 64.4128 </t>
  </si>
  <si>
    <t xml:space="preserve">\\192.168.24.208\images\R&amp;D\2-Test oestrogénique\OECD and AOPs\REACTIV oecd interlaboratory validation\Results WF\Résultats CBA\2021-CHG-CBA-Anastrozole\plaque 2/@06Anastrozole 0.16/H6_02.tif </t>
  </si>
  <si>
    <t xml:space="preserve"> 3002.0182 </t>
  </si>
  <si>
    <t xml:space="preserve"> 63.8188 </t>
  </si>
  <si>
    <t xml:space="preserve">\\192.168.24.208\images\R&amp;D\2-Test oestrogénique\OECD and AOPs\REACTIV oecd interlaboratory validation\Results WF\Résultats CBA\2021-CHG-CBA-Anastrozole\plaque 2/@06Anastrozole 0.16/H6_03.tif </t>
  </si>
  <si>
    <t xml:space="preserve"> 2958.5107 </t>
  </si>
  <si>
    <t xml:space="preserve"> 64.5294 </t>
  </si>
  <si>
    <t xml:space="preserve">\\192.168.24.208\images\R&amp;D\2-Test oestrogénique\OECD and AOPs\REACTIV oecd interlaboratory validation\Results WF\Résultats CBA\2021-CHG-CBA-Anastrozole\plaque 2/@06Anastrozole 0.16/ </t>
  </si>
  <si>
    <t xml:space="preserve"> 66.2837 </t>
  </si>
  <si>
    <t xml:space="preserve"> 3.0157 </t>
  </si>
  <si>
    <t xml:space="preserve"> 827634.292 </t>
  </si>
  <si>
    <t xml:space="preserve"> 699782.815 </t>
  </si>
  <si>
    <t xml:space="preserve">\\192.168.24.208\images\R&amp;D\2-Test oestrogénique\OECD and AOPs\REACTIV oecd interlaboratory validation\Results WF\Résultats CBA\2021-CHG-CBA-Anastrozole\plaque 2/@07 Anastrozole 0.8/A7_01.tif </t>
  </si>
  <si>
    <t xml:space="preserve">\\192.168.24.208\images\R&amp;D\2-Test oestrogénique\OECD and AOPs\REACTIV oecd interlaboratory validation\Results WF\Résultats CBA\2021-CHG-CBA-Anastrozole\plaque 2/@07 Anastrozole 0.8/A7_02.tif </t>
  </si>
  <si>
    <t xml:space="preserve"> 63.0513 </t>
  </si>
  <si>
    <t xml:space="preserve">\\192.168.24.208\images\R&amp;D\2-Test oestrogénique\OECD and AOPs\REACTIV oecd interlaboratory validation\Results WF\Résultats CBA\2021-CHG-CBA-Anastrozole\plaque 2/@07 Anastrozole 0.8/A7_03.tif </t>
  </si>
  <si>
    <t xml:space="preserve"> 62.5676 </t>
  </si>
  <si>
    <t xml:space="preserve">\\192.168.24.208\images\R&amp;D\2-Test oestrogénique\OECD and AOPs\REACTIV oecd interlaboratory validation\Results WF\Résultats CBA\2021-CHG-CBA-Anastrozole\plaque 2/@07 Anastrozole 0.8/B7_01.tif </t>
  </si>
  <si>
    <t xml:space="preserve">\\192.168.24.208\images\R&amp;D\2-Test oestrogénique\OECD and AOPs\REACTIV oecd interlaboratory validation\Results WF\Résultats CBA\2021-CHG-CBA-Anastrozole\plaque 2/@07 Anastrozole 0.8/B7_02.tif </t>
  </si>
  <si>
    <t xml:space="preserve"> 7526.7992 </t>
  </si>
  <si>
    <t xml:space="preserve"> 64.2254 </t>
  </si>
  <si>
    <t>\\192.168.24.208\images\R&amp;D\2-Test oestrogénique\OECD and AOPs\REACTIV oecd interlaboratory validation\Results WF\Résultats CBA\2021-CHG-CBA-Anastrozole\plaque 2/@07 Anastrozole 0.8/B7_03- exclu.tif</t>
  </si>
  <si>
    <t xml:space="preserve">\\192.168.24.208\images\R&amp;D\2-Test oestrogénique\OECD and AOPs\REACTIV oecd interlaboratory validation\Results WF\Résultats CBA\2021-CHG-CBA-Anastrozole\plaque 2/@07 Anastrozole 0.8/C7_01.tif </t>
  </si>
  <si>
    <t xml:space="preserve"> 67.5481 </t>
  </si>
  <si>
    <t xml:space="preserve">\\192.168.24.208\images\R&amp;D\2-Test oestrogénique\OECD and AOPs\REACTIV oecd interlaboratory validation\Results WF\Résultats CBA\2021-CHG-CBA-Anastrozole\plaque 2/@07 Anastrozole 0.8/C7_02.tif </t>
  </si>
  <si>
    <t xml:space="preserve"> 63.9731 </t>
  </si>
  <si>
    <t xml:space="preserve">\\192.168.24.208\images\R&amp;D\2-Test oestrogénique\OECD and AOPs\REACTIV oecd interlaboratory validation\Results WF\Résultats CBA\2021-CHG-CBA-Anastrozole\plaque 2/@07 Anastrozole 0.8/C7_03.tif </t>
  </si>
  <si>
    <t xml:space="preserve"> 4481.2735 </t>
  </si>
  <si>
    <t xml:space="preserve"> 63.3835 </t>
  </si>
  <si>
    <t xml:space="preserve">\\192.168.24.208\images\R&amp;D\2-Test oestrogénique\OECD and AOPs\REACTIV oecd interlaboratory validation\Results WF\Résultats CBA\2021-CHG-CBA-Anastrozole\plaque 2/@07 Anastrozole 0.8/D7_01.tif </t>
  </si>
  <si>
    <t xml:space="preserve"> 62.4 </t>
  </si>
  <si>
    <t xml:space="preserve">\\192.168.24.208\images\R&amp;D\2-Test oestrogénique\OECD and AOPs\REACTIV oecd interlaboratory validation\Results WF\Résultats CBA\2021-CHG-CBA-Anastrozole\plaque 2/@07 Anastrozole 0.8/D7_02.tif </t>
  </si>
  <si>
    <t xml:space="preserve"> 130.5225 </t>
  </si>
  <si>
    <t xml:space="preserve"> 65.8333 </t>
  </si>
  <si>
    <t xml:space="preserve">\\192.168.24.208\images\R&amp;D\2-Test oestrogénique\OECD and AOPs\REACTIV oecd interlaboratory validation\Results WF\Résultats CBA\2021-CHG-CBA-Anastrozole\plaque 2/@07 Anastrozole 0.8/D7_03.tif </t>
  </si>
  <si>
    <t xml:space="preserve">\\192.168.24.208\images\R&amp;D\2-Test oestrogénique\OECD and AOPs\REACTIV oecd interlaboratory validation\Results WF\Résultats CBA\2021-CHG-CBA-Anastrozole\plaque 2/@07 Anastrozole 0.8/E7_01.tif </t>
  </si>
  <si>
    <t xml:space="preserve"> 1283.4715 </t>
  </si>
  <si>
    <t xml:space="preserve"> 64.5424 </t>
  </si>
  <si>
    <t xml:space="preserve">\\192.168.24.208\images\R&amp;D\2-Test oestrogénique\OECD and AOPs\REACTIV oecd interlaboratory validation\Results WF\Résultats CBA\2021-CHG-CBA-Anastrozole\plaque 2/@07 Anastrozole 0.8/E7_02.tif </t>
  </si>
  <si>
    <t xml:space="preserve">\\192.168.24.208\images\R&amp;D\2-Test oestrogénique\OECD and AOPs\REACTIV oecd interlaboratory validation\Results WF\Résultats CBA\2021-CHG-CBA-Anastrozole\plaque 2/@07 Anastrozole 0.8/E7_03.tif </t>
  </si>
  <si>
    <t xml:space="preserve"> 64.3529 </t>
  </si>
  <si>
    <t xml:space="preserve">\\192.168.24.208\images\R&amp;D\2-Test oestrogénique\OECD and AOPs\REACTIV oecd interlaboratory validation\Results WF\Résultats CBA\2021-CHG-CBA-Anastrozole\plaque 2/@07 Anastrozole 0.8/F7_01.tif </t>
  </si>
  <si>
    <t xml:space="preserve"> 4851.0874 </t>
  </si>
  <si>
    <t xml:space="preserve"> 63.7892 </t>
  </si>
  <si>
    <t xml:space="preserve">\\192.168.24.208\images\R&amp;D\2-Test oestrogénique\OECD and AOPs\REACTIV oecd interlaboratory validation\Results WF\Résultats CBA\2021-CHG-CBA-Anastrozole\plaque 2/@07 Anastrozole 0.8/F7_02.tif </t>
  </si>
  <si>
    <t xml:space="preserve"> 1892.5767 </t>
  </si>
  <si>
    <t xml:space="preserve"> 63.3908 </t>
  </si>
  <si>
    <t xml:space="preserve">\\192.168.24.208\images\R&amp;D\2-Test oestrogénique\OECD and AOPs\REACTIV oecd interlaboratory validation\Results WF\Résultats CBA\2021-CHG-CBA-Anastrozole\plaque 2/@07 Anastrozole 0.8/F7_03.tif </t>
  </si>
  <si>
    <t xml:space="preserve"> 63.1985 </t>
  </si>
  <si>
    <t xml:space="preserve">\\192.168.24.208\images\R&amp;D\2-Test oestrogénique\OECD and AOPs\REACTIV oecd interlaboratory validation\Results WF\Résultats CBA\2021-CHG-CBA-Anastrozole\plaque 2/@07 Anastrozole 0.8/G7_01.tif </t>
  </si>
  <si>
    <t xml:space="preserve"> 2327.6518 </t>
  </si>
  <si>
    <t xml:space="preserve"> 64.2336 </t>
  </si>
  <si>
    <t xml:space="preserve">\\192.168.24.208\images\R&amp;D\2-Test oestrogénique\OECD and AOPs\REACTIV oecd interlaboratory validation\Results WF\Résultats CBA\2021-CHG-CBA-Anastrozole\plaque 2/@07 Anastrozole 0.8/G7_02.tif </t>
  </si>
  <si>
    <t xml:space="preserve"> 2088.3605 </t>
  </si>
  <si>
    <t xml:space="preserve"> 64.1458 </t>
  </si>
  <si>
    <t xml:space="preserve">\\192.168.24.208\images\R&amp;D\2-Test oestrogénique\OECD and AOPs\REACTIV oecd interlaboratory validation\Results WF\Résultats CBA\2021-CHG-CBA-Anastrozole\plaque 2/@07 Anastrozole 0.8/G7_03.tif </t>
  </si>
  <si>
    <t xml:space="preserve"> 63.3735 </t>
  </si>
  <si>
    <t xml:space="preserve">\\192.168.24.208\images\R&amp;D\2-Test oestrogénique\OECD and AOPs\REACTIV oecd interlaboratory validation\Results WF\Résultats CBA\2021-CHG-CBA-Anastrozole\plaque 2/@07 Anastrozole 0.8/H7_01.tif </t>
  </si>
  <si>
    <t xml:space="preserve"> 68.1333 </t>
  </si>
  <si>
    <t xml:space="preserve">\\192.168.24.208\images\R&amp;D\2-Test oestrogénique\OECD and AOPs\REACTIV oecd interlaboratory validation\Results WF\Résultats CBA\2021-CHG-CBA-Anastrozole\plaque 2/@07 Anastrozole 0.8/H7_02.tif </t>
  </si>
  <si>
    <t xml:space="preserve"> 69.4444 </t>
  </si>
  <si>
    <t xml:space="preserve">\\192.168.24.208\images\R&amp;D\2-Test oestrogénique\OECD and AOPs\REACTIV oecd interlaboratory validation\Results WF\Résultats CBA\2021-CHG-CBA-Anastrozole\plaque 2/@07 Anastrozole 0.8/H7_03.tif </t>
  </si>
  <si>
    <t xml:space="preserve"> 2110.1142 </t>
  </si>
  <si>
    <t xml:space="preserve"> 66.134 </t>
  </si>
  <si>
    <t xml:space="preserve">\\192.168.24.208\images\R&amp;D\2-Test oestrogénique\OECD and AOPs\REACTIV oecd interlaboratory validation\Results WF\Résultats CBA\2021-CHG-CBA-Anastrozole\plaque 2/@07 Anastrozole 0.8/ </t>
  </si>
  <si>
    <t xml:space="preserve"> 64.4203 </t>
  </si>
  <si>
    <t xml:space="preserve"> 1.766 </t>
  </si>
  <si>
    <t xml:space="preserve"> 145132.917 </t>
  </si>
  <si>
    <t xml:space="preserve"> 115736.672 </t>
  </si>
  <si>
    <t xml:space="preserve">\\192.168.24.208\images\R&amp;D\2-Test oestrogénique\OECD and AOPs\REACTIV oecd interlaboratory validation\Results WF\Résultats CBA\2021-CHG-CBA-Anastrozole\plaque 2/@08 Anastrozole 4/A8_01.tif </t>
  </si>
  <si>
    <t xml:space="preserve"> 8614.487 </t>
  </si>
  <si>
    <t xml:space="preserve"> 68.6061 </t>
  </si>
  <si>
    <t xml:space="preserve">\\192.168.24.208\images\R&amp;D\2-Test oestrogénique\OECD and AOPs\REACTIV oecd interlaboratory validation\Results WF\Résultats CBA\2021-CHG-CBA-Anastrozole\plaque 2/@08 Anastrozole 4/A8_02.tif </t>
  </si>
  <si>
    <t xml:space="preserve"> 9549.8984 </t>
  </si>
  <si>
    <t xml:space="preserve"> 73.3599 </t>
  </si>
  <si>
    <t xml:space="preserve">\\192.168.24.208\images\R&amp;D\2-Test oestrogénique\OECD and AOPs\REACTIV oecd interlaboratory validation\Results WF\Résultats CBA\2021-CHG-CBA-Anastrozole\plaque 2/@08 Anastrozole 4/A8_03.tif </t>
  </si>
  <si>
    <t xml:space="preserve"> 12116.8415 </t>
  </si>
  <si>
    <t xml:space="preserve"> 70.5206 </t>
  </si>
  <si>
    <t xml:space="preserve">\\192.168.24.208\images\R&amp;D\2-Test oestrogénique\OECD and AOPs\REACTIV oecd interlaboratory validation\Results WF\Résultats CBA\2021-CHG-CBA-Anastrozole\plaque 2/@08 Anastrozole 4/B8_01.tif </t>
  </si>
  <si>
    <t xml:space="preserve"> 5112.1324 </t>
  </si>
  <si>
    <t xml:space="preserve"> 71.566 </t>
  </si>
  <si>
    <t xml:space="preserve">\\192.168.24.208\images\R&amp;D\2-Test oestrogénique\OECD and AOPs\REACTIV oecd interlaboratory validation\Results WF\Résultats CBA\2021-CHG-CBA-Anastrozole\plaque 2/@08 Anastrozole 4/B8_02.tif </t>
  </si>
  <si>
    <t xml:space="preserve"> 63.9747 </t>
  </si>
  <si>
    <t xml:space="preserve">\\192.168.24.208\images\R&amp;D\2-Test oestrogénique\OECD and AOPs\REACTIV oecd interlaboratory validation\Results WF\Résultats CBA\2021-CHG-CBA-Anastrozole\plaque 2/@08 Anastrozole 4/B8_03.tif </t>
  </si>
  <si>
    <t xml:space="preserve"> 7439.7842 </t>
  </si>
  <si>
    <t xml:space="preserve"> 67.0497 </t>
  </si>
  <si>
    <t xml:space="preserve">\\192.168.24.208\images\R&amp;D\2-Test oestrogénique\OECD and AOPs\REACTIV oecd interlaboratory validation\Results WF\Résultats CBA\2021-CHG-CBA-Anastrozole\plaque 2/@08 Anastrozole 4/C8_01.tif </t>
  </si>
  <si>
    <t xml:space="preserve"> 63.52 </t>
  </si>
  <si>
    <t xml:space="preserve">\\192.168.24.208\images\R&amp;D\2-Test oestrogénique\OECD and AOPs\REACTIV oecd interlaboratory validation\Results WF\Résultats CBA\2021-CHG-CBA-Anastrozole\plaque 2/@08 Anastrozole 4/C8_02.tif </t>
  </si>
  <si>
    <t xml:space="preserve"> 62.8857 </t>
  </si>
  <si>
    <t xml:space="preserve">\\192.168.24.208\images\R&amp;D\2-Test oestrogénique\OECD and AOPs\REACTIV oecd interlaboratory validation\Results WF\Résultats CBA\2021-CHG-CBA-Anastrozole\plaque 2/@08 Anastrozole 4/C8_03.tif </t>
  </si>
  <si>
    <t xml:space="preserve"> 63.4516 </t>
  </si>
  <si>
    <t xml:space="preserve">\\192.168.24.208\images\R&amp;D\2-Test oestrogénique\OECD and AOPs\REACTIV oecd interlaboratory validation\Results WF\Résultats CBA\2021-CHG-CBA-Anastrozole\plaque 2/@08 Anastrozole 4/D8_01.tif </t>
  </si>
  <si>
    <t xml:space="preserve"> 1544.5166 </t>
  </si>
  <si>
    <t xml:space="preserve"> 64.3099 </t>
  </si>
  <si>
    <t xml:space="preserve">\\192.168.24.208\images\R&amp;D\2-Test oestrogénique\OECD and AOPs\REACTIV oecd interlaboratory validation\Results WF\Résultats CBA\2021-CHG-CBA-Anastrozole\plaque 2/@08 Anastrozole 4/D8_02.tif </t>
  </si>
  <si>
    <t xml:space="preserve"> 65.8121 </t>
  </si>
  <si>
    <t xml:space="preserve">\\192.168.24.208\images\R&amp;D\2-Test oestrogénique\OECD and AOPs\REACTIV oecd interlaboratory validation\Results WF\Résultats CBA\2021-CHG-CBA-Anastrozole\plaque 2/@08 Anastrozole 4/D8_03.tif </t>
  </si>
  <si>
    <t xml:space="preserve"> 935.4115 </t>
  </si>
  <si>
    <t xml:space="preserve"> 63.3256 </t>
  </si>
  <si>
    <t xml:space="preserve">\\192.168.24.208\images\R&amp;D\2-Test oestrogénique\OECD and AOPs\REACTIV oecd interlaboratory validation\Results WF\Résultats CBA\2021-CHG-CBA-Anastrozole\plaque 2/@08 Anastrozole 4/E8_01.tif </t>
  </si>
  <si>
    <t xml:space="preserve"> 1936.0842 </t>
  </si>
  <si>
    <t xml:space="preserve"> 64.7303 </t>
  </si>
  <si>
    <t xml:space="preserve">\\192.168.24.208\images\R&amp;D\2-Test oestrogénique\OECD and AOPs\REACTIV oecd interlaboratory validation\Results WF\Résultats CBA\2021-CHG-CBA-Anastrozole\plaque 2/@08 Anastrozole 4/E8_02.tif </t>
  </si>
  <si>
    <t xml:space="preserve"> 63.9479 </t>
  </si>
  <si>
    <t xml:space="preserve">\\192.168.24.208\images\R&amp;D\2-Test oestrogénique\OECD and AOPs\REACTIV oecd interlaboratory validation\Results WF\Résultats CBA\2021-CHG-CBA-Anastrozole\plaque 2/@08 Anastrozole 4/E8_03.tif </t>
  </si>
  <si>
    <t xml:space="preserve"> 64.246 </t>
  </si>
  <si>
    <t xml:space="preserve">\\192.168.24.208\images\R&amp;D\2-Test oestrogénique\OECD and AOPs\REACTIV oecd interlaboratory validation\Results WF\Résultats CBA\2021-CHG-CBA-Anastrozole\plaque 2/@08 Anastrozole 4/F8_01.tif </t>
  </si>
  <si>
    <t xml:space="preserve"> 63.4103 </t>
  </si>
  <si>
    <t xml:space="preserve">\\192.168.24.208\images\R&amp;D\2-Test oestrogénique\OECD and AOPs\REACTIV oecd interlaboratory validation\Results WF\Résultats CBA\2021-CHG-CBA-Anastrozole\plaque 2/@08 Anastrozole 4/F8_02.tif </t>
  </si>
  <si>
    <t xml:space="preserve">\\192.168.24.208\images\R&amp;D\2-Test oestrogénique\OECD and AOPs\REACTIV oecd interlaboratory validation\Results WF\Résultats CBA\2021-CHG-CBA-Anastrozole\plaque 2/@08 Anastrozole 4/F8_03.tif </t>
  </si>
  <si>
    <t xml:space="preserve"> 64.4096 </t>
  </si>
  <si>
    <t xml:space="preserve">\\192.168.24.208\images\R&amp;D\2-Test oestrogénique\OECD and AOPs\REACTIV oecd interlaboratory validation\Results WF\Résultats CBA\2021-CHG-CBA-Anastrozole\plaque 2/@08 Anastrozole 4/G8_01.tif </t>
  </si>
  <si>
    <t xml:space="preserve"> 5764.7451 </t>
  </si>
  <si>
    <t xml:space="preserve"> 72.4113 </t>
  </si>
  <si>
    <t xml:space="preserve">\\192.168.24.208\images\R&amp;D\2-Test oestrogénique\OECD and AOPs\REACTIV oecd interlaboratory validation\Results WF\Résultats CBA\2021-CHG-CBA-Anastrozole\plaque 2/@08 Anastrozole 4/G8_02.tif </t>
  </si>
  <si>
    <t xml:space="preserve"> 70.6777 </t>
  </si>
  <si>
    <t xml:space="preserve">\\192.168.24.208\images\R&amp;D\2-Test oestrogénique\OECD and AOPs\REACTIV oecd interlaboratory validation\Results WF\Résultats CBA\2021-CHG-CBA-Anastrozole\plaque 2/@08 Anastrozole 4/G8_03.tif </t>
  </si>
  <si>
    <t xml:space="preserve"> 5220.9012 </t>
  </si>
  <si>
    <t xml:space="preserve"> 71.4958 </t>
  </si>
  <si>
    <t xml:space="preserve">\\192.168.24.208\images\R&amp;D\2-Test oestrogénique\OECD and AOPs\REACTIV oecd interlaboratory validation\Results WF\Résultats CBA\2021-CHG-CBA-Anastrozole\plaque 2/@08 Anastrozole 4/H8_01.tif </t>
  </si>
  <si>
    <t xml:space="preserve"> 8135.9044 </t>
  </si>
  <si>
    <t xml:space="preserve"> 71.2005 </t>
  </si>
  <si>
    <t xml:space="preserve">\\192.168.24.208\images\R&amp;D\2-Test oestrogénique\OECD and AOPs\REACTIV oecd interlaboratory validation\Results WF\Résultats CBA\2021-CHG-CBA-Anastrozole\plaque 2/@08 Anastrozole 4/H8_02.tif </t>
  </si>
  <si>
    <t xml:space="preserve"> 64.4583 </t>
  </si>
  <si>
    <t xml:space="preserve">\\192.168.24.208\images\R&amp;D\2-Test oestrogénique\OECD and AOPs\REACTIV oecd interlaboratory validation\Results WF\Résultats CBA\2021-CHG-CBA-Anastrozole\plaque 2/@08 Anastrozole 4/H8_03.tif </t>
  </si>
  <si>
    <t xml:space="preserve"> 9288.8534 </t>
  </si>
  <si>
    <t xml:space="preserve"> 75.5059 </t>
  </si>
  <si>
    <t xml:space="preserve">\\192.168.24.208\images\R&amp;D\2-Test oestrogénique\OECD and AOPs\REACTIV oecd interlaboratory validation\Results WF\Résultats CBA\2021-CHG-CBA-Anastrozole\plaque 2/@08 Anastrozole 4/ </t>
  </si>
  <si>
    <t xml:space="preserve"> 67.0008 </t>
  </si>
  <si>
    <t xml:space="preserve"> 3.9848 </t>
  </si>
  <si>
    <t xml:space="preserve"> 251785.399 </t>
  </si>
  <si>
    <t xml:space="preserve">\\192.168.24.208\images\R&amp;D\2-Test oestrogénique\OECD and AOPs\REACTIV oecd interlaboratory validation\Results WF\Résultats CBA\2021-CHG-CBA-Anastrozole\plaque 2/@09 Anastrozole 20/A9_01.tif </t>
  </si>
  <si>
    <t xml:space="preserve"> 4633.5498 </t>
  </si>
  <si>
    <t xml:space="preserve"> 67.3709 </t>
  </si>
  <si>
    <t xml:space="preserve">\\192.168.24.208\images\R&amp;D\2-Test oestrogénique\OECD and AOPs\REACTIV oecd interlaboratory validation\Results WF\Résultats CBA\2021-CHG-CBA-Anastrozole\plaque 2/@09 Anastrozole 20/A9_02.tif </t>
  </si>
  <si>
    <t xml:space="preserve"> 6700.1565 </t>
  </si>
  <si>
    <t xml:space="preserve"> 79.4643 </t>
  </si>
  <si>
    <t xml:space="preserve">\\192.168.24.208\images\R&amp;D\2-Test oestrogénique\OECD and AOPs\REACTIV oecd interlaboratory validation\Results WF\Résultats CBA\2021-CHG-CBA-Anastrozole\plaque 2/@09 Anastrozole 20/A9_03.tif </t>
  </si>
  <si>
    <t xml:space="preserve"> 3023.7719 </t>
  </si>
  <si>
    <t xml:space="preserve"> 66.5468 </t>
  </si>
  <si>
    <t xml:space="preserve">\\192.168.24.208\images\R&amp;D\2-Test oestrogénique\OECD and AOPs\REACTIV oecd interlaboratory validation\Results WF\Résultats CBA\2021-CHG-CBA-Anastrozole\plaque 2/@09 Anastrozole 20/B9_01.tif </t>
  </si>
  <si>
    <t xml:space="preserve"> 2719.2194 </t>
  </si>
  <si>
    <t xml:space="preserve"> 64.048 </t>
  </si>
  <si>
    <t xml:space="preserve">\\192.168.24.208\images\R&amp;D\2-Test oestrogénique\OECD and AOPs\REACTIV oecd interlaboratory validation\Results WF\Résultats CBA\2021-CHG-CBA-Anastrozole\plaque 2/@09 Anastrozole 20/B9_02.tif </t>
  </si>
  <si>
    <t xml:space="preserve"> 3632.8771 </t>
  </si>
  <si>
    <t xml:space="preserve"> 63.982 </t>
  </si>
  <si>
    <t xml:space="preserve">\\192.168.24.208\images\R&amp;D\2-Test oestrogénique\OECD and AOPs\REACTIV oecd interlaboratory validation\Results WF\Résultats CBA\2021-CHG-CBA-Anastrozole\plaque 2/@09 Anastrozole 20/B9_03.tif </t>
  </si>
  <si>
    <t xml:space="preserve"> 63.9364 </t>
  </si>
  <si>
    <t xml:space="preserve">\\192.168.24.208\images\R&amp;D\2-Test oestrogénique\OECD and AOPs\REACTIV oecd interlaboratory validation\Results WF\Résultats CBA\2021-CHG-CBA-Anastrozole\plaque 2/@09 Anastrozole 20/C9_01.tif </t>
  </si>
  <si>
    <t xml:space="preserve"> 7113.4779 </t>
  </si>
  <si>
    <t xml:space="preserve"> 72.2294 </t>
  </si>
  <si>
    <t xml:space="preserve">\\192.168.24.208\images\R&amp;D\2-Test oestrogénique\OECD and AOPs\REACTIV oecd interlaboratory validation\Results WF\Résultats CBA\2021-CHG-CBA-Anastrozole\plaque 2/@09 Anastrozole 20/C9_02.tif </t>
  </si>
  <si>
    <t xml:space="preserve"> 63.5294 </t>
  </si>
  <si>
    <t xml:space="preserve">\\192.168.24.208\images\R&amp;D\2-Test oestrogénique\OECD and AOPs\REACTIV oecd interlaboratory validation\Results WF\Résultats CBA\2021-CHG-CBA-Anastrozole\plaque 2/@09 Anastrozole 20/C9_03.tif </t>
  </si>
  <si>
    <t xml:space="preserve"> 64.4571 </t>
  </si>
  <si>
    <t xml:space="preserve">\\192.168.24.208\images\R&amp;D\2-Test oestrogénique\OECD and AOPs\REACTIV oecd interlaboratory validation\Results WF\Résultats CBA\2021-CHG-CBA-Anastrozole\plaque 2/@09 Anastrozole 20/D9_01.tif </t>
  </si>
  <si>
    <t xml:space="preserve"> 7004.7091 </t>
  </si>
  <si>
    <t xml:space="preserve"> 77.4783 </t>
  </si>
  <si>
    <t xml:space="preserve">\\192.168.24.208\images\R&amp;D\2-Test oestrogénique\OECD and AOPs\REACTIV oecd interlaboratory validation\Results WF\Résultats CBA\2021-CHG-CBA-Anastrozole\plaque 2/@09 Anastrozole 20/D9_02.tif </t>
  </si>
  <si>
    <t xml:space="preserve"> 62.8235 </t>
  </si>
  <si>
    <t xml:space="preserve">\\192.168.24.208\images\R&amp;D\2-Test oestrogénique\OECD and AOPs\REACTIV oecd interlaboratory validation\Results WF\Résultats CBA\2021-CHG-CBA-Anastrozole\plaque 2/@09 Anastrozole 20/D9_03.tif </t>
  </si>
  <si>
    <t xml:space="preserve"> 6004.0364 </t>
  </si>
  <si>
    <t xml:space="preserve"> 73.7464 </t>
  </si>
  <si>
    <t xml:space="preserve">\\192.168.24.208\images\R&amp;D\2-Test oestrogénique\OECD and AOPs\REACTIV oecd interlaboratory validation\Results WF\Résultats CBA\2021-CHG-CBA-Anastrozole\plaque 2/@09 Anastrozole 20/E9_01.tif </t>
  </si>
  <si>
    <t xml:space="preserve"> 4981.6099 </t>
  </si>
  <si>
    <t xml:space="preserve"> 69.869 </t>
  </si>
  <si>
    <t xml:space="preserve">\\192.168.24.208\images\R&amp;D\2-Test oestrogénique\OECD and AOPs\REACTIV oecd interlaboratory validation\Results WF\Résultats CBA\2021-CHG-CBA-Anastrozole\plaque 2/@09 Anastrozole 20/E9_02.tif </t>
  </si>
  <si>
    <t xml:space="preserve"> 1087.6878 </t>
  </si>
  <si>
    <t xml:space="preserve"> 64.26 </t>
  </si>
  <si>
    <t xml:space="preserve">\\192.168.24.208\images\R&amp;D\2-Test oestrogénique\OECD and AOPs\REACTIV oecd interlaboratory validation\Results WF\Résultats CBA\2021-CHG-CBA-Anastrozole\plaque 2/@09 Anastrozole 20/E9_03.tif </t>
  </si>
  <si>
    <t xml:space="preserve"> 3045.5257 </t>
  </si>
  <si>
    <t xml:space="preserve"> 69.1286 </t>
  </si>
  <si>
    <t xml:space="preserve">\\192.168.24.208\images\R&amp;D\2-Test oestrogénique\OECD and AOPs\REACTIV oecd interlaboratory validation\Results WF\Résultats CBA\2021-CHG-CBA-Anastrozole\plaque 2/@09 Anastrozole 20/F9_01.tif </t>
  </si>
  <si>
    <t xml:space="preserve">\\192.168.24.208\images\R&amp;D\2-Test oestrogénique\OECD and AOPs\REACTIV oecd interlaboratory validation\Results WF\Résultats CBA\2021-CHG-CBA-Anastrozole\plaque 2/@09 Anastrozole 20/F9_02.tif </t>
  </si>
  <si>
    <t xml:space="preserve"> 63.193 </t>
  </si>
  <si>
    <t xml:space="preserve">\\192.168.24.208\images\R&amp;D\2-Test oestrogénique\OECD and AOPs\REACTIV oecd interlaboratory validation\Results WF\Résultats CBA\2021-CHG-CBA-Anastrozole\plaque 2/@09 Anastrozole 20/F9_03.tif </t>
  </si>
  <si>
    <t xml:space="preserve"> 61.7812 </t>
  </si>
  <si>
    <t xml:space="preserve">\\192.168.24.208\images\R&amp;D\2-Test oestrogénique\OECD and AOPs\REACTIV oecd interlaboratory validation\Results WF\Résultats CBA\2021-CHG-CBA-Anastrozole\plaque 2/@09 Anastrozole 20/G9_01.tif </t>
  </si>
  <si>
    <t xml:space="preserve"> 64.0769 </t>
  </si>
  <si>
    <t xml:space="preserve">\\192.168.24.208\images\R&amp;D\2-Test oestrogénique\OECD and AOPs\REACTIV oecd interlaboratory validation\Results WF\Résultats CBA\2021-CHG-CBA-Anastrozole\plaque 2/@09 Anastrozole 20/G9_02.tif </t>
  </si>
  <si>
    <t xml:space="preserve"> 64.5455 </t>
  </si>
  <si>
    <t xml:space="preserve">\\192.168.24.208\images\R&amp;D\2-Test oestrogénique\OECD and AOPs\REACTIV oecd interlaboratory validation\Results WF\Résultats CBA\2021-CHG-CBA-Anastrozole\plaque 2/@09 Anastrozole 20/G9_03.tif </t>
  </si>
  <si>
    <t xml:space="preserve">\\192.168.24.208\images\R&amp;D\2-Test oestrogénique\OECD and AOPs\REACTIV oecd interlaboratory validation\Results WF\Résultats CBA\2021-CHG-CBA-Anastrozole\plaque 2/@09 Anastrozole 20/H9_01.tif </t>
  </si>
  <si>
    <t xml:space="preserve"> 3567.6158 </t>
  </si>
  <si>
    <t xml:space="preserve"> 63.8963 </t>
  </si>
  <si>
    <t xml:space="preserve">\\192.168.24.208\images\R&amp;D\2-Test oestrogénique\OECD and AOPs\REACTIV oecd interlaboratory validation\Results WF\Résultats CBA\2021-CHG-CBA-Anastrozole\plaque 2/@09 Anastrozole 20/H9_02.tif </t>
  </si>
  <si>
    <t xml:space="preserve"> 10594.0787 </t>
  </si>
  <si>
    <t xml:space="preserve"> 70.0185 </t>
  </si>
  <si>
    <t xml:space="preserve">\\192.168.24.208\images\R&amp;D\2-Test oestrogénique\OECD and AOPs\REACTIV oecd interlaboratory validation\Results WF\Résultats CBA\2021-CHG-CBA-Anastrozole\plaque 2/@09 Anastrozole 20/H9_03.tif </t>
  </si>
  <si>
    <t xml:space="preserve"> 74.6583 </t>
  </si>
  <si>
    <t xml:space="preserve">\\192.168.24.208\images\R&amp;D\2-Test oestrogénique\OECD and AOPs\REACTIV oecd interlaboratory validation\Results WF\Résultats CBA\2021-CHG-CBA-Anastrozole\plaque 2/@09 Anastrozole 20/ </t>
  </si>
  <si>
    <t xml:space="preserve"> 67.2575 </t>
  </si>
  <si>
    <t xml:space="preserve"> 4.9622 </t>
  </si>
  <si>
    <t xml:space="preserve"> 244272.875 </t>
  </si>
  <si>
    <t xml:space="preserve"> 225782.915 </t>
  </si>
  <si>
    <t>Colonne1</t>
  </si>
  <si>
    <t>01 ts</t>
  </si>
  <si>
    <t>02 ee2 33</t>
  </si>
  <si>
    <t>03 ee2 50</t>
  </si>
  <si>
    <t>04 ee2 76</t>
  </si>
  <si>
    <t>05 ee2 114</t>
  </si>
  <si>
    <t>06 ee2 170</t>
  </si>
  <si>
    <t>07 ee2 488</t>
  </si>
  <si>
    <t>08 Anastrozole 0.032</t>
  </si>
  <si>
    <t>09 Anastrozole 0.16</t>
  </si>
  <si>
    <t>10 Anastrozole 0.8</t>
  </si>
  <si>
    <t>11 Anastrozole 4</t>
  </si>
  <si>
    <t>12 Anastrozole 20</t>
  </si>
  <si>
    <t>01 TESTO</t>
  </si>
  <si>
    <t>02 TESTO</t>
  </si>
  <si>
    <t>03  TESTO + EE2</t>
  </si>
  <si>
    <t>04  TESTO + FAD</t>
  </si>
  <si>
    <t>05 Anastrozole 0.032</t>
  </si>
  <si>
    <t>06Anastrozole 0.16</t>
  </si>
  <si>
    <t>07 Anastrozole 0.8</t>
  </si>
  <si>
    <t>08 Anastrozole 4</t>
  </si>
  <si>
    <t>09 Anastrozole 20</t>
  </si>
  <si>
    <t>B</t>
  </si>
  <si>
    <t>C</t>
  </si>
  <si>
    <t>D</t>
  </si>
  <si>
    <t>E</t>
  </si>
  <si>
    <t>F</t>
  </si>
  <si>
    <t>G</t>
  </si>
  <si>
    <t>H</t>
  </si>
  <si>
    <t xml:space="preserve">F:\images\20210325\plaque 1/@01 Evian + 0.2% DMSO/A1_01.tif </t>
  </si>
  <si>
    <t xml:space="preserve"> 735.4164 </t>
  </si>
  <si>
    <t xml:space="preserve"> 69.1471 </t>
  </si>
  <si>
    <t xml:space="preserve">F:\images\20210325\plaque 1/@01 Evian + 0.2% DMSO/A1_02.tif </t>
  </si>
  <si>
    <t xml:space="preserve"> 108.1495 </t>
  </si>
  <si>
    <t xml:space="preserve"> 62.2 </t>
  </si>
  <si>
    <t xml:space="preserve">F:\images\20210325\plaque 1/@01 Evian + 0.2% DMSO/A1_03.tif </t>
  </si>
  <si>
    <t xml:space="preserve"> 302.8185 </t>
  </si>
  <si>
    <t xml:space="preserve"> 66.2143 </t>
  </si>
  <si>
    <t xml:space="preserve">F:\images\20210325\plaque 1/@01 Evian + 0.2% DMSO/B1_01.tif </t>
  </si>
  <si>
    <t xml:space="preserve"> 1211.2741 </t>
  </si>
  <si>
    <t xml:space="preserve"> 64.8393 </t>
  </si>
  <si>
    <t xml:space="preserve">F:\images\20210325\plaque 1/@01 Evian + 0.2% DMSO/B1_02.tif </t>
  </si>
  <si>
    <t xml:space="preserve"> 4088.0501 </t>
  </si>
  <si>
    <t xml:space="preserve"> 67.2328 </t>
  </si>
  <si>
    <t xml:space="preserve">F:\images\20210325\plaque 1/@01 Evian + 0.2% DMSO/B1_03.tif </t>
  </si>
  <si>
    <t xml:space="preserve"> 1968.3204 </t>
  </si>
  <si>
    <t xml:space="preserve"> 64.4945 </t>
  </si>
  <si>
    <t xml:space="preserve">F:\images\20210325\plaque 1/@01 Evian + 0.2% DMSO/C1_01.tif </t>
  </si>
  <si>
    <t xml:space="preserve"> 1254.5339 </t>
  </si>
  <si>
    <t xml:space="preserve"> 65.6897 </t>
  </si>
  <si>
    <t xml:space="preserve">F:\images\20210325\plaque 1/@01 Evian + 0.2% DMSO/C1_02.tif </t>
  </si>
  <si>
    <t xml:space="preserve"> 1405.9432 </t>
  </si>
  <si>
    <t xml:space="preserve"> 65.2308 </t>
  </si>
  <si>
    <t xml:space="preserve">F:\images\20210325\plaque 1/@01 Evian + 0.2% DMSO/C1_03.tif </t>
  </si>
  <si>
    <t xml:space="preserve"> 1622.2421 </t>
  </si>
  <si>
    <t xml:space="preserve"> 64.5067 </t>
  </si>
  <si>
    <t xml:space="preserve">F:\images\20210325\plaque 1/@01 Evian + 0.2% DMSO/D1_01.tif </t>
  </si>
  <si>
    <t xml:space="preserve"> 1449.2029 </t>
  </si>
  <si>
    <t xml:space="preserve"> 63.597 </t>
  </si>
  <si>
    <t xml:space="preserve">F:\images\20210325\plaque 1/@01 Evian + 0.2% DMSO/D1_02.tif </t>
  </si>
  <si>
    <t xml:space="preserve"> 2746.9966 </t>
  </si>
  <si>
    <t xml:space="preserve"> 64.9764 </t>
  </si>
  <si>
    <t xml:space="preserve">F:\images\20210325\plaque 1/@01 Evian + 0.2% DMSO/D1_03.tif </t>
  </si>
  <si>
    <t xml:space="preserve"> 1989.9503 </t>
  </si>
  <si>
    <t xml:space="preserve"> 64.7174 </t>
  </si>
  <si>
    <t xml:space="preserve">F:\images\20210325\plaque 1/@01 Evian + 0.2% DMSO/E1_01.tif </t>
  </si>
  <si>
    <t xml:space="preserve"> 1752.0215 </t>
  </si>
  <si>
    <t xml:space="preserve"> 65.0123 </t>
  </si>
  <si>
    <t xml:space="preserve">F:\images\20210325\plaque 1/@01 Evian + 0.2% DMSO/E1_02.tif </t>
  </si>
  <si>
    <t xml:space="preserve"> 1124.7545 </t>
  </si>
  <si>
    <t xml:space="preserve"> 65.6731 </t>
  </si>
  <si>
    <t xml:space="preserve">F:\images\20210325\plaque 1/@01 Evian + 0.2% DMSO/E1_03.tif </t>
  </si>
  <si>
    <t xml:space="preserve"> 410.968 </t>
  </si>
  <si>
    <t xml:space="preserve"> 62.9474 </t>
  </si>
  <si>
    <t xml:space="preserve">F:\images\20210325\plaque 1/@01 Evian + 0.2% DMSO/F1_01.tif </t>
  </si>
  <si>
    <t xml:space="preserve"> 4325.9789 </t>
  </si>
  <si>
    <t xml:space="preserve"> 69.61 </t>
  </si>
  <si>
    <t xml:space="preserve">F:\images\20210325\plaque 1/@01 Evian + 0.2% DMSO/F1_02.tif </t>
  </si>
  <si>
    <t xml:space="preserve"> 757.0463 </t>
  </si>
  <si>
    <t xml:space="preserve"> 63.2286 </t>
  </si>
  <si>
    <t xml:space="preserve">F:\images\20210325\plaque 1/@01 Evian + 0.2% DMSO/F1_03.tif </t>
  </si>
  <si>
    <t xml:space="preserve"> 670.5267 </t>
  </si>
  <si>
    <t xml:space="preserve"> 63.4839 </t>
  </si>
  <si>
    <t xml:space="preserve">F:\images\20210325\plaque 1/@01 Evian + 0.2% DMSO/G1_01.tif </t>
  </si>
  <si>
    <t xml:space="preserve"> 778.6762 </t>
  </si>
  <si>
    <t xml:space="preserve"> 63.0278 </t>
  </si>
  <si>
    <t xml:space="preserve">F:\images\20210325\plaque 1/@01 Evian + 0.2% DMSO/G1_02.tif </t>
  </si>
  <si>
    <t xml:space="preserve"> 994.9752 </t>
  </si>
  <si>
    <t xml:space="preserve"> 64.0217 </t>
  </si>
  <si>
    <t xml:space="preserve">F:\images\20210325\plaque 1/@01 Evian + 0.2% DMSO/G1_03.tif </t>
  </si>
  <si>
    <t xml:space="preserve"> 2011.5802 </t>
  </si>
  <si>
    <t xml:space="preserve"> 65.0645 </t>
  </si>
  <si>
    <t xml:space="preserve">F:\images\20210325\plaque 1/@01 Evian + 0.2% DMSO/H1_01.tif </t>
  </si>
  <si>
    <t xml:space="preserve"> 1860.1709 </t>
  </si>
  <si>
    <t xml:space="preserve"> 69.2209 </t>
  </si>
  <si>
    <t xml:space="preserve">F:\images\20210325\plaque 1/@01 Evian + 0.2% DMSO/H1_02.tif </t>
  </si>
  <si>
    <t xml:space="preserve"> 475.8577 </t>
  </si>
  <si>
    <t xml:space="preserve"> 63.5909 </t>
  </si>
  <si>
    <t xml:space="preserve">F:\images\20210325\plaque 1/@01 Evian + 0.2% DMSO/H1_03.tif </t>
  </si>
  <si>
    <t xml:space="preserve"> 63.5484 </t>
  </si>
  <si>
    <t xml:space="preserve">F:\images\20210325\plaque 1/@01 Evian + 0.2% DMSO/ </t>
  </si>
  <si>
    <t xml:space="preserve"> 65.0531 </t>
  </si>
  <si>
    <t xml:space="preserve"> 2.007 </t>
  </si>
  <si>
    <t xml:space="preserve"> 95277.8333 </t>
  </si>
  <si>
    <t xml:space="preserve"> 73090.9094 </t>
  </si>
  <si>
    <t xml:space="preserve">F:\images\20210325\plaque 1/@02 EE2 33.8/A2_01.tif </t>
  </si>
  <si>
    <t xml:space="preserve"> 432.5979 </t>
  </si>
  <si>
    <t xml:space="preserve"> 62.85 </t>
  </si>
  <si>
    <t xml:space="preserve">F:\images\20210325\plaque 1/@02 EE2 33.8/A2_02.tif </t>
  </si>
  <si>
    <t xml:space="preserve"> 3244.4842 </t>
  </si>
  <si>
    <t xml:space="preserve"> 64.62 </t>
  </si>
  <si>
    <t xml:space="preserve">F:\images\20210325\plaque 1/@02 EE2 33.8/A2_03.tif </t>
  </si>
  <si>
    <t xml:space="preserve"> 5580.5128 </t>
  </si>
  <si>
    <t xml:space="preserve">F:\images\20210325\plaque 1/@02 EE2 33.8/B2_01.tif </t>
  </si>
  <si>
    <t xml:space="preserve"> 4109.68 </t>
  </si>
  <si>
    <t xml:space="preserve"> 68.5526 </t>
  </si>
  <si>
    <t xml:space="preserve">F:\images\20210325\plaque 1/@02 EE2 33.8/B2_02.tif </t>
  </si>
  <si>
    <t xml:space="preserve"> 3828.4913 </t>
  </si>
  <si>
    <t xml:space="preserve"> 69.4915 </t>
  </si>
  <si>
    <t xml:space="preserve">F:\images\20210325\plaque 1/@02 EE2 33.8/B2_03.tif </t>
  </si>
  <si>
    <t xml:space="preserve"> 4845.0964 </t>
  </si>
  <si>
    <t xml:space="preserve"> 69.6161 </t>
  </si>
  <si>
    <t xml:space="preserve">F:\images\20210325\plaque 1/@02 EE2 33.8/C2_01.tif </t>
  </si>
  <si>
    <t xml:space="preserve"> 4282.7191 </t>
  </si>
  <si>
    <t xml:space="preserve"> 68.9596 </t>
  </si>
  <si>
    <t xml:space="preserve">F:\images\20210325\plaque 1/@02 EE2 33.8/C2_02.tif </t>
  </si>
  <si>
    <t xml:space="preserve"> 627.2669 </t>
  </si>
  <si>
    <t xml:space="preserve"> 65.7931 </t>
  </si>
  <si>
    <t xml:space="preserve">F:\images\20210325\plaque 1/@02 EE2 33.8/C2_03.tif </t>
  </si>
  <si>
    <t xml:space="preserve"> 540.7474 </t>
  </si>
  <si>
    <t xml:space="preserve"> 63.88 </t>
  </si>
  <si>
    <t xml:space="preserve">F:\images\20210325\plaque 1/@02 EE2 33.8/D2_01.tif </t>
  </si>
  <si>
    <t xml:space="preserve"> 281.1886 </t>
  </si>
  <si>
    <t xml:space="preserve">F:\images\20210325\plaque 1/@02 EE2 33.8/D2_02.tif </t>
  </si>
  <si>
    <t xml:space="preserve"> 62.8 </t>
  </si>
  <si>
    <t>F:\images\20210325\plaque 1/@02 EE2 33.8/D2_03- exclu.tif</t>
  </si>
  <si>
    <t xml:space="preserve">F:\images\20210325\plaque 1/@02 EE2 33.8/E2_01.tif </t>
  </si>
  <si>
    <t xml:space="preserve"> 2790.2564 </t>
  </si>
  <si>
    <t xml:space="preserve"> 64.938 </t>
  </si>
  <si>
    <t xml:space="preserve">F:\images\20210325\plaque 1/@02 EE2 33.8/E2_02.tif </t>
  </si>
  <si>
    <t xml:space="preserve"> 584.0072 </t>
  </si>
  <si>
    <t xml:space="preserve"> 62.7037 </t>
  </si>
  <si>
    <t xml:space="preserve">F:\images\20210325\plaque 1/@02 EE2 33.8/E2_03.tif </t>
  </si>
  <si>
    <t xml:space="preserve"> 2725.3667 </t>
  </si>
  <si>
    <t xml:space="preserve"> 65.4365 </t>
  </si>
  <si>
    <t xml:space="preserve">F:\images\20210325\plaque 1/@02 EE2 33.8/F2_01.tif </t>
  </si>
  <si>
    <t xml:space="preserve"> 648.8968 </t>
  </si>
  <si>
    <t xml:space="preserve"> 64.4 </t>
  </si>
  <si>
    <t xml:space="preserve">F:\images\20210325\plaque 1/@02 EE2 33.8/F2_02.tif </t>
  </si>
  <si>
    <t xml:space="preserve"> 2292.7688 </t>
  </si>
  <si>
    <t xml:space="preserve"> 65.4151 </t>
  </si>
  <si>
    <t xml:space="preserve">F:\images\20210325\plaque 1/@02 EE2 33.8/F2_03.tif </t>
  </si>
  <si>
    <t xml:space="preserve"> 63.6 </t>
  </si>
  <si>
    <t xml:space="preserve">F:\images\20210325\plaque 1/@02 EE2 33.8/G2_01.tif </t>
  </si>
  <si>
    <t xml:space="preserve"> 843.5659 </t>
  </si>
  <si>
    <t xml:space="preserve"> 64.0513 </t>
  </si>
  <si>
    <t xml:space="preserve">F:\images\20210325\plaque 1/@02 EE2 33.8/G2_02.tif </t>
  </si>
  <si>
    <t xml:space="preserve"> 324.4484 </t>
  </si>
  <si>
    <t xml:space="preserve"> 62.0667 </t>
  </si>
  <si>
    <t xml:space="preserve">F:\images\20210325\plaque 1/@02 EE2 33.8/G2_03.tif </t>
  </si>
  <si>
    <t xml:space="preserve"> 237.9288 </t>
  </si>
  <si>
    <t xml:space="preserve">F:\images\20210325\plaque 1/@02 EE2 33.8/H2_01.tif </t>
  </si>
  <si>
    <t xml:space="preserve"> 63.9667 </t>
  </si>
  <si>
    <t xml:space="preserve">F:\images\20210325\plaque 1/@02 EE2 33.8/H2_02.tif </t>
  </si>
  <si>
    <t xml:space="preserve"> 562.3773 </t>
  </si>
  <si>
    <t xml:space="preserve"> 63.7308 </t>
  </si>
  <si>
    <t xml:space="preserve">F:\images\20210325\plaque 1/@02 EE2 33.8/H2_03.tif </t>
  </si>
  <si>
    <t xml:space="preserve"> 973.3453 </t>
  </si>
  <si>
    <t xml:space="preserve"> 63.1556 </t>
  </si>
  <si>
    <t xml:space="preserve">F:\images\20210325\plaque 1/@02 EE2 33.8/ </t>
  </si>
  <si>
    <t xml:space="preserve"> 64.9064 </t>
  </si>
  <si>
    <t xml:space="preserve"> 2.1792 </t>
  </si>
  <si>
    <t xml:space="preserve"> 113399.292 </t>
  </si>
  <si>
    <t xml:space="preserve"> 119218.132 </t>
  </si>
  <si>
    <t xml:space="preserve">F:\images\20210325\plaque 1/@03 EE2 50.6/A3_01.tif </t>
  </si>
  <si>
    <t xml:space="preserve"> 5818.4417 </t>
  </si>
  <si>
    <t xml:space="preserve"> 68.0297 </t>
  </si>
  <si>
    <t xml:space="preserve">F:\images\20210325\plaque 1/@03 EE2 50.6/A3_02.tif </t>
  </si>
  <si>
    <t xml:space="preserve"> 5191.1747 </t>
  </si>
  <si>
    <t xml:space="preserve"> 66.9625 </t>
  </si>
  <si>
    <t xml:space="preserve">F:\images\20210325\plaque 1/@03 EE2 50.6/A3_03.tif </t>
  </si>
  <si>
    <t xml:space="preserve"> 4736.9469 </t>
  </si>
  <si>
    <t xml:space="preserve"> 68.6667 </t>
  </si>
  <si>
    <t xml:space="preserve">F:\images\20210325\plaque 1/@03 EE2 50.6/B3_01.tif </t>
  </si>
  <si>
    <t xml:space="preserve"> 63.8272 </t>
  </si>
  <si>
    <t xml:space="preserve">F:\images\20210325\plaque 1/@03 EE2 50.6/B3_02.tif </t>
  </si>
  <si>
    <t xml:space="preserve"> 1687.1318 </t>
  </si>
  <si>
    <t xml:space="preserve"> 64.6282 </t>
  </si>
  <si>
    <t xml:space="preserve">F:\images\20210325\plaque 1/@03 EE2 50.6/B3_03.tif </t>
  </si>
  <si>
    <t xml:space="preserve"> 2941.6657 </t>
  </si>
  <si>
    <t xml:space="preserve"> 67.2721 </t>
  </si>
  <si>
    <t xml:space="preserve">F:\images\20210325\plaque 1/@03 EE2 50.6/C3_01.tif </t>
  </si>
  <si>
    <t xml:space="preserve"> 886.8257 </t>
  </si>
  <si>
    <t xml:space="preserve"> 63.878 </t>
  </si>
  <si>
    <t xml:space="preserve">F:\images\20210325\plaque 1/@03 EE2 50.6/C3_02.tif </t>
  </si>
  <si>
    <t xml:space="preserve"> 62.9333 </t>
  </si>
  <si>
    <t xml:space="preserve">F:\images\20210325\plaque 1/@03 EE2 50.6/C3_03.tif </t>
  </si>
  <si>
    <t xml:space="preserve"> 1384.3133 </t>
  </si>
  <si>
    <t xml:space="preserve"> 64.7344 </t>
  </si>
  <si>
    <t xml:space="preserve">F:\images\20210325\plaque 1/@03 EE2 50.6/D3_01.tif </t>
  </si>
  <si>
    <t xml:space="preserve"> 63.7073 </t>
  </si>
  <si>
    <t xml:space="preserve">F:\images\20210325\plaque 1/@03 EE2 50.6/D3_02.tif </t>
  </si>
  <si>
    <t xml:space="preserve"> 63.1111 </t>
  </si>
  <si>
    <t xml:space="preserve">F:\images\20210325\plaque 1/@03 EE2 50.6/D3_03.tif </t>
  </si>
  <si>
    <t xml:space="preserve"> 2768.6265 </t>
  </si>
  <si>
    <t xml:space="preserve"> 64.1953 </t>
  </si>
  <si>
    <t xml:space="preserve">F:\images\20210325\plaque 1/@03 EE2 50.6/E3_01.tif </t>
  </si>
  <si>
    <t xml:space="preserve"> 62.6 </t>
  </si>
  <si>
    <t xml:space="preserve">F:\images\20210325\plaque 1/@03 EE2 50.6/E3_02.tif </t>
  </si>
  <si>
    <t xml:space="preserve"> 454.2278 </t>
  </si>
  <si>
    <t xml:space="preserve"> 63.4762 </t>
  </si>
  <si>
    <t xml:space="preserve">F:\images\20210325\plaque 1/@03 EE2 50.6/E3_03.tif </t>
  </si>
  <si>
    <t xml:space="preserve"> 67.7273 </t>
  </si>
  <si>
    <t xml:space="preserve">F:\images\20210325\plaque 1/@03 EE2 50.6/F3_01.tif </t>
  </si>
  <si>
    <t xml:space="preserve">F:\images\20210325\plaque 1/@03 EE2 50.6/F3_02.tif </t>
  </si>
  <si>
    <t xml:space="preserve"> 63.4444 </t>
  </si>
  <si>
    <t xml:space="preserve">F:\images\20210325\plaque 1/@03 EE2 50.6/F3_03.tif </t>
  </si>
  <si>
    <t xml:space="preserve"> 62.1818 </t>
  </si>
  <si>
    <t xml:space="preserve">F:\images\20210325\plaque 1/@03 EE2 50.6/G3_01.tif </t>
  </si>
  <si>
    <t xml:space="preserve"> 1319.4236 </t>
  </si>
  <si>
    <t xml:space="preserve"> 62.4262 </t>
  </si>
  <si>
    <t xml:space="preserve">F:\images\20210325\plaque 1/@03 EE2 50.6/G3_02.tif </t>
  </si>
  <si>
    <t xml:space="preserve"> 62.5111 </t>
  </si>
  <si>
    <t xml:space="preserve">F:\images\20210325\plaque 1/@03 EE2 50.6/G3_03.tif </t>
  </si>
  <si>
    <t xml:space="preserve"> 1059.8648 </t>
  </si>
  <si>
    <t xml:space="preserve"> 62.8571 </t>
  </si>
  <si>
    <t xml:space="preserve">F:\images\20210325\plaque 1/@03 EE2 50.6/H3_01.tif </t>
  </si>
  <si>
    <t xml:space="preserve"> 10555.3886 </t>
  </si>
  <si>
    <t xml:space="preserve"> 67.3012 </t>
  </si>
  <si>
    <t xml:space="preserve">F:\images\20210325\plaque 1/@03 EE2 50.6/H3_02.tif </t>
  </si>
  <si>
    <t xml:space="preserve"> 8305.8795 </t>
  </si>
  <si>
    <t xml:space="preserve"> 65.9766 </t>
  </si>
  <si>
    <t xml:space="preserve">F:\images\20210325\plaque 1/@03 EE2 50.6/H3_03.tif </t>
  </si>
  <si>
    <t xml:space="preserve"> 10641.9082 </t>
  </si>
  <si>
    <t xml:space="preserve"> 66.5894 </t>
  </si>
  <si>
    <t xml:space="preserve">F:\images\20210325\plaque 1/@03 EE2 50.6/ </t>
  </si>
  <si>
    <t xml:space="preserve"> 64.7932 </t>
  </si>
  <si>
    <t xml:space="preserve"> 2.0502 </t>
  </si>
  <si>
    <t xml:space="preserve"> 180634.958 </t>
  </si>
  <si>
    <t xml:space="preserve"> 213011.909 </t>
  </si>
  <si>
    <t xml:space="preserve">F:\images\20210325\plaque 1/@04 EE2 76/A4_01.tif </t>
  </si>
  <si>
    <t xml:space="preserve"> 64.9338 </t>
  </si>
  <si>
    <t xml:space="preserve">F:\images\20210325\plaque 1/@04 EE2 76/A4_02.tif </t>
  </si>
  <si>
    <t xml:space="preserve"> 2682.1069 </t>
  </si>
  <si>
    <t xml:space="preserve"> 63.8468 </t>
  </si>
  <si>
    <t xml:space="preserve">F:\images\20210325\plaque 1/@04 EE2 76/A4_03.tif </t>
  </si>
  <si>
    <t xml:space="preserve"> 3590.5625 </t>
  </si>
  <si>
    <t xml:space="preserve"> 65.4337 </t>
  </si>
  <si>
    <t xml:space="preserve">F:\images\20210325\plaque 1/@04 EE2 76/B4_01.tif </t>
  </si>
  <si>
    <t xml:space="preserve"> 12285.7801 </t>
  </si>
  <si>
    <t xml:space="preserve"> 65.868 </t>
  </si>
  <si>
    <t xml:space="preserve">F:\images\20210325\plaque 1/@04 EE2 76/B4_02.tif </t>
  </si>
  <si>
    <t xml:space="preserve"> 9127.8155 </t>
  </si>
  <si>
    <t xml:space="preserve"> 64.8981 </t>
  </si>
  <si>
    <t xml:space="preserve">F:\images\20210325\plaque 1/@04 EE2 76/B4_03.tif </t>
  </si>
  <si>
    <t xml:space="preserve"> 11225.9153 </t>
  </si>
  <si>
    <t xml:space="preserve"> 65.4547 </t>
  </si>
  <si>
    <t>F:\images\20210325\plaque 1/@04 EE2 76/C4_01- exclu.tif</t>
  </si>
  <si>
    <t xml:space="preserve">F:\images\20210325\plaque 1/@04 EE2 76/C4_02.tif </t>
  </si>
  <si>
    <t xml:space="preserve"> 63.3956 </t>
  </si>
  <si>
    <t>F:\images\20210325\plaque 1/@04 EE2 76/C4_03- exclu.tif</t>
  </si>
  <si>
    <t xml:space="preserve">F:\images\20210325\plaque 1/@04 EE2 76/D4_01.tif </t>
  </si>
  <si>
    <t xml:space="preserve"> 12415.5595 </t>
  </si>
  <si>
    <t xml:space="preserve"> 64.6568 </t>
  </si>
  <si>
    <t xml:space="preserve">F:\images\20210325\plaque 1/@04 EE2 76/D4_02.tif </t>
  </si>
  <si>
    <t xml:space="preserve"> 11701.773 </t>
  </si>
  <si>
    <t xml:space="preserve"> 65.4954 </t>
  </si>
  <si>
    <t xml:space="preserve">F:\images\20210325\plaque 1/@04 EE2 76/D4_03.tif </t>
  </si>
  <si>
    <t xml:space="preserve"> 9928.1216 </t>
  </si>
  <si>
    <t xml:space="preserve"> 64.3028 </t>
  </si>
  <si>
    <t xml:space="preserve">F:\images\20210325\plaque 1/@04 EE2 76/E4_01.tif </t>
  </si>
  <si>
    <t xml:space="preserve"> 1773.6514 </t>
  </si>
  <si>
    <t xml:space="preserve"> 63.3293 </t>
  </si>
  <si>
    <t xml:space="preserve">F:\images\20210325\plaque 1/@04 EE2 76/E4_02.tif </t>
  </si>
  <si>
    <t xml:space="preserve"> 64.9683 </t>
  </si>
  <si>
    <t xml:space="preserve">F:\images\20210325\plaque 1/@04 EE2 76/E4_03.tif </t>
  </si>
  <si>
    <t xml:space="preserve"> 64.5253 </t>
  </si>
  <si>
    <t xml:space="preserve">F:\images\20210325\plaque 1/@04 EE2 76/F4_01.tif </t>
  </si>
  <si>
    <t xml:space="preserve"> 7851.6518 </t>
  </si>
  <si>
    <t xml:space="preserve"> 64.7686 </t>
  </si>
  <si>
    <t xml:space="preserve">F:\images\20210325\plaque 1/@04 EE2 76/F4_02.tif </t>
  </si>
  <si>
    <t xml:space="preserve"> 9041.296 </t>
  </si>
  <si>
    <t xml:space="preserve"> 64.7368 </t>
  </si>
  <si>
    <t xml:space="preserve">F:\images\20210325\plaque 1/@04 EE2 76/F4_03.tif </t>
  </si>
  <si>
    <t xml:space="preserve"> 6640.3777 </t>
  </si>
  <si>
    <t xml:space="preserve"> 64.4658 </t>
  </si>
  <si>
    <t xml:space="preserve">F:\images\20210325\plaque 1/@04 EE2 76/G4_01.tif </t>
  </si>
  <si>
    <t xml:space="preserve"> 6488.9684 </t>
  </si>
  <si>
    <t xml:space="preserve"> 71.0067 </t>
  </si>
  <si>
    <t xml:space="preserve">F:\images\20210325\plaque 1/@04 EE2 76/G4_02.tif </t>
  </si>
  <si>
    <t xml:space="preserve"> 3439.1532 </t>
  </si>
  <si>
    <t xml:space="preserve"> 66.8616 </t>
  </si>
  <si>
    <t xml:space="preserve">F:\images\20210325\plaque 1/@04 EE2 76/G4_03.tif </t>
  </si>
  <si>
    <t xml:space="preserve"> 4131.3099 </t>
  </si>
  <si>
    <t xml:space="preserve"> 67.5026 </t>
  </si>
  <si>
    <t xml:space="preserve">F:\images\20210325\plaque 1/@04 EE2 76/H4_01.tif </t>
  </si>
  <si>
    <t xml:space="preserve"> 3093.0749 </t>
  </si>
  <si>
    <t xml:space="preserve"> 66.0839 </t>
  </si>
  <si>
    <t xml:space="preserve">F:\images\20210325\plaque 1/@04 EE2 76/H4_02.tif </t>
  </si>
  <si>
    <t xml:space="preserve"> 2141.3596 </t>
  </si>
  <si>
    <t xml:space="preserve"> 64.4141 </t>
  </si>
  <si>
    <t xml:space="preserve">F:\images\20210325\plaque 1/@04 EE2 76/H4_03.tif </t>
  </si>
  <si>
    <t xml:space="preserve"> 3936.6408 </t>
  </si>
  <si>
    <t xml:space="preserve"> 63.7253 </t>
  </si>
  <si>
    <t xml:space="preserve">F:\images\20210325\plaque 1/@04 EE2 76/ </t>
  </si>
  <si>
    <t xml:space="preserve"> 65.0623 </t>
  </si>
  <si>
    <t xml:space="preserve"> 1.6584 </t>
  </si>
  <si>
    <t xml:space="preserve"> 369214.167 </t>
  </si>
  <si>
    <t xml:space="preserve"> 252168.368 </t>
  </si>
  <si>
    <t xml:space="preserve">F:\images\20210325\plaque 1/@05 EE2 114/A5_01.tif </t>
  </si>
  <si>
    <t xml:space="preserve"> 7354.1642 </t>
  </si>
  <si>
    <t>F:\images\20210325\plaque 1/@05 EE2 114/A5_02- exclu.tif</t>
  </si>
  <si>
    <t xml:space="preserve">F:\images\20210325\plaque 1/@05 EE2 114/A5_03.tif </t>
  </si>
  <si>
    <t xml:space="preserve"> 7894.9115 </t>
  </si>
  <si>
    <t xml:space="preserve"> 63.737 </t>
  </si>
  <si>
    <t xml:space="preserve">F:\images\20210325\plaque 1/@05 EE2 114/B5_01.tif </t>
  </si>
  <si>
    <t xml:space="preserve"> 43108.38 </t>
  </si>
  <si>
    <t xml:space="preserve"> 71.0617 </t>
  </si>
  <si>
    <t xml:space="preserve">F:\images\20210325\plaque 1/@05 EE2 114/B5_02.tif </t>
  </si>
  <si>
    <t xml:space="preserve"> 43259.7893 </t>
  </si>
  <si>
    <t xml:space="preserve"> 71.6515 </t>
  </si>
  <si>
    <t xml:space="preserve">F:\images\20210325\plaque 1/@05 EE2 114/B5_03.tif </t>
  </si>
  <si>
    <t xml:space="preserve"> 37311.5682 </t>
  </si>
  <si>
    <t xml:space="preserve"> 71.1896 </t>
  </si>
  <si>
    <t xml:space="preserve">F:\images\20210325\plaque 1/@05 EE2 114/C5_01.tif </t>
  </si>
  <si>
    <t xml:space="preserve"> 21197.2967 </t>
  </si>
  <si>
    <t xml:space="preserve"> 67.8602 </t>
  </si>
  <si>
    <t xml:space="preserve">F:\images\20210325\plaque 1/@05 EE2 114/C5_02.tif </t>
  </si>
  <si>
    <t xml:space="preserve"> 16568.4993 </t>
  </si>
  <si>
    <t xml:space="preserve"> 66.4504 </t>
  </si>
  <si>
    <t xml:space="preserve">F:\images\20210325\plaque 1/@05 EE2 114/C5_03.tif </t>
  </si>
  <si>
    <t xml:space="preserve"> 20007.6525 </t>
  </si>
  <si>
    <t xml:space="preserve"> 66.7978 </t>
  </si>
  <si>
    <t xml:space="preserve">F:\images\20210325\plaque 1/@05 EE2 114/D5_01.tif </t>
  </si>
  <si>
    <t xml:space="preserve"> 10814.9473 </t>
  </si>
  <si>
    <t xml:space="preserve"> 64.696 </t>
  </si>
  <si>
    <t xml:space="preserve">F:\images\20210325\plaque 1/@05 EE2 114/D5_02.tif </t>
  </si>
  <si>
    <t xml:space="preserve"> 64.9063 </t>
  </si>
  <si>
    <t xml:space="preserve">F:\images\20210325\plaque 1/@05 EE2 114/D5_03.tif </t>
  </si>
  <si>
    <t xml:space="preserve"> 9668.5629 </t>
  </si>
  <si>
    <t xml:space="preserve"> 65.1521 </t>
  </si>
  <si>
    <t xml:space="preserve">F:\images\20210325\plaque 1/@05 EE2 114/E5_01.tif </t>
  </si>
  <si>
    <t xml:space="preserve"> 28270.2723 </t>
  </si>
  <si>
    <t xml:space="preserve"> 67.9962 </t>
  </si>
  <si>
    <t xml:space="preserve">F:\images\20210325\plaque 1/@05 EE2 114/E5_02.tif </t>
  </si>
  <si>
    <t xml:space="preserve"> 23338.6563 </t>
  </si>
  <si>
    <t xml:space="preserve"> 69.8397 </t>
  </si>
  <si>
    <t xml:space="preserve">F:\images\20210325\plaque 1/@05 EE2 114/E5_03.tif </t>
  </si>
  <si>
    <t xml:space="preserve"> 24355.2614 </t>
  </si>
  <si>
    <t xml:space="preserve"> 68.4174 </t>
  </si>
  <si>
    <t xml:space="preserve">F:\images\20210325\plaque 1/@05 EE2 114/F5_01.tif </t>
  </si>
  <si>
    <t xml:space="preserve"> 11355.6947 </t>
  </si>
  <si>
    <t xml:space="preserve"> 67.48 </t>
  </si>
  <si>
    <t xml:space="preserve">F:\images\20210325\plaque 1/@05 EE2 114/F5_02.tif </t>
  </si>
  <si>
    <t xml:space="preserve"> 13561.9439 </t>
  </si>
  <si>
    <t xml:space="preserve"> 66.89 </t>
  </si>
  <si>
    <t xml:space="preserve">F:\images\20210325\plaque 1/@05 EE2 114/F5_03.tif </t>
  </si>
  <si>
    <t xml:space="preserve"> 8889.8867 </t>
  </si>
  <si>
    <t xml:space="preserve"> 65.9878 </t>
  </si>
  <si>
    <t xml:space="preserve">F:\images\20210325\plaque 1/@05 EE2 114/G5_01.tif </t>
  </si>
  <si>
    <t xml:space="preserve"> 21889.4534 </t>
  </si>
  <si>
    <t xml:space="preserve"> 66.8231 </t>
  </si>
  <si>
    <t xml:space="preserve">F:\images\20210325\plaque 1/@05 EE2 114/G5_02.tif </t>
  </si>
  <si>
    <t xml:space="preserve"> 26756.1797 </t>
  </si>
  <si>
    <t xml:space="preserve"> 68.3209 </t>
  </si>
  <si>
    <t xml:space="preserve">F:\images\20210325\plaque 1/@05 EE2 114/G5_03.tif </t>
  </si>
  <si>
    <t xml:space="preserve"> 22473.4605 </t>
  </si>
  <si>
    <t xml:space="preserve"> 67.1357 </t>
  </si>
  <si>
    <t xml:space="preserve">F:\images\20210325\plaque 1/@05 EE2 114/H5_01.tif </t>
  </si>
  <si>
    <t xml:space="preserve"> 30303.4824 </t>
  </si>
  <si>
    <t xml:space="preserve"> 79.7837 </t>
  </si>
  <si>
    <t xml:space="preserve">F:\images\20210325\plaque 1/@05 EE2 114/H5_02.tif </t>
  </si>
  <si>
    <t xml:space="preserve"> 77.0464 </t>
  </si>
  <si>
    <t xml:space="preserve">F:\images\20210325\plaque 1/@05 EE2 114/H5_03.tif </t>
  </si>
  <si>
    <t xml:space="preserve"> 31601.2761 </t>
  </si>
  <si>
    <t xml:space="preserve"> 78.1157 </t>
  </si>
  <si>
    <t xml:space="preserve">F:\images\20210325\plaque 1/@05 EE2 114/ </t>
  </si>
  <si>
    <t xml:space="preserve"> 68.6619 </t>
  </si>
  <si>
    <t xml:space="preserve"> 4.2953 </t>
  </si>
  <si>
    <t xml:space="preserve"> 1526948.88 </t>
  </si>
  <si>
    <t xml:space="preserve"> 813582.895 </t>
  </si>
  <si>
    <t xml:space="preserve">F:\images\20210325\plaque 1/@06 EE2 170.9/A6_01.tif </t>
  </si>
  <si>
    <t xml:space="preserve"> 57449.0001 </t>
  </si>
  <si>
    <t xml:space="preserve"> 83.218 </t>
  </si>
  <si>
    <t xml:space="preserve">F:\images\20210325\plaque 1/@06 EE2 170.9/A6_02.tif </t>
  </si>
  <si>
    <t xml:space="preserve"> 57038.0321 </t>
  </si>
  <si>
    <t xml:space="preserve"> 85.0174 </t>
  </si>
  <si>
    <t xml:space="preserve">F:\images\20210325\plaque 1/@06 EE2 170.9/A6_03.tif </t>
  </si>
  <si>
    <t xml:space="preserve"> 58876.5732 </t>
  </si>
  <si>
    <t xml:space="preserve"> 81.5059 </t>
  </si>
  <si>
    <t xml:space="preserve">F:\images\20210325\plaque 1/@06 EE2 170.9/B6_01.tif </t>
  </si>
  <si>
    <t xml:space="preserve"> 19986.0226 </t>
  </si>
  <si>
    <t xml:space="preserve"> 76.6569 </t>
  </si>
  <si>
    <t xml:space="preserve">F:\images\20210325\plaque 1/@06 EE2 170.9/B6_02.tif </t>
  </si>
  <si>
    <t xml:space="preserve"> 17152.5064 </t>
  </si>
  <si>
    <t xml:space="preserve"> 72.0958 </t>
  </si>
  <si>
    <t xml:space="preserve">F:\images\20210325\plaque 1/@06 EE2 170.9/B6_03.tif </t>
  </si>
  <si>
    <t xml:space="preserve"> 22841.1687 </t>
  </si>
  <si>
    <t xml:space="preserve"> 74.6799 </t>
  </si>
  <si>
    <t xml:space="preserve">F:\images\20210325\plaque 1/@06 EE2 170.9/C6_01.tif </t>
  </si>
  <si>
    <t xml:space="preserve"> 28075.6032 </t>
  </si>
  <si>
    <t xml:space="preserve"> 70.8737 </t>
  </si>
  <si>
    <t xml:space="preserve">F:\images\20210325\plaque 1/@06 EE2 170.9/C6_02.tif </t>
  </si>
  <si>
    <t xml:space="preserve"> 27513.226 </t>
  </si>
  <si>
    <t xml:space="preserve"> 72.5204 </t>
  </si>
  <si>
    <t xml:space="preserve">F:\images\20210325\plaque 1/@06 EE2 170.9/C6_03.tif </t>
  </si>
  <si>
    <t xml:space="preserve"> 24809.4891 </t>
  </si>
  <si>
    <t xml:space="preserve"> 69.884 </t>
  </si>
  <si>
    <t xml:space="preserve">F:\images\20210325\plaque 1/@06 EE2 170.9/D6_01.tif </t>
  </si>
  <si>
    <t xml:space="preserve"> 42848.8213 </t>
  </si>
  <si>
    <t xml:space="preserve"> 86.9763 </t>
  </si>
  <si>
    <t xml:space="preserve">F:\images\20210325\plaque 1/@06 EE2 170.9/D6_02.tif </t>
  </si>
  <si>
    <t xml:space="preserve"> 36381.4828 </t>
  </si>
  <si>
    <t xml:space="preserve"> 86.5196 </t>
  </si>
  <si>
    <t xml:space="preserve">F:\images\20210325\plaque 1/@06 EE2 170.9/D6_03.tif </t>
  </si>
  <si>
    <t xml:space="preserve"> 39863.8958 </t>
  </si>
  <si>
    <t xml:space="preserve"> 83.522 </t>
  </si>
  <si>
    <t xml:space="preserve">F:\images\20210325\plaque 1/@06 EE2 170.9/E6_01.tif </t>
  </si>
  <si>
    <t xml:space="preserve"> 50765.3627 </t>
  </si>
  <si>
    <t xml:space="preserve"> 75.7158 </t>
  </si>
  <si>
    <t xml:space="preserve">F:\images\20210325\plaque 1/@06 EE2 170.9/E6_02.tif </t>
  </si>
  <si>
    <t xml:space="preserve"> 49662.2381 </t>
  </si>
  <si>
    <t xml:space="preserve"> 73.9225 </t>
  </si>
  <si>
    <t xml:space="preserve">F:\images\20210325\plaque 1/@06 EE2 170.9/E6_03.tif </t>
  </si>
  <si>
    <t xml:space="preserve"> 47607.3981 </t>
  </si>
  <si>
    <t xml:space="preserve"> 74.8678 </t>
  </si>
  <si>
    <t xml:space="preserve">F:\images\20210325\plaque 1/@06 EE2 170.9/F6_01.tif </t>
  </si>
  <si>
    <t xml:space="preserve"> 50916.772 </t>
  </si>
  <si>
    <t xml:space="preserve"> 81.9601 </t>
  </si>
  <si>
    <t xml:space="preserve">F:\images\20210325\plaque 1/@06 EE2 170.9/F6_02.tif </t>
  </si>
  <si>
    <t xml:space="preserve"> 59785.0288 </t>
  </si>
  <si>
    <t xml:space="preserve"> 74.1628 </t>
  </si>
  <si>
    <t xml:space="preserve">F:\images\20210325\plaque 1/@06 EE2 170.9/F6_03.tif </t>
  </si>
  <si>
    <t xml:space="preserve"> 57297.5909 </t>
  </si>
  <si>
    <t xml:space="preserve"> 75.5923 </t>
  </si>
  <si>
    <t xml:space="preserve">F:\images\20210325\plaque 1/@06 EE2 170.9/G6_01.tif </t>
  </si>
  <si>
    <t xml:space="preserve"> 46114.9353 </t>
  </si>
  <si>
    <t xml:space="preserve"> 79.7214 </t>
  </si>
  <si>
    <t xml:space="preserve">F:\images\20210325\plaque 1/@06 EE2 170.9/G6_02.tif </t>
  </si>
  <si>
    <t xml:space="preserve"> 38328.1733 </t>
  </si>
  <si>
    <t xml:space="preserve"> 77.0875 </t>
  </si>
  <si>
    <t xml:space="preserve">F:\images\20210325\plaque 1/@06 EE2 170.9/G6_03.tif </t>
  </si>
  <si>
    <t xml:space="preserve"> 46158.1951 </t>
  </si>
  <si>
    <t xml:space="preserve"> 74.2235 </t>
  </si>
  <si>
    <t xml:space="preserve">F:\images\20210325\plaque 1/@06 EE2 170.9/H6_01.tif </t>
  </si>
  <si>
    <t xml:space="preserve"> 52236.1955 </t>
  </si>
  <si>
    <t xml:space="preserve"> 82.1743 </t>
  </si>
  <si>
    <t xml:space="preserve">F:\images\20210325\plaque 1/@06 EE2 170.9/H6_02.tif </t>
  </si>
  <si>
    <t xml:space="preserve"> 47672.2878 </t>
  </si>
  <si>
    <t xml:space="preserve"> 75.4959 </t>
  </si>
  <si>
    <t xml:space="preserve">F:\images\20210325\plaque 1/@06 EE2 170.9/H6_03.tif </t>
  </si>
  <si>
    <t xml:space="preserve"> 51695.4482 </t>
  </si>
  <si>
    <t xml:space="preserve"> 82.0975 </t>
  </si>
  <si>
    <t xml:space="preserve">F:\images\20210325\plaque 1/@06 EE2 170.9/ </t>
  </si>
  <si>
    <t xml:space="preserve"> 77.9371 </t>
  </si>
  <si>
    <t xml:space="preserve"> 5.078 </t>
  </si>
  <si>
    <t xml:space="preserve"> 3376507.71 </t>
  </si>
  <si>
    <t xml:space="preserve"> 1114308.61 </t>
  </si>
  <si>
    <t xml:space="preserve">F:\images\20210325\plaque 1/@07 EE2 488/A7_01.tif </t>
  </si>
  <si>
    <t xml:space="preserve"> 49510.8288 </t>
  </si>
  <si>
    <t xml:space="preserve"> 99.4395 </t>
  </si>
  <si>
    <t xml:space="preserve">F:\images\20210325\plaque 1/@07 EE2 488/A7_02.tif </t>
  </si>
  <si>
    <t xml:space="preserve"> 58790.0536 </t>
  </si>
  <si>
    <t xml:space="preserve"> 97.9864 </t>
  </si>
  <si>
    <t xml:space="preserve">F:\images\20210325\plaque 1/@07 EE2 488/A7_03.tif </t>
  </si>
  <si>
    <t xml:space="preserve"> 61883.1285 </t>
  </si>
  <si>
    <t xml:space="preserve"> 95.1744 </t>
  </si>
  <si>
    <t xml:space="preserve">F:\images\20210325\plaque 1/@07 EE2 488/B7_01.tif </t>
  </si>
  <si>
    <t xml:space="preserve"> 42135.0347 </t>
  </si>
  <si>
    <t xml:space="preserve"> 77.6109 </t>
  </si>
  <si>
    <t xml:space="preserve">F:\images\20210325\plaque 1/@07 EE2 488/B7_02.tif </t>
  </si>
  <si>
    <t xml:space="preserve"> 42719.0419 </t>
  </si>
  <si>
    <t xml:space="preserve"> 79.719 </t>
  </si>
  <si>
    <t xml:space="preserve">F:\images\20210325\plaque 1/@07 EE2 488/B7_03.tif </t>
  </si>
  <si>
    <t xml:space="preserve"> 43887.0562 </t>
  </si>
  <si>
    <t xml:space="preserve"> 79.4756 </t>
  </si>
  <si>
    <t xml:space="preserve">F:\images\20210325\plaque 1/@07 EE2 488/C7_01.tif </t>
  </si>
  <si>
    <t xml:space="preserve"> 30087.1834 </t>
  </si>
  <si>
    <t xml:space="preserve"> 70.2868 </t>
  </si>
  <si>
    <t>F:\images\20210325\plaque 1/@07 EE2 488/C7_02- exclu.tif</t>
  </si>
  <si>
    <t xml:space="preserve">F:\images\20210325\plaque 1/@07 EE2 488/C7_03.tif </t>
  </si>
  <si>
    <t xml:space="preserve"> 29611.3257 </t>
  </si>
  <si>
    <t xml:space="preserve"> 70.2688 </t>
  </si>
  <si>
    <t xml:space="preserve">F:\images\20210325\plaque 1/@07 EE2 488/D7_01.tif </t>
  </si>
  <si>
    <t xml:space="preserve"> 60996.3029 </t>
  </si>
  <si>
    <t xml:space="preserve"> 94.4167 </t>
  </si>
  <si>
    <t xml:space="preserve">F:\images\20210325\plaque 1/@07 EE2 488/D7_02.tif </t>
  </si>
  <si>
    <t xml:space="preserve"> 62575.2852 </t>
  </si>
  <si>
    <t xml:space="preserve"> 95.4331 </t>
  </si>
  <si>
    <t xml:space="preserve">F:\images\20210325\plaque 1/@07 EE2 488/D7_03.tif </t>
  </si>
  <si>
    <t xml:space="preserve"> 55523.9395 </t>
  </si>
  <si>
    <t xml:space="preserve"> 101.418 </t>
  </si>
  <si>
    <t xml:space="preserve">F:\images\20210325\plaque 1/@07 EE2 488/E7_01.tif </t>
  </si>
  <si>
    <t xml:space="preserve"> 40772.3514 </t>
  </si>
  <si>
    <t xml:space="preserve"> 97.5809 </t>
  </si>
  <si>
    <t xml:space="preserve">F:\images\20210325\plaque 1/@07 EE2 488/E7_02.tif </t>
  </si>
  <si>
    <t xml:space="preserve"> 38306.5434 </t>
  </si>
  <si>
    <t xml:space="preserve"> 97.8605 </t>
  </si>
  <si>
    <t xml:space="preserve">F:\images\20210325\plaque 1/@07 EE2 488/E7_03.tif </t>
  </si>
  <si>
    <t xml:space="preserve"> 34780.8706 </t>
  </si>
  <si>
    <t xml:space="preserve"> 100.3762 </t>
  </si>
  <si>
    <t xml:space="preserve">F:\images\20210325\plaque 1/@07 EE2 488/F7_01.tif </t>
  </si>
  <si>
    <t xml:space="preserve"> 41875.476 </t>
  </si>
  <si>
    <t xml:space="preserve"> 88.4835 </t>
  </si>
  <si>
    <t xml:space="preserve">F:\images\20210325\plaque 1/@07 EE2 488/F7_02.tif </t>
  </si>
  <si>
    <t xml:space="preserve"> 42026.8853 </t>
  </si>
  <si>
    <t xml:space="preserve"> 88.4282 </t>
  </si>
  <si>
    <t xml:space="preserve">F:\images\20210325\plaque 1/@07 EE2 488/F7_03.tif </t>
  </si>
  <si>
    <t xml:space="preserve"> 43454.4583 </t>
  </si>
  <si>
    <t xml:space="preserve"> 84.7466 </t>
  </si>
  <si>
    <t xml:space="preserve">F:\images\20210325\plaque 1/@07 EE2 488/G7_01.tif </t>
  </si>
  <si>
    <t xml:space="preserve"> 106.5322 </t>
  </si>
  <si>
    <t>F:\images\20210325\plaque 1/@07 EE2 488/G7_02- exclu.tif</t>
  </si>
  <si>
    <t xml:space="preserve">F:\images\20210325\plaque 1/@07 EE2 488/G7_03.tif </t>
  </si>
  <si>
    <t xml:space="preserve"> 49618.9783 </t>
  </si>
  <si>
    <t xml:space="preserve"> 94.9106 </t>
  </si>
  <si>
    <t xml:space="preserve">F:\images\20210325\plaque 1/@07 EE2 488/H7_01.tif </t>
  </si>
  <si>
    <t xml:space="preserve"> 55048.0818 </t>
  </si>
  <si>
    <t xml:space="preserve"> 104.4648 </t>
  </si>
  <si>
    <t xml:space="preserve">F:\images\20210325\plaque 1/@07 EE2 488/H7_02.tif </t>
  </si>
  <si>
    <t xml:space="preserve"> 55632.089 </t>
  </si>
  <si>
    <t xml:space="preserve"> 101.1757 </t>
  </si>
  <si>
    <t xml:space="preserve">F:\images\20210325\plaque 1/@07 EE2 488/H7_03.tif </t>
  </si>
  <si>
    <t xml:space="preserve"> 56129.5766 </t>
  </si>
  <si>
    <t xml:space="preserve"> 98.4929 </t>
  </si>
  <si>
    <t xml:space="preserve">F:\images\20210325\plaque 1/@07 EE2 488/ </t>
  </si>
  <si>
    <t xml:space="preserve"> 91.4273 </t>
  </si>
  <si>
    <t xml:space="preserve"> 11.2251 </t>
  </si>
  <si>
    <t xml:space="preserve"> 1339278.12 </t>
  </si>
  <si>
    <t xml:space="preserve">F:\images\20210325\plaque 1/@08 Anastrozole 0.032 µg_L/A8_01.tif </t>
  </si>
  <si>
    <t xml:space="preserve"> 1881.8008 </t>
  </si>
  <si>
    <t xml:space="preserve"> 66.9425 </t>
  </si>
  <si>
    <t xml:space="preserve">F:\images\20210325\plaque 1/@08 Anastrozole 0.032 µg_L/A8_02.tif </t>
  </si>
  <si>
    <t xml:space="preserve"> 389.3381 </t>
  </si>
  <si>
    <t xml:space="preserve">F:\images\20210325\plaque 1/@08 Anastrozole 0.032 µg_L/A8_03.tif </t>
  </si>
  <si>
    <t xml:space="preserve"> 1232.904 </t>
  </si>
  <si>
    <t xml:space="preserve"> 64.8596 </t>
  </si>
  <si>
    <t xml:space="preserve">F:\images\20210325\plaque 1/@08 Anastrozole 0.032 µg_L/B8_01.tif </t>
  </si>
  <si>
    <t xml:space="preserve"> 66.8209 </t>
  </si>
  <si>
    <t xml:space="preserve">F:\images\20210325\plaque 1/@08 Anastrozole 0.032 µg_L/B8_02.tif </t>
  </si>
  <si>
    <t xml:space="preserve"> 129.7794 </t>
  </si>
  <si>
    <t xml:space="preserve">F:\images\20210325\plaque 1/@08 Anastrozole 0.032 µg_L/B8_03.tif </t>
  </si>
  <si>
    <t xml:space="preserve"> 346.0783 </t>
  </si>
  <si>
    <t xml:space="preserve"> 63.8125 </t>
  </si>
  <si>
    <t xml:space="preserve">F:\images\20210325\plaque 1/@08 Anastrozole 0.032 µg_L/C8_01.tif </t>
  </si>
  <si>
    <t xml:space="preserve"> 66.8222 </t>
  </si>
  <si>
    <t xml:space="preserve">F:\images\20210325\plaque 1/@08 Anastrozole 0.032 µg_L/C8_02.tif </t>
  </si>
  <si>
    <t xml:space="preserve"> 64.3333 </t>
  </si>
  <si>
    <t xml:space="preserve">F:\images\20210325\plaque 1/@08 Anastrozole 0.032 µg_L/C8_03.tif </t>
  </si>
  <si>
    <t xml:space="preserve"> 821.936 </t>
  </si>
  <si>
    <t xml:space="preserve"> 68.8684 </t>
  </si>
  <si>
    <t xml:space="preserve">F:\images\20210325\plaque 1/@08 Anastrozole 0.032 µg_L/D8_01.tif </t>
  </si>
  <si>
    <t xml:space="preserve"> 2984.9255 </t>
  </si>
  <si>
    <t xml:space="preserve"> 64.971 </t>
  </si>
  <si>
    <t xml:space="preserve">F:\images\20210325\plaque 1/@08 Anastrozole 0.032 µg_L/D8_02.tif </t>
  </si>
  <si>
    <t xml:space="preserve"> 65.1038 </t>
  </si>
  <si>
    <t xml:space="preserve">F:\images\20210325\plaque 1/@08 Anastrozole 0.032 µg_L/D8_03.tif </t>
  </si>
  <si>
    <t xml:space="preserve"> 692.1566 </t>
  </si>
  <si>
    <t xml:space="preserve"> 63.9375 </t>
  </si>
  <si>
    <t xml:space="preserve">F:\images\20210325\plaque 1/@08 Anastrozole 0.032 µg_L/E8_01.tif </t>
  </si>
  <si>
    <t xml:space="preserve"> 67.9919 </t>
  </si>
  <si>
    <t xml:space="preserve">F:\images\20210325\plaque 1/@08 Anastrozole 0.032 µg_L/E8_02.tif </t>
  </si>
  <si>
    <t xml:space="preserve"> 2465.808 </t>
  </si>
  <si>
    <t xml:space="preserve"> 66.5263 </t>
  </si>
  <si>
    <t xml:space="preserve">F:\images\20210325\plaque 1/@08 Anastrozole 0.032 µg_L/E8_03.tif </t>
  </si>
  <si>
    <t xml:space="preserve"> 2855.1461 </t>
  </si>
  <si>
    <t xml:space="preserve"> 66.4545 </t>
  </si>
  <si>
    <t xml:space="preserve">F:\images\20210325\plaque 1/@08 Anastrozole 0.032 µg_L/F8_01.tif </t>
  </si>
  <si>
    <t xml:space="preserve"> 4477.3882 </t>
  </si>
  <si>
    <t xml:space="preserve"> 67.3671 </t>
  </si>
  <si>
    <t xml:space="preserve">F:\images\20210325\plaque 1/@08 Anastrozole 0.032 µg_L/F8_02.tif </t>
  </si>
  <si>
    <t xml:space="preserve"> 67.7051 </t>
  </si>
  <si>
    <t xml:space="preserve">F:\images\20210325\plaque 1/@08 Anastrozole 0.032 µg_L/F8_03.tif </t>
  </si>
  <si>
    <t xml:space="preserve"> 216.2989 </t>
  </si>
  <si>
    <t xml:space="preserve"> 62.7 </t>
  </si>
  <si>
    <t xml:space="preserve">F:\images\20210325\plaque 1/@08 Anastrozole 0.032 µg_L/G8_01.tif </t>
  </si>
  <si>
    <t xml:space="preserve"> 1816.9111 </t>
  </si>
  <si>
    <t xml:space="preserve">F:\images\20210325\plaque 1/@08 Anastrozole 0.032 µg_L/G8_02.tif </t>
  </si>
  <si>
    <t xml:space="preserve"> 65.4878 </t>
  </si>
  <si>
    <t xml:space="preserve">F:\images\20210325\plaque 1/@08 Anastrozole 0.032 µg_L/G8_03.tif </t>
  </si>
  <si>
    <t xml:space="preserve"> 66.7612 </t>
  </si>
  <si>
    <t xml:space="preserve">F:\images\20210325\plaque 1/@08 Anastrozole 0.032 µg_L/H8_01.tif </t>
  </si>
  <si>
    <t xml:space="preserve"> 2271.1389 </t>
  </si>
  <si>
    <t xml:space="preserve"> 64.8476 </t>
  </si>
  <si>
    <t xml:space="preserve">F:\images\20210325\plaque 1/@08 Anastrozole 0.032 µg_L/H8_02.tif </t>
  </si>
  <si>
    <t xml:space="preserve"> 2422.5482 </t>
  </si>
  <si>
    <t xml:space="preserve"> 63.8571 </t>
  </si>
  <si>
    <t xml:space="preserve">F:\images\20210325\plaque 1/@08 Anastrozole 0.032 µg_L/H8_03.tif </t>
  </si>
  <si>
    <t xml:space="preserve"> 2509.0678 </t>
  </si>
  <si>
    <t xml:space="preserve"> 65.6724 </t>
  </si>
  <si>
    <t xml:space="preserve">F:\images\20210325\plaque 1/@08 Anastrozole 0.032 µg_L/ </t>
  </si>
  <si>
    <t xml:space="preserve"> 65.5455 </t>
  </si>
  <si>
    <t xml:space="preserve"> 1.6848 </t>
  </si>
  <si>
    <t xml:space="preserve"> 108184.667 </t>
  </si>
  <si>
    <t xml:space="preserve"> 72691.1683 </t>
  </si>
  <si>
    <t xml:space="preserve">F:\images\20210325\plaque 1/@09 Anastrozole 0.16 µg_L/A9_01.tif </t>
  </si>
  <si>
    <t xml:space="preserve"> 1427.573 </t>
  </si>
  <si>
    <t xml:space="preserve"> 66.1212 </t>
  </si>
  <si>
    <t xml:space="preserve">F:\images\20210325\plaque 1/@09 Anastrozole 0.16 µg_L/A9_02.tif </t>
  </si>
  <si>
    <t xml:space="preserve"> 3331.0038 </t>
  </si>
  <si>
    <t xml:space="preserve"> 64.6883 </t>
  </si>
  <si>
    <t xml:space="preserve">F:\images\20210325\plaque 1/@09 Anastrozole 0.16 µg_L/A9_03.tif </t>
  </si>
  <si>
    <t xml:space="preserve"> 1903.4307 </t>
  </si>
  <si>
    <t xml:space="preserve"> 66.1023 </t>
  </si>
  <si>
    <t xml:space="preserve">F:\images\20210325\plaque 1/@09 Anastrozole 0.16 µg_L/B9_01.tif </t>
  </si>
  <si>
    <t xml:space="preserve"> 259.5587 </t>
  </si>
  <si>
    <t xml:space="preserve"> 62.8333 </t>
  </si>
  <si>
    <t xml:space="preserve">F:\images\20210325\plaque 1/@09 Anastrozole 0.16 µg_L/B9_02.tif </t>
  </si>
  <si>
    <t xml:space="preserve"> 66.7551 </t>
  </si>
  <si>
    <t xml:space="preserve">F:\images\20210325\plaque 1/@09 Anastrozole 0.16 µg_L/B9_03.tif </t>
  </si>
  <si>
    <t xml:space="preserve"> 63.4615 </t>
  </si>
  <si>
    <t xml:space="preserve">F:\images\20210325\plaque 1/@09 Anastrozole 0.16 µg_L/C9_01.tif </t>
  </si>
  <si>
    <t xml:space="preserve"> 1038.2349 </t>
  </si>
  <si>
    <t xml:space="preserve"> 64.125 </t>
  </si>
  <si>
    <t xml:space="preserve">F:\images\20210325\plaque 1/@09 Anastrozole 0.16 µg_L/C9_02.tif </t>
  </si>
  <si>
    <t xml:space="preserve"> 497.4876 </t>
  </si>
  <si>
    <t xml:space="preserve"> 63.4783 </t>
  </si>
  <si>
    <t xml:space="preserve">F:\images\20210325\plaque 1/@09 Anastrozole 0.16 µg_L/C9_03.tif </t>
  </si>
  <si>
    <t xml:space="preserve"> 1276.1638 </t>
  </si>
  <si>
    <t xml:space="preserve"> 68.4068 </t>
  </si>
  <si>
    <t xml:space="preserve">F:\images\20210325\plaque 1/@09 Anastrozole 0.16 µg_L/D9_01.tif </t>
  </si>
  <si>
    <t xml:space="preserve"> 66.54 </t>
  </si>
  <si>
    <t xml:space="preserve">F:\images\20210325\plaque 1/@09 Anastrozole 0.16 µg_L/D9_02.tif </t>
  </si>
  <si>
    <t xml:space="preserve"> 2811.8863 </t>
  </si>
  <si>
    <t xml:space="preserve"> 65.6615 </t>
  </si>
  <si>
    <t xml:space="preserve">F:\images\20210325\plaque 1/@09 Anastrozole 0.16 µg_L/D9_03.tif </t>
  </si>
  <si>
    <t xml:space="preserve"> 6424.0787 </t>
  </si>
  <si>
    <t xml:space="preserve"> 69.1111 </t>
  </si>
  <si>
    <t xml:space="preserve">F:\images\20210325\plaque 1/@09 Anastrozole 0.16 µg_L/E9_01.tif </t>
  </si>
  <si>
    <t xml:space="preserve"> 1081.4947 </t>
  </si>
  <si>
    <t xml:space="preserve"> 65.78 </t>
  </si>
  <si>
    <t xml:space="preserve">F:\images\20210325\plaque 1/@09 Anastrozole 0.16 µg_L/E9_02.tif </t>
  </si>
  <si>
    <t xml:space="preserve"> 65.8485 </t>
  </si>
  <si>
    <t xml:space="preserve">F:\images\20210325\plaque 1/@09 Anastrozole 0.16 µg_L/E9_03.tif </t>
  </si>
  <si>
    <t xml:space="preserve"> 1103.1246 </t>
  </si>
  <si>
    <t xml:space="preserve"> 66.2353 </t>
  </si>
  <si>
    <t xml:space="preserve">F:\images\20210325\plaque 1/@09 Anastrozole 0.16 µg_L/F9_01.tif </t>
  </si>
  <si>
    <t xml:space="preserve"> 1297.7937 </t>
  </si>
  <si>
    <t xml:space="preserve"> 65.3833 </t>
  </si>
  <si>
    <t xml:space="preserve">F:\images\20210325\plaque 1/@09 Anastrozole 0.16 µg_L/F9_02.tif </t>
  </si>
  <si>
    <t xml:space="preserve"> 2076.4699 </t>
  </si>
  <si>
    <t xml:space="preserve"> 68.3021 </t>
  </si>
  <si>
    <t xml:space="preserve">F:\images\20210325\plaque 1/@09 Anastrozole 0.16 µg_L/F9_03.tif </t>
  </si>
  <si>
    <t xml:space="preserve"> 800.3061 </t>
  </si>
  <si>
    <t xml:space="preserve"> 64.027 </t>
  </si>
  <si>
    <t xml:space="preserve">F:\images\20210325\plaque 1/@09 Anastrozole 0.16 µg_L/G9_01.tif </t>
  </si>
  <si>
    <t xml:space="preserve"> 66.1471 </t>
  </si>
  <si>
    <t xml:space="preserve">F:\images\20210325\plaque 1/@09 Anastrozole 0.16 µg_L/G9_02.tif </t>
  </si>
  <si>
    <t xml:space="preserve"> 63.5714 </t>
  </si>
  <si>
    <t xml:space="preserve">F:\images\20210325\plaque 1/@09 Anastrozole 0.16 µg_L/G9_03.tif </t>
  </si>
  <si>
    <t xml:space="preserve">F:\images\20210325\plaque 1/@09 Anastrozole 0.16 µg_L/H9_01.tif </t>
  </si>
  <si>
    <t xml:space="preserve"> 3460.7831 </t>
  </si>
  <si>
    <t xml:space="preserve"> 65.1 </t>
  </si>
  <si>
    <t xml:space="preserve">F:\images\20210325\plaque 1/@09 Anastrozole 0.16 µg_L/H9_02.tif </t>
  </si>
  <si>
    <t xml:space="preserve"> 4390.8686 </t>
  </si>
  <si>
    <t xml:space="preserve"> 65.5616 </t>
  </si>
  <si>
    <t xml:space="preserve">F:\images\20210325\plaque 1/@09 Anastrozole 0.16 µg_L/H9_03.tif </t>
  </si>
  <si>
    <t xml:space="preserve"> 3633.8223 </t>
  </si>
  <si>
    <t xml:space="preserve"> 66.2083 </t>
  </si>
  <si>
    <t xml:space="preserve">F:\images\20210325\plaque 1/@09 Anastrozole 0.16 µg_L/ </t>
  </si>
  <si>
    <t xml:space="preserve"> 65.602 </t>
  </si>
  <si>
    <t xml:space="preserve"> 1.5935 </t>
  </si>
  <si>
    <t xml:space="preserve"> 132321.833 </t>
  </si>
  <si>
    <t xml:space="preserve"> 101345.399 </t>
  </si>
  <si>
    <t xml:space="preserve">F:\images\20210325\plaque 1/@10 Anastrozole 0.8 µg_L/A10_01.tif </t>
  </si>
  <si>
    <t xml:space="preserve"> 6921.5663 </t>
  </si>
  <si>
    <t xml:space="preserve"> 66.5062 </t>
  </si>
  <si>
    <t xml:space="preserve">F:\images\20210325\plaque 1/@10 Anastrozole 0.8 µg_L/A10_02.tif </t>
  </si>
  <si>
    <t xml:space="preserve"> 5796.8118 </t>
  </si>
  <si>
    <t xml:space="preserve"> 68.3619 </t>
  </si>
  <si>
    <t xml:space="preserve">F:\images\20210325\plaque 1/@10 Anastrozole 0.8 µg_L/A10_03.tif </t>
  </si>
  <si>
    <t xml:space="preserve"> 67.6467 </t>
  </si>
  <si>
    <t xml:space="preserve">F:\images\20210325\plaque 1/@10 Anastrozole 0.8 µg_L/B10_01.tif </t>
  </si>
  <si>
    <t xml:space="preserve"> 1168.0143 </t>
  </si>
  <si>
    <t xml:space="preserve"> 65.463 </t>
  </si>
  <si>
    <t xml:space="preserve">F:\images\20210325\plaque 1/@10 Anastrozole 0.8 µg_L/B10_02.tif </t>
  </si>
  <si>
    <t xml:space="preserve"> 63.45 </t>
  </si>
  <si>
    <t>F:\images\20210325\plaque 1/@10 Anastrozole 0.8 µg_L/B10_03- exclu.tif</t>
  </si>
  <si>
    <t xml:space="preserve">F:\images\20210325\plaque 1/@10 Anastrozole 0.8 µg_L/C10_01.tif </t>
  </si>
  <si>
    <t xml:space="preserve"> 6186.1499 </t>
  </si>
  <si>
    <t xml:space="preserve"> 69.6469 </t>
  </si>
  <si>
    <t xml:space="preserve">F:\images\20210325\plaque 1/@10 Anastrozole 0.8 µg_L/C10_02.tif </t>
  </si>
  <si>
    <t xml:space="preserve"> 3915.0109 </t>
  </si>
  <si>
    <t xml:space="preserve"> 67.1326 </t>
  </si>
  <si>
    <t xml:space="preserve">F:\images\20210325\plaque 1/@10 Anastrozole 0.8 µg_L/C10_03.tif </t>
  </si>
  <si>
    <t xml:space="preserve"> 4520.648 </t>
  </si>
  <si>
    <t xml:space="preserve"> 66.7895 </t>
  </si>
  <si>
    <t xml:space="preserve">F:\images\20210325\plaque 1/@10 Anastrozole 0.8 µg_L/D10_01.tif </t>
  </si>
  <si>
    <t xml:space="preserve"> 1557.3524 </t>
  </si>
  <si>
    <t xml:space="preserve"> 64.4861 </t>
  </si>
  <si>
    <t xml:space="preserve">F:\images\20210325\plaque 1/@10 Anastrozole 0.8 µg_L/D10_02.tif </t>
  </si>
  <si>
    <t xml:space="preserve"> 2379.2884 </t>
  </si>
  <si>
    <t xml:space="preserve"> 69.2 </t>
  </si>
  <si>
    <t xml:space="preserve">F:\images\20210325\plaque 1/@10 Anastrozole 0.8 µg_L/D10_03.tif </t>
  </si>
  <si>
    <t xml:space="preserve"> 713.7865 </t>
  </si>
  <si>
    <t xml:space="preserve"> 62.8788 </t>
  </si>
  <si>
    <t xml:space="preserve">F:\images\20210325\plaque 1/@10 Anastrozole 0.8 µg_L/E10_01.tif </t>
  </si>
  <si>
    <t xml:space="preserve"> 9949.7515 </t>
  </si>
  <si>
    <t xml:space="preserve"> 67.7022 </t>
  </si>
  <si>
    <t xml:space="preserve">F:\images\20210325\plaque 1/@10 Anastrozole 0.8 µg_L/E10_02.tif </t>
  </si>
  <si>
    <t xml:space="preserve"> 6337.5591 </t>
  </si>
  <si>
    <t xml:space="preserve"> 67.157 </t>
  </si>
  <si>
    <t xml:space="preserve">F:\images\20210325\plaque 1/@10 Anastrozole 0.8 µg_L/E10_03.tif </t>
  </si>
  <si>
    <t xml:space="preserve"> 6359.189 </t>
  </si>
  <si>
    <t xml:space="preserve"> 66.4558 </t>
  </si>
  <si>
    <t>F:\images\20210325\plaque 1/@10 Anastrozole 0.8 µg_L/F10_01- exclu.tif</t>
  </si>
  <si>
    <t xml:space="preserve">F:\images\20210325\plaque 1/@10 Anastrozole 0.8 µg_L/F10_02.tif </t>
  </si>
  <si>
    <t xml:space="preserve"> 67.1462 </t>
  </si>
  <si>
    <t xml:space="preserve">F:\images\20210325\plaque 1/@10 Anastrozole 0.8 µg_L/F10_03.tif </t>
  </si>
  <si>
    <t xml:space="preserve"> 865.1958 </t>
  </si>
  <si>
    <t>F:\images\20210325\plaque 1/@10 Anastrozole 0.8 µg_L/G10_01- exclu.tif</t>
  </si>
  <si>
    <t>F:\images\20210325\plaque 1/@10 Anastrozole 0.8 µg_L/G10_02- exclu.tif</t>
  </si>
  <si>
    <t>F:\images\20210325\plaque 1/@10 Anastrozole 0.8 µg_L/G10_03- exclu.tif</t>
  </si>
  <si>
    <t xml:space="preserve">F:\images\20210325\plaque 1/@10 Anastrozole 0.8 µg_L/H10_01.tif </t>
  </si>
  <si>
    <t xml:space="preserve"> 2595.5874 </t>
  </si>
  <si>
    <t xml:space="preserve"> 63.9583 </t>
  </si>
  <si>
    <t xml:space="preserve">F:\images\20210325\plaque 1/@10 Anastrozole 0.8 µg_L/H10_02.tif </t>
  </si>
  <si>
    <t xml:space="preserve"> 3222.8543 </t>
  </si>
  <si>
    <t xml:space="preserve"> 65.9866 </t>
  </si>
  <si>
    <t xml:space="preserve">F:\images\20210325\plaque 1/@10 Anastrozole 0.8 µg_L/H10_03.tif </t>
  </si>
  <si>
    <t xml:space="preserve"> 62.3939 </t>
  </si>
  <si>
    <t xml:space="preserve">F:\images\20210325\plaque 1/@10 Anastrozole 0.8 µg_L/ </t>
  </si>
  <si>
    <t xml:space="preserve"> 65.9755 </t>
  </si>
  <si>
    <t xml:space="preserve"> 1.9548 </t>
  </si>
  <si>
    <t xml:space="preserve"> 248598.667 </t>
  </si>
  <si>
    <t xml:space="preserve"> 169066.649 </t>
  </si>
  <si>
    <t xml:space="preserve">F:\images\20210325\plaque 1/@11 Anastrozole 4µg_L/A11_01.tif </t>
  </si>
  <si>
    <t xml:space="preserve"> 66.5909 </t>
  </si>
  <si>
    <t xml:space="preserve">F:\images\20210325\plaque 1/@11 Anastrozole 4µg_L/A11_02.tif </t>
  </si>
  <si>
    <t xml:space="preserve"> 62.1667 </t>
  </si>
  <si>
    <t xml:space="preserve">F:\images\20210325\plaque 1/@11 Anastrozole 4µg_L/A11_03.tif </t>
  </si>
  <si>
    <t xml:space="preserve"> 1600.6122 </t>
  </si>
  <si>
    <t xml:space="preserve"> 63.473 </t>
  </si>
  <si>
    <t xml:space="preserve">F:\images\20210325\plaque 1/@11 Anastrozole 4µg_L/B11_01.tif </t>
  </si>
  <si>
    <t xml:space="preserve"> 64.9779 </t>
  </si>
  <si>
    <t xml:space="preserve">F:\images\20210325\plaque 1/@11 Anastrozole 4µg_L/B11_02.tif </t>
  </si>
  <si>
    <t xml:space="preserve"> 2530.6977 </t>
  </si>
  <si>
    <t xml:space="preserve"> 64.2991 </t>
  </si>
  <si>
    <t xml:space="preserve">F:\images\20210325\plaque 1/@11 Anastrozole 4µg_L/B11_03.tif </t>
  </si>
  <si>
    <t xml:space="preserve"> 1708.7617 </t>
  </si>
  <si>
    <t xml:space="preserve"> 65.6329 </t>
  </si>
  <si>
    <t xml:space="preserve">F:\images\20210325\plaque 1/@11 Anastrozole 4µg_L/C11_01.tif </t>
  </si>
  <si>
    <t xml:space="preserve"> 2400.9183 </t>
  </si>
  <si>
    <t xml:space="preserve"> 64.7838 </t>
  </si>
  <si>
    <t xml:space="preserve">F:\images\20210325\plaque 1/@11 Anastrozole 4µg_L/C11_02.tif </t>
  </si>
  <si>
    <t xml:space="preserve"> 951.7154 </t>
  </si>
  <si>
    <t xml:space="preserve"> 64.0909 </t>
  </si>
  <si>
    <t xml:space="preserve">F:\images\20210325\plaque 1/@11 Anastrozole 4µg_L/C11_03.tif </t>
  </si>
  <si>
    <t xml:space="preserve"> 64.0645 </t>
  </si>
  <si>
    <t xml:space="preserve">F:\images\20210325\plaque 1/@11 Anastrozole 4µg_L/D11_01.tif </t>
  </si>
  <si>
    <t xml:space="preserve"> 1492.4627 </t>
  </si>
  <si>
    <t xml:space="preserve"> 65.8551 </t>
  </si>
  <si>
    <t xml:space="preserve">F:\images\20210325\plaque 1/@11 Anastrozole 4µg_L/D11_02.tif </t>
  </si>
  <si>
    <t xml:space="preserve">F:\images\20210325\plaque 1/@11 Anastrozole 4µg_L/D11_03.tif </t>
  </si>
  <si>
    <t xml:space="preserve"> 1643.872 </t>
  </si>
  <si>
    <t xml:space="preserve"> 64.7763 </t>
  </si>
  <si>
    <t xml:space="preserve">F:\images\20210325\plaque 1/@11 Anastrozole 4µg_L/E11_01.tif </t>
  </si>
  <si>
    <t xml:space="preserve"> 66.5278 </t>
  </si>
  <si>
    <t xml:space="preserve">F:\images\20210325\plaque 1/@11 Anastrozole 4µg_L/E11_02.tif </t>
  </si>
  <si>
    <t xml:space="preserve"> 64.2653 </t>
  </si>
  <si>
    <t xml:space="preserve">F:\images\20210325\plaque 1/@11 Anastrozole 4µg_L/E11_03.tif </t>
  </si>
  <si>
    <t xml:space="preserve"> 66.8 </t>
  </si>
  <si>
    <t xml:space="preserve">F:\images\20210325\plaque 1/@11 Anastrozole 4µg_L/F11_01.tif </t>
  </si>
  <si>
    <t xml:space="preserve"> 2227.8791 </t>
  </si>
  <si>
    <t xml:space="preserve"> 62.6311 </t>
  </si>
  <si>
    <t xml:space="preserve">F:\images\20210325\plaque 1/@11 Anastrozole 4µg_L/F11_02.tif </t>
  </si>
  <si>
    <t xml:space="preserve"> 2963.2956 </t>
  </si>
  <si>
    <t xml:space="preserve"> 64.6788 </t>
  </si>
  <si>
    <t xml:space="preserve">F:\images\20210325\plaque 1/@11 Anastrozole 4µg_L/F11_03.tif </t>
  </si>
  <si>
    <t xml:space="preserve"> 2033.2101 </t>
  </si>
  <si>
    <t xml:space="preserve"> 63.6489 </t>
  </si>
  <si>
    <t>F:\images\20210325\plaque 1/@11 Anastrozole 4µg_L/G11_01- exclu.tif</t>
  </si>
  <si>
    <t>F:\images\20210325\plaque 1/@11 Anastrozole 4µg_L/G11_02- exclu.tif</t>
  </si>
  <si>
    <t>F:\images\20210325\plaque 1/@11 Anastrozole 4µg_L/G11_03- exclu.tif</t>
  </si>
  <si>
    <t xml:space="preserve">F:\images\20210325\plaque 1/@11 Anastrozole 4µg_L/H11_01.tif </t>
  </si>
  <si>
    <t xml:space="preserve"> 173.0392 </t>
  </si>
  <si>
    <t xml:space="preserve"> 63.375 </t>
  </si>
  <si>
    <t xml:space="preserve">F:\images\20210325\plaque 1/@11 Anastrozole 4µg_L/H11_02.tif </t>
  </si>
  <si>
    <t xml:space="preserve"> 63.3143 </t>
  </si>
  <si>
    <t xml:space="preserve">F:\images\20210325\plaque 1/@11 Anastrozole 4µg_L/H11_03.tif </t>
  </si>
  <si>
    <t xml:space="preserve"> 64.8077 </t>
  </si>
  <si>
    <t xml:space="preserve">F:\images\20210325\plaque 1/@11 Anastrozole 4µg_L/ </t>
  </si>
  <si>
    <t xml:space="preserve"> 64.2728 </t>
  </si>
  <si>
    <t xml:space="preserve"> 1.3417 </t>
  </si>
  <si>
    <t xml:space="preserve"> 91432.2917 </t>
  </si>
  <si>
    <t xml:space="preserve"> 67113.4591 </t>
  </si>
  <si>
    <t xml:space="preserve">F:\images\20210325\plaque 1/@12 Anastrozole 20 µg_L/A12_01.tif </t>
  </si>
  <si>
    <t xml:space="preserve"> 63.1667 </t>
  </si>
  <si>
    <t xml:space="preserve">F:\images\20210325\plaque 1/@12 Anastrozole 20 µg_L/A12_02.tif </t>
  </si>
  <si>
    <t xml:space="preserve"> 63.875 </t>
  </si>
  <si>
    <t xml:space="preserve">F:\images\20210325\plaque 1/@12 Anastrozole 20 µg_L/A12_03.tif </t>
  </si>
  <si>
    <t xml:space="preserve">F:\images\20210325\plaque 1/@12 Anastrozole 20 µg_L/B12_01.tif </t>
  </si>
  <si>
    <t xml:space="preserve"> 3179.5945 </t>
  </si>
  <si>
    <t xml:space="preserve"> 64.966 </t>
  </si>
  <si>
    <t xml:space="preserve">F:\images\20210325\plaque 1/@12 Anastrozole 20 µg_L/B12_02.tif </t>
  </si>
  <si>
    <t xml:space="preserve"> 64.4321 </t>
  </si>
  <si>
    <t xml:space="preserve">F:\images\20210325\plaque 1/@12 Anastrozole 20 µg_L/B12_03.tif </t>
  </si>
  <si>
    <t xml:space="preserve"> 2162.9895 </t>
  </si>
  <si>
    <t xml:space="preserve"> 63.84 </t>
  </si>
  <si>
    <t xml:space="preserve">F:\images\20210325\plaque 1/@12 Anastrozole 20 µg_L/C12_01.tif </t>
  </si>
  <si>
    <t xml:space="preserve"> 367.7082 </t>
  </si>
  <si>
    <t xml:space="preserve"> 64.8824 </t>
  </si>
  <si>
    <t xml:space="preserve">F:\images\20210325\plaque 1/@12 Anastrozole 20 µg_L/C12_02.tif </t>
  </si>
  <si>
    <t xml:space="preserve"> 519.1175 </t>
  </si>
  <si>
    <t xml:space="preserve"> 63.9167 </t>
  </si>
  <si>
    <t xml:space="preserve">F:\images\20210325\plaque 1/@12 Anastrozole 20 µg_L/C12_03.tif </t>
  </si>
  <si>
    <t xml:space="preserve"> 64.2857 </t>
  </si>
  <si>
    <t xml:space="preserve">F:\images\20210325\plaque 1/@12 Anastrozole 20 µg_L/D12_01.tif </t>
  </si>
  <si>
    <t xml:space="preserve"> 68.3404 </t>
  </si>
  <si>
    <t xml:space="preserve">F:\images\20210325\plaque 1/@12 Anastrozole 20 µg_L/D12_02.tif </t>
  </si>
  <si>
    <t xml:space="preserve"> 64.7538 </t>
  </si>
  <si>
    <t xml:space="preserve">F:\images\20210325\plaque 1/@12 Anastrozole 20 µg_L/D12_03.tif </t>
  </si>
  <si>
    <t xml:space="preserve"> 1946.6905 </t>
  </si>
  <si>
    <t xml:space="preserve"> 63.6889 </t>
  </si>
  <si>
    <t xml:space="preserve">F:\images\20210325\plaque 1/@12 Anastrozole 20 µg_L/E12_01.tif </t>
  </si>
  <si>
    <t xml:space="preserve"> 63.913 </t>
  </si>
  <si>
    <t xml:space="preserve">F:\images\20210325\plaque 1/@12 Anastrozole 20 µg_L/E12_02.tif </t>
  </si>
  <si>
    <t xml:space="preserve"> 65.9636 </t>
  </si>
  <si>
    <t xml:space="preserve">F:\images\20210325\plaque 1/@12 Anastrozole 20 µg_L/E12_03.tif </t>
  </si>
  <si>
    <t xml:space="preserve"> 62.0769 </t>
  </si>
  <si>
    <t xml:space="preserve">F:\images\20210325\plaque 1/@12 Anastrozole 20 µg_L/F12_01.tif </t>
  </si>
  <si>
    <t xml:space="preserve"> 66.2615 </t>
  </si>
  <si>
    <t xml:space="preserve">F:\images\20210325\plaque 1/@12 Anastrozole 20 µg_L/F12_02.tif </t>
  </si>
  <si>
    <t xml:space="preserve"> 64.471 </t>
  </si>
  <si>
    <t xml:space="preserve">F:\images\20210325\plaque 1/@12 Anastrozole 20 µg_L/F12_03.tif </t>
  </si>
  <si>
    <t xml:space="preserve"> 4585.5377 </t>
  </si>
  <si>
    <t xml:space="preserve"> 66.2358 </t>
  </si>
  <si>
    <t>F:\images\20210325\plaque 1/@12 Anastrozole 20 µg_L/G12_01- exclu.tif</t>
  </si>
  <si>
    <t>F:\images\20210325\plaque 1/@12 Anastrozole 20 µg_L/G12_02- exclu.tif</t>
  </si>
  <si>
    <t>F:\images\20210325\plaque 1/@12 Anastrozole 20 µg_L/G12_03- exclu.tif</t>
  </si>
  <si>
    <t xml:space="preserve">F:\images\20210325\plaque 1/@12 Anastrozole 20 µg_L/H12_01.tif </t>
  </si>
  <si>
    <t xml:space="preserve"> 64.2105 </t>
  </si>
  <si>
    <t xml:space="preserve">F:\images\20210325\plaque 1/@12 Anastrozole 20 µg_L/H12_02.tif </t>
  </si>
  <si>
    <t xml:space="preserve"> 63.6216 </t>
  </si>
  <si>
    <t xml:space="preserve">F:\images\20210325\plaque 1/@12 Anastrozole 20 µg_L/H12_03.tif </t>
  </si>
  <si>
    <t xml:space="preserve">F:\images\20210325\plaque 1/@12 Anastrozole 20 µg_L/ </t>
  </si>
  <si>
    <t xml:space="preserve"> 66.0027 </t>
  </si>
  <si>
    <t xml:space="preserve"> 4.339 </t>
  </si>
  <si>
    <t xml:space="preserve"> 171552.042 </t>
  </si>
  <si>
    <t xml:space="preserve"> 208653.226 </t>
  </si>
  <si>
    <t xml:space="preserve">F:\images\20210325\plaque 2/@01 Testo 30/A1_01.tif </t>
  </si>
  <si>
    <t xml:space="preserve"> 67.1575 </t>
  </si>
  <si>
    <t xml:space="preserve">F:\images\20210325\plaque 2/@01 Testo 30/A1_02.tif </t>
  </si>
  <si>
    <t xml:space="preserve"> 6705.2673 </t>
  </si>
  <si>
    <t xml:space="preserve"> 72.4742 </t>
  </si>
  <si>
    <t xml:space="preserve">F:\images\20210325\plaque 2/@01 Testo 30/A1_03.tif </t>
  </si>
  <si>
    <t xml:space="preserve"> 3157.9646 </t>
  </si>
  <si>
    <t xml:space="preserve"> 70.2397 </t>
  </si>
  <si>
    <t xml:space="preserve">F:\images\20210325\plaque 2/@01 Testo 30/B1_01.tif </t>
  </si>
  <si>
    <t xml:space="preserve"> 64.6 </t>
  </si>
  <si>
    <t xml:space="preserve">F:\images\20210325\plaque 2/@01 Testo 30/B1_02.tif </t>
  </si>
  <si>
    <t xml:space="preserve"> 65.125 </t>
  </si>
  <si>
    <t xml:space="preserve">F:\images\20210325\plaque 2/@01 Testo 30/B1_03.tif </t>
  </si>
  <si>
    <t xml:space="preserve"> 65.2396 </t>
  </si>
  <si>
    <t xml:space="preserve">F:\images\20210325\plaque 2/@01 Testo 30/C1_01.tif </t>
  </si>
  <si>
    <t xml:space="preserve"> 37462.9775 </t>
  </si>
  <si>
    <t xml:space="preserve"> 71.168 </t>
  </si>
  <si>
    <t xml:space="preserve">F:\images\20210325\plaque 2/@01 Testo 30/C1_02.tif </t>
  </si>
  <si>
    <t xml:space="preserve"> 33483.0769 </t>
  </si>
  <si>
    <t xml:space="preserve"> 70.8786 </t>
  </si>
  <si>
    <t xml:space="preserve">F:\images\20210325\plaque 2/@01 Testo 30/C1_03.tif </t>
  </si>
  <si>
    <t xml:space="preserve"> 35256.7282 </t>
  </si>
  <si>
    <t xml:space="preserve"> 70.4675 </t>
  </si>
  <si>
    <t xml:space="preserve">F:\images\20210325\plaque 2/@01 Testo 30/D1_01.tif </t>
  </si>
  <si>
    <t xml:space="preserve"> 47023.3909 </t>
  </si>
  <si>
    <t xml:space="preserve"> 79.075 </t>
  </si>
  <si>
    <t xml:space="preserve">F:\images\20210325\plaque 2/@01 Testo 30/D1_02.tif </t>
  </si>
  <si>
    <t xml:space="preserve"> 46785.4621 </t>
  </si>
  <si>
    <t xml:space="preserve"> 78.5636 </t>
  </si>
  <si>
    <t xml:space="preserve">F:\images\20210325\plaque 2/@01 Testo 30/D1_03.tif </t>
  </si>
  <si>
    <t xml:space="preserve"> 44427.8036 </t>
  </si>
  <si>
    <t xml:space="preserve"> 77.6344 </t>
  </si>
  <si>
    <t xml:space="preserve">F:\images\20210325\plaque 2/@01 Testo 30/E1_01.tif </t>
  </si>
  <si>
    <t xml:space="preserve"> 47520.8785 </t>
  </si>
  <si>
    <t xml:space="preserve"> 80.1598 </t>
  </si>
  <si>
    <t xml:space="preserve">F:\images\20210325\plaque 2/@01 Testo 30/E1_02.tif </t>
  </si>
  <si>
    <t xml:space="preserve"> 43540.9779 </t>
  </si>
  <si>
    <t xml:space="preserve"> 79.5181 </t>
  </si>
  <si>
    <t xml:space="preserve">F:\images\20210325\plaque 2/@01 Testo 30/E1_03.tif </t>
  </si>
  <si>
    <t xml:space="preserve"> 39647.5969 </t>
  </si>
  <si>
    <t xml:space="preserve"> 75.8522 </t>
  </si>
  <si>
    <t xml:space="preserve">F:\images\20210325\plaque 2/@01 Testo 30/F1_01.tif </t>
  </si>
  <si>
    <t xml:space="preserve"> 25544.9056 </t>
  </si>
  <si>
    <t xml:space="preserve"> 71.9272 </t>
  </si>
  <si>
    <t xml:space="preserve">F:\images\20210325\plaque 2/@01 Testo 30/F1_02.tif </t>
  </si>
  <si>
    <t xml:space="preserve"> 23468.4357 </t>
  </si>
  <si>
    <t xml:space="preserve"> 72.5613 </t>
  </si>
  <si>
    <t xml:space="preserve">F:\images\20210325\plaque 2/@01 Testo 30/F1_03.tif </t>
  </si>
  <si>
    <t xml:space="preserve"> 20267.2113 </t>
  </si>
  <si>
    <t xml:space="preserve"> 70.1387 </t>
  </si>
  <si>
    <t xml:space="preserve">F:\images\20210325\plaque 2/@01 Testo 30/G1_01.tif </t>
  </si>
  <si>
    <t xml:space="preserve"> 15162.5561 </t>
  </si>
  <si>
    <t xml:space="preserve"> 77.3267 </t>
  </si>
  <si>
    <t xml:space="preserve">F:\images\20210325\plaque 2/@01 Testo 30/G1_02.tif </t>
  </si>
  <si>
    <t xml:space="preserve"> 30065.5535 </t>
  </si>
  <si>
    <t xml:space="preserve"> 80.641 </t>
  </si>
  <si>
    <t xml:space="preserve">F:\images\20210325\plaque 2/@01 Testo 30/G1_03.tif </t>
  </si>
  <si>
    <t xml:space="preserve"> 8132.8404 </t>
  </si>
  <si>
    <t xml:space="preserve"> 70.3005 </t>
  </si>
  <si>
    <t xml:space="preserve">F:\images\20210325\plaque 2/@01 Testo 30/H1_01.tif </t>
  </si>
  <si>
    <t xml:space="preserve"> 60585.3349 </t>
  </si>
  <si>
    <t xml:space="preserve"> 75.6373 </t>
  </si>
  <si>
    <t xml:space="preserve">F:\images\20210325\plaque 2/@01 Testo 30/H1_02.tif </t>
  </si>
  <si>
    <t xml:space="preserve"> 46525.9033 </t>
  </si>
  <si>
    <t xml:space="preserve"> 74.9823 </t>
  </si>
  <si>
    <t xml:space="preserve">F:\images\20210325\plaque 2/@01 Testo 30/H1_03.tif </t>
  </si>
  <si>
    <t xml:space="preserve"> 52084.7863 </t>
  </si>
  <si>
    <t xml:space="preserve"> 74.5669 </t>
  </si>
  <si>
    <t xml:space="preserve">F:\images\20210325\plaque 2/@01 Testo 30/ </t>
  </si>
  <si>
    <t xml:space="preserve"> 73.1765 </t>
  </si>
  <si>
    <t xml:space="preserve"> 4.876 </t>
  </si>
  <si>
    <t xml:space="preserve"> 2117759.62 </t>
  </si>
  <si>
    <t xml:space="preserve"> 1482092.86 </t>
  </si>
  <si>
    <t xml:space="preserve">F:\images\20210325\plaque 2/@02 Testo 30/A2_01.tif </t>
  </si>
  <si>
    <t xml:space="preserve"> 40837.2411 </t>
  </si>
  <si>
    <t xml:space="preserve"> 74.0493 </t>
  </si>
  <si>
    <t xml:space="preserve">F:\images\20210325\plaque 2/@02 Testo 30/A2_02.tif </t>
  </si>
  <si>
    <t xml:space="preserve"> 45574.188 </t>
  </si>
  <si>
    <t xml:space="preserve"> 71.7295 </t>
  </si>
  <si>
    <t xml:space="preserve">F:\images\20210325\plaque 2/@02 Testo 30/A2_03.tif </t>
  </si>
  <si>
    <t xml:space="preserve"> 39928.7855 </t>
  </si>
  <si>
    <t xml:space="preserve"> 74.2936 </t>
  </si>
  <si>
    <t xml:space="preserve">F:\images\20210325\plaque 2/@02 Testo 30/B2_01.tif </t>
  </si>
  <si>
    <t xml:space="preserve"> 17996.0723 </t>
  </si>
  <si>
    <t xml:space="preserve"> 69.7548 </t>
  </si>
  <si>
    <t xml:space="preserve">F:\images\20210325\plaque 2/@02 Testo 30/B2_02.tif </t>
  </si>
  <si>
    <t xml:space="preserve"> 14838.1077 </t>
  </si>
  <si>
    <t xml:space="preserve"> 68.0831 </t>
  </si>
  <si>
    <t xml:space="preserve">F:\images\20210325\plaque 2/@02 Testo 30/B2_03.tif </t>
  </si>
  <si>
    <t xml:space="preserve"> 14275.7305 </t>
  </si>
  <si>
    <t xml:space="preserve"> 67.647 </t>
  </si>
  <si>
    <t xml:space="preserve">F:\images\20210325\plaque 2/@02 Testo 30/C2_01.tif </t>
  </si>
  <si>
    <t xml:space="preserve"> 14254.1006 </t>
  </si>
  <si>
    <t xml:space="preserve"> 67.61 </t>
  </si>
  <si>
    <t xml:space="preserve">F:\images\20210325\plaque 2/@02 Testo 30/C2_02.tif </t>
  </si>
  <si>
    <t xml:space="preserve"> 15724.9334 </t>
  </si>
  <si>
    <t xml:space="preserve"> 66.8487 </t>
  </si>
  <si>
    <t xml:space="preserve">F:\images\20210325\plaque 2/@02 Testo 30/C2_03.tif </t>
  </si>
  <si>
    <t xml:space="preserve"> 12740.0079 </t>
  </si>
  <si>
    <t xml:space="preserve"> 65.8336 </t>
  </si>
  <si>
    <t xml:space="preserve">F:\images\20210325\plaque 2/@02 Testo 30/D2_01.tif </t>
  </si>
  <si>
    <t xml:space="preserve"> 37506.2373 </t>
  </si>
  <si>
    <t xml:space="preserve"> 75.2768 </t>
  </si>
  <si>
    <t xml:space="preserve">F:\images\20210325\plaque 2/@02 Testo 30/D2_02.tif </t>
  </si>
  <si>
    <t xml:space="preserve"> 36532.892 </t>
  </si>
  <si>
    <t xml:space="preserve"> 75.1403 </t>
  </si>
  <si>
    <t xml:space="preserve">F:\images\20210325\plaque 2/@02 Testo 30/D2_03.tif </t>
  </si>
  <si>
    <t xml:space="preserve"> 38371.4331 </t>
  </si>
  <si>
    <t xml:space="preserve"> 74.137 </t>
  </si>
  <si>
    <t xml:space="preserve">F:\images\20210325\plaque 2/@02 Testo 30/E2_01.tif </t>
  </si>
  <si>
    <t xml:space="preserve"> 33288.4078 </t>
  </si>
  <si>
    <t xml:space="preserve"> 69.8025 </t>
  </si>
  <si>
    <t xml:space="preserve">F:\images\20210325\plaque 2/@02 Testo 30/E2_02.tif </t>
  </si>
  <si>
    <t xml:space="preserve"> 33721.0057 </t>
  </si>
  <si>
    <t xml:space="preserve"> 71.9795 </t>
  </si>
  <si>
    <t xml:space="preserve">F:\images\20210325\plaque 2/@02 Testo 30/E2_03.tif </t>
  </si>
  <si>
    <t xml:space="preserve"> 29157.098 </t>
  </si>
  <si>
    <t xml:space="preserve"> 71.1751 </t>
  </si>
  <si>
    <t xml:space="preserve">F:\images\20210325\plaque 2/@02 Testo 30/F2_01.tif </t>
  </si>
  <si>
    <t xml:space="preserve"> 35732.5859 </t>
  </si>
  <si>
    <t xml:space="preserve"> 77.9976 </t>
  </si>
  <si>
    <t xml:space="preserve">F:\images\20210325\plaque 2/@02 Testo 30/F2_02.tif </t>
  </si>
  <si>
    <t xml:space="preserve"> 36338.223 </t>
  </si>
  <si>
    <t xml:space="preserve"> 73.1357 </t>
  </si>
  <si>
    <t>F:\images\20210325\plaque 2/@02 Testo 30/F2_03- exclu.tif</t>
  </si>
  <si>
    <t xml:space="preserve">F:\images\20210325\plaque 2/@02 Testo 30/G2_01.tif </t>
  </si>
  <si>
    <t xml:space="preserve"> 47715.5476 </t>
  </si>
  <si>
    <t xml:space="preserve"> 73.1881 </t>
  </si>
  <si>
    <t xml:space="preserve">F:\images\20210325\plaque 2/@02 Testo 30/G2_02.tif </t>
  </si>
  <si>
    <t xml:space="preserve"> 54485.7046 </t>
  </si>
  <si>
    <t xml:space="preserve"> 74.1211 </t>
  </si>
  <si>
    <t xml:space="preserve">F:\images\20210325\plaque 2/@02 Testo 30/G2_03.tif </t>
  </si>
  <si>
    <t xml:space="preserve"> 48840.3021 </t>
  </si>
  <si>
    <t xml:space="preserve"> 73.4504 </t>
  </si>
  <si>
    <t xml:space="preserve">F:\images\20210325\plaque 2/@02 Testo 30/H2_01.tif </t>
  </si>
  <si>
    <t xml:space="preserve"> 49013.3412 </t>
  </si>
  <si>
    <t xml:space="preserve"> 78.8358 </t>
  </si>
  <si>
    <t xml:space="preserve">F:\images\20210325\plaque 2/@02 Testo 30/H2_02.tif </t>
  </si>
  <si>
    <t xml:space="preserve"> 46980.1311 </t>
  </si>
  <si>
    <t xml:space="preserve"> 77.4245 </t>
  </si>
  <si>
    <t xml:space="preserve">F:\images\20210325\plaque 2/@02 Testo 30/H2_03.tif </t>
  </si>
  <si>
    <t xml:space="preserve"> 45920.2663 </t>
  </si>
  <si>
    <t xml:space="preserve"> 78.4366 </t>
  </si>
  <si>
    <t xml:space="preserve">F:\images\20210325\plaque 2/@02 Testo 30/ </t>
  </si>
  <si>
    <t xml:space="preserve"> 72.4897 </t>
  </si>
  <si>
    <t xml:space="preserve"> 3.7608 </t>
  </si>
  <si>
    <t xml:space="preserve"> 2474625.79 </t>
  </si>
  <si>
    <t xml:space="preserve"> 1058408.89 </t>
  </si>
  <si>
    <t xml:space="preserve">F:\images\20210325\plaque 2/@03 Testo+ EE2 64/A3_01.tif </t>
  </si>
  <si>
    <t xml:space="preserve"> 48450.964 </t>
  </si>
  <si>
    <t xml:space="preserve"> 82.3299 </t>
  </si>
  <si>
    <t xml:space="preserve">F:\images\20210325\plaque 2/@03 Testo+ EE2 64/A3_02.tif </t>
  </si>
  <si>
    <t xml:space="preserve"> 50722.1029 </t>
  </si>
  <si>
    <t xml:space="preserve"> 85.1974 </t>
  </si>
  <si>
    <t xml:space="preserve">F:\images\20210325\plaque 2/@03 Testo+ EE2 64/A3_03.tif </t>
  </si>
  <si>
    <t xml:space="preserve"> 52885.0924 </t>
  </si>
  <si>
    <t xml:space="preserve"> 81.7137 </t>
  </si>
  <si>
    <t xml:space="preserve">F:\images\20210325\plaque 2/@03 Testo+ EE2 64/B3_01.tif </t>
  </si>
  <si>
    <t xml:space="preserve"> 40967.0204 </t>
  </si>
  <si>
    <t xml:space="preserve"> 74.6484 </t>
  </si>
  <si>
    <t xml:space="preserve">F:\images\20210325\plaque 2/@03 Testo+ EE2 64/B3_02.tif </t>
  </si>
  <si>
    <t xml:space="preserve"> 35948.8849 </t>
  </si>
  <si>
    <t xml:space="preserve"> 74.9158 </t>
  </si>
  <si>
    <t xml:space="preserve">F:\images\20210325\plaque 2/@03 Testo+ EE2 64/B3_03.tif </t>
  </si>
  <si>
    <t xml:space="preserve"> 43216.5295 </t>
  </si>
  <si>
    <t xml:space="preserve"> 75.6416 </t>
  </si>
  <si>
    <t xml:space="preserve">F:\images\20210325\plaque 2/@03 Testo+ EE2 64/C3_01.tif </t>
  </si>
  <si>
    <t xml:space="preserve"> 37873.9455 </t>
  </si>
  <si>
    <t xml:space="preserve"> 75.0988 </t>
  </si>
  <si>
    <t xml:space="preserve">F:\images\20210325\plaque 2/@03 Testo+ EE2 64/C3_02.tif </t>
  </si>
  <si>
    <t xml:space="preserve"> 45595.8179 </t>
  </si>
  <si>
    <t xml:space="preserve"> 75.1945 </t>
  </si>
  <si>
    <t xml:space="preserve">F:\images\20210325\plaque 2/@03 Testo+ EE2 64/C3_03.tif </t>
  </si>
  <si>
    <t xml:space="preserve"> 45833.7467 </t>
  </si>
  <si>
    <t xml:space="preserve"> 83.8433 </t>
  </si>
  <si>
    <t xml:space="preserve">F:\images\20210325\plaque 2/@03 Testo+ EE2 64/D3_01.tif </t>
  </si>
  <si>
    <t xml:space="preserve"> 75.6625 </t>
  </si>
  <si>
    <t xml:space="preserve">F:\images\20210325\plaque 2/@03 Testo+ EE2 64/D3_02.tif </t>
  </si>
  <si>
    <t xml:space="preserve"> 42935.3408 </t>
  </si>
  <si>
    <t xml:space="preserve"> 74.3894 </t>
  </si>
  <si>
    <t xml:space="preserve">F:\images\20210325\plaque 2/@03 Testo+ EE2 64/D3_03.tif </t>
  </si>
  <si>
    <t xml:space="preserve"> 46006.7859 </t>
  </si>
  <si>
    <t xml:space="preserve"> 76.3512 </t>
  </si>
  <si>
    <t xml:space="preserve">F:\images\20210325\plaque 2/@03 Testo+ EE2 64/E3_01.tif </t>
  </si>
  <si>
    <t xml:space="preserve"> 15962.8622 </t>
  </si>
  <si>
    <t xml:space="preserve"> 73.6328 </t>
  </si>
  <si>
    <t xml:space="preserve">F:\images\20210325\plaque 2/@03 Testo+ EE2 64/E3_02.tif </t>
  </si>
  <si>
    <t xml:space="preserve"> 14124.3212 </t>
  </si>
  <si>
    <t xml:space="preserve"> 71.0459 </t>
  </si>
  <si>
    <t xml:space="preserve">F:\images\20210325\plaque 2/@03 Testo+ EE2 64/E3_03.tif </t>
  </si>
  <si>
    <t xml:space="preserve"> 19899.5031 </t>
  </si>
  <si>
    <t xml:space="preserve"> 68.9207 </t>
  </si>
  <si>
    <t xml:space="preserve">F:\images\20210325\plaque 2/@03 Testo+ EE2 64/F3_01.tif </t>
  </si>
  <si>
    <t xml:space="preserve"> 24658.0799 </t>
  </si>
  <si>
    <t xml:space="preserve"> 72.214 </t>
  </si>
  <si>
    <t xml:space="preserve">F:\images\20210325\plaque 2/@03 Testo+ EE2 64/F3_02.tif </t>
  </si>
  <si>
    <t xml:space="preserve"> 23490.0656 </t>
  </si>
  <si>
    <t xml:space="preserve"> 75.582 </t>
  </si>
  <si>
    <t xml:space="preserve">F:\images\20210325\plaque 2/@03 Testo+ EE2 64/F3_03.tif </t>
  </si>
  <si>
    <t xml:space="preserve"> 25306.9767 </t>
  </si>
  <si>
    <t xml:space="preserve"> 73.7103 </t>
  </si>
  <si>
    <t xml:space="preserve">F:\images\20210325\plaque 2/@03 Testo+ EE2 64/G3_01.tif </t>
  </si>
  <si>
    <t xml:space="preserve"> 56259.3559 </t>
  </si>
  <si>
    <t xml:space="preserve"> 82.0369 </t>
  </si>
  <si>
    <t xml:space="preserve">F:\images\20210325\plaque 2/@03 Testo+ EE2 64/G3_02.tif </t>
  </si>
  <si>
    <t xml:space="preserve"> 56064.6869 </t>
  </si>
  <si>
    <t xml:space="preserve"> 83.7184 </t>
  </si>
  <si>
    <t xml:space="preserve">F:\images\20210325\plaque 2/@03 Testo+ EE2 64/G3_03.tif </t>
  </si>
  <si>
    <t xml:space="preserve"> 50051.5762 </t>
  </si>
  <si>
    <t xml:space="preserve"> 85.6534 </t>
  </si>
  <si>
    <t xml:space="preserve">F:\images\20210325\plaque 2/@03 Testo+ EE2 64/H3_01.tif </t>
  </si>
  <si>
    <t xml:space="preserve"> 63894.7087 </t>
  </si>
  <si>
    <t xml:space="preserve"> 78.5724 </t>
  </si>
  <si>
    <t xml:space="preserve">F:\images\20210325\plaque 2/@03 Testo+ EE2 64/H3_02.tif </t>
  </si>
  <si>
    <t xml:space="preserve"> 56086.3168 </t>
  </si>
  <si>
    <t xml:space="preserve"> 80.0779 </t>
  </si>
  <si>
    <t xml:space="preserve">F:\images\20210325\plaque 2/@03 Testo+ EE2 64/H3_03.tif </t>
  </si>
  <si>
    <t xml:space="preserve"> 58422.3454 </t>
  </si>
  <si>
    <t xml:space="preserve"> 77.9715 </t>
  </si>
  <si>
    <t xml:space="preserve">F:\images\20210325\plaque 2/@03 Testo+ EE2 64/ </t>
  </si>
  <si>
    <t xml:space="preserve"> 77.4218 </t>
  </si>
  <si>
    <t xml:space="preserve"> 4.6349 </t>
  </si>
  <si>
    <t xml:space="preserve"> 3276225.17 </t>
  </si>
  <si>
    <t xml:space="preserve"> 1222942.68 </t>
  </si>
  <si>
    <t xml:space="preserve">F:\images\20210325\plaque 2/@04 Testo+ FAD/A4_01.tif </t>
  </si>
  <si>
    <t xml:space="preserve"> 5277.6943 </t>
  </si>
  <si>
    <t xml:space="preserve"> 68.1885 </t>
  </si>
  <si>
    <t>F:\images\20210325\plaque 2/@04 Testo+ FAD/A4_02- exclu.tif</t>
  </si>
  <si>
    <t xml:space="preserve">F:\images\20210325\plaque 2/@04 Testo+ FAD/A4_03.tif </t>
  </si>
  <si>
    <t xml:space="preserve"> 67.8111 </t>
  </si>
  <si>
    <t xml:space="preserve">F:\images\20210325\plaque 2/@04 Testo+ FAD/B4_01.tif </t>
  </si>
  <si>
    <t xml:space="preserve"> 2703.7368 </t>
  </si>
  <si>
    <t xml:space="preserve"> 67.312 </t>
  </si>
  <si>
    <t xml:space="preserve">F:\images\20210325\plaque 2/@04 Testo+ FAD/B4_02.tif </t>
  </si>
  <si>
    <t xml:space="preserve"> 63.2156 </t>
  </si>
  <si>
    <t xml:space="preserve">F:\images\20210325\plaque 2/@04 Testo+ FAD/B4_03.tif </t>
  </si>
  <si>
    <t xml:space="preserve"> 4412.4985 </t>
  </si>
  <si>
    <t xml:space="preserve"> 62.6127 </t>
  </si>
  <si>
    <t xml:space="preserve">F:\images\20210325\plaque 2/@04 Testo+ FAD/C4_01.tif </t>
  </si>
  <si>
    <t xml:space="preserve"> 6056.3705 </t>
  </si>
  <si>
    <t xml:space="preserve"> 69.6464 </t>
  </si>
  <si>
    <t xml:space="preserve">F:\images\20210325\plaque 2/@04 Testo+ FAD/C4_02.tif </t>
  </si>
  <si>
    <t xml:space="preserve"> 6402.4488 </t>
  </si>
  <si>
    <t xml:space="preserve"> 70.0845 </t>
  </si>
  <si>
    <t xml:space="preserve">F:\images\20210325\plaque 2/@04 Testo+ FAD/C4_03.tif </t>
  </si>
  <si>
    <t xml:space="preserve"> 7527.2033 </t>
  </si>
  <si>
    <t xml:space="preserve"> 67.6782 </t>
  </si>
  <si>
    <t xml:space="preserve">F:\images\20210325\plaque 2/@04 Testo+ FAD/D4_01.tif </t>
  </si>
  <si>
    <t xml:space="preserve"> 66.5672 </t>
  </si>
  <si>
    <t xml:space="preserve">F:\images\20210325\plaque 2/@04 Testo+ FAD/D4_02.tif </t>
  </si>
  <si>
    <t xml:space="preserve"> 66.0909 </t>
  </si>
  <si>
    <t xml:space="preserve">F:\images\20210325\plaque 2/@04 Testo+ FAD/D4_03.tif </t>
  </si>
  <si>
    <t xml:space="preserve"> 4261.0892 </t>
  </si>
  <si>
    <t xml:space="preserve"> 69.0964 </t>
  </si>
  <si>
    <t xml:space="preserve">F:\images\20210325\plaque 2/@04 Testo+ FAD/E4_01.tif </t>
  </si>
  <si>
    <t xml:space="preserve"> 72.0824 </t>
  </si>
  <si>
    <t xml:space="preserve">F:\images\20210325\plaque 2/@04 Testo+ FAD/E4_02.tif </t>
  </si>
  <si>
    <t xml:space="preserve"> 6229.4097 </t>
  </si>
  <si>
    <t xml:space="preserve"> 71.9201 </t>
  </si>
  <si>
    <t xml:space="preserve">F:\images\20210325\plaque 2/@04 Testo+ FAD/E4_03.tif </t>
  </si>
  <si>
    <t xml:space="preserve"> 2617.2173 </t>
  </si>
  <si>
    <t xml:space="preserve"> 67.8182 </t>
  </si>
  <si>
    <t xml:space="preserve">F:\images\20210325\plaque 2/@04 Testo+ FAD/F4_01.tif </t>
  </si>
  <si>
    <t xml:space="preserve">F:\images\20210325\plaque 2/@04 Testo+ FAD/F4_02.tif </t>
  </si>
  <si>
    <t xml:space="preserve"> 65.7353 </t>
  </si>
  <si>
    <t xml:space="preserve">F:\images\20210325\plaque 2/@04 Testo+ FAD/F4_03.tif </t>
  </si>
  <si>
    <t xml:space="preserve"> 908.4556 </t>
  </si>
  <si>
    <t xml:space="preserve"> 65.1667 </t>
  </si>
  <si>
    <t xml:space="preserve">F:\images\20210325\plaque 2/@04 Testo+ FAD/G4_01.tif </t>
  </si>
  <si>
    <t xml:space="preserve"> 10317.4597 </t>
  </si>
  <si>
    <t xml:space="preserve"> 76.7149 </t>
  </si>
  <si>
    <t xml:space="preserve">F:\images\20210325\plaque 2/@04 Testo+ FAD/G4_02.tif </t>
  </si>
  <si>
    <t xml:space="preserve"> 68.5304 </t>
  </si>
  <si>
    <t xml:space="preserve">F:\images\20210325\plaque 2/@04 Testo+ FAD/G4_03.tif </t>
  </si>
  <si>
    <t xml:space="preserve">F:\images\20210325\plaque 2/@04 Testo+ FAD/H4_01.tif </t>
  </si>
  <si>
    <t xml:space="preserve"> 194.6691 </t>
  </si>
  <si>
    <t xml:space="preserve">F:\images\20210325\plaque 2/@04 Testo+ FAD/H4_02.tif </t>
  </si>
  <si>
    <t xml:space="preserve"> 64.1622 </t>
  </si>
  <si>
    <t xml:space="preserve">F:\images\20210325\plaque 2/@04 Testo+ FAD/H4_03.tif </t>
  </si>
  <si>
    <t xml:space="preserve"> 61.8333 </t>
  </si>
  <si>
    <t xml:space="preserve">F:\images\20210325\plaque 2/@04 Testo+ FAD/ </t>
  </si>
  <si>
    <t xml:space="preserve"> 67.0645 </t>
  </si>
  <si>
    <t xml:space="preserve"> 3.4803 </t>
  </si>
  <si>
    <t xml:space="preserve"> 243858.083 </t>
  </si>
  <si>
    <t xml:space="preserve"> 206315.043 </t>
  </si>
  <si>
    <t xml:space="preserve">F:\images\20210325\plaque 2/@05 Anastrozole 0.032 µg_L Dopé/A5_01.tif </t>
  </si>
  <si>
    <t xml:space="preserve"> 24420.151 </t>
  </si>
  <si>
    <t xml:space="preserve"> 72.3419 </t>
  </si>
  <si>
    <t xml:space="preserve">F:\images\20210325\plaque 2/@05 Anastrozole 0.032 µg_L Dopé/A5_02.tif </t>
  </si>
  <si>
    <t xml:space="preserve"> 26388.4714 </t>
  </si>
  <si>
    <t xml:space="preserve"> 71.0221 </t>
  </si>
  <si>
    <t xml:space="preserve">F:\images\20210325\plaque 2/@05 Anastrozole 0.032 µg_L Dopé/A5_03.tif </t>
  </si>
  <si>
    <t xml:space="preserve"> 25782.8344 </t>
  </si>
  <si>
    <t xml:space="preserve"> 69.6527 </t>
  </si>
  <si>
    <t xml:space="preserve">F:\images\20210325\plaque 2/@05 Anastrozole 0.032 µg_L Dopé/B5_01.tif </t>
  </si>
  <si>
    <t xml:space="preserve"> 34391.5325 </t>
  </si>
  <si>
    <t xml:space="preserve"> 70.5742 </t>
  </si>
  <si>
    <t>F:\images\20210325\plaque 2/@05 Anastrozole 0.032 µg_L Dopé/B5_02- exclu.tif</t>
  </si>
  <si>
    <t xml:space="preserve">F:\images\20210325\plaque 2/@05 Anastrozole 0.032 µg_L Dopé/B5_03.tif </t>
  </si>
  <si>
    <t xml:space="preserve"> 27123.8879 </t>
  </si>
  <si>
    <t xml:space="preserve"> 68.74 </t>
  </si>
  <si>
    <t xml:space="preserve">F:\images\20210325\plaque 2/@05 Anastrozole 0.032 µg_L Dopé/C5_01.tif </t>
  </si>
  <si>
    <t xml:space="preserve"> 28724.5001 </t>
  </si>
  <si>
    <t xml:space="preserve"> 69.509 </t>
  </si>
  <si>
    <t xml:space="preserve">F:\images\20210325\plaque 2/@05 Anastrozole 0.032 µg_L Dopé/C5_02.tif </t>
  </si>
  <si>
    <t xml:space="preserve"> 25350.2365 </t>
  </si>
  <si>
    <t xml:space="preserve"> 71.8131 </t>
  </si>
  <si>
    <t xml:space="preserve">F:\images\20210325\plaque 2/@05 Anastrozole 0.032 µg_L Dopé/C5_03.tif </t>
  </si>
  <si>
    <t xml:space="preserve"> 22213.9018 </t>
  </si>
  <si>
    <t xml:space="preserve"> 69.8656 </t>
  </si>
  <si>
    <t xml:space="preserve">F:\images\20210325\plaque 2/@05 Anastrozole 0.032 µg_L Dopé/D5_01.tif </t>
  </si>
  <si>
    <t xml:space="preserve"> 10209.3103 </t>
  </si>
  <si>
    <t xml:space="preserve"> 65.7076 </t>
  </si>
  <si>
    <t xml:space="preserve">F:\images\20210325\plaque 2/@05 Anastrozole 0.032 µg_L Dopé/D5_02.tif </t>
  </si>
  <si>
    <t xml:space="preserve"> 7375.7941 </t>
  </si>
  <si>
    <t xml:space="preserve"> 66.4252 </t>
  </si>
  <si>
    <t xml:space="preserve">F:\images\20210325\plaque 2/@05 Anastrozole 0.032 µg_L Dopé/D5_03.tif </t>
  </si>
  <si>
    <t xml:space="preserve"> 8111.2105 </t>
  </si>
  <si>
    <t xml:space="preserve"> 65.7627 </t>
  </si>
  <si>
    <t xml:space="preserve">F:\images\20210325\plaque 2/@05 Anastrozole 0.032 µg_L Dopé/E5_01.tif </t>
  </si>
  <si>
    <t xml:space="preserve"> 36792.4508 </t>
  </si>
  <si>
    <t xml:space="preserve"> 70.9571 </t>
  </si>
  <si>
    <t xml:space="preserve">F:\images\20210325\plaque 2/@05 Anastrozole 0.032 µg_L Dopé/E5_02.tif </t>
  </si>
  <si>
    <t xml:space="preserve"> 35883.9952 </t>
  </si>
  <si>
    <t xml:space="preserve"> 70.5401 </t>
  </si>
  <si>
    <t xml:space="preserve">F:\images\20210325\plaque 2/@05 Anastrozole 0.032 µg_L Dopé/E5_03.tif </t>
  </si>
  <si>
    <t xml:space="preserve"> 34175.2335 </t>
  </si>
  <si>
    <t xml:space="preserve"> 71.0247 </t>
  </si>
  <si>
    <t xml:space="preserve">F:\images\20210325\plaque 2/@05 Anastrozole 0.032 µg_L Dopé/F5_01.tif </t>
  </si>
  <si>
    <t xml:space="preserve"> 4044.7903 </t>
  </si>
  <si>
    <t xml:space="preserve"> 64.6524 </t>
  </si>
  <si>
    <t>F:\images\20210325\plaque 2/@05 Anastrozole 0.032 µg_L Dopé/F5_02- exclu.tif</t>
  </si>
  <si>
    <t xml:space="preserve">F:\images\20210325\plaque 2/@05 Anastrozole 0.032 µg_L Dopé/F5_03.tif </t>
  </si>
  <si>
    <t xml:space="preserve"> 3417.5234 </t>
  </si>
  <si>
    <t xml:space="preserve"> 64.0506 </t>
  </si>
  <si>
    <t xml:space="preserve">F:\images\20210325\plaque 2/@05 Anastrozole 0.032 µg_L Dopé/G5_01.tif </t>
  </si>
  <si>
    <t xml:space="preserve"> 10274.1999 </t>
  </si>
  <si>
    <t xml:space="preserve"> 65.2884 </t>
  </si>
  <si>
    <t xml:space="preserve">F:\images\20210325\plaque 2/@05 Anastrozole 0.032 µg_L Dopé/G5_02.tif </t>
  </si>
  <si>
    <t xml:space="preserve"> 7678.6126 </t>
  </si>
  <si>
    <t xml:space="preserve"> 66.7634 </t>
  </si>
  <si>
    <t xml:space="preserve">F:\images\20210325\plaque 2/@05 Anastrozole 0.032 µg_L Dopé/G5_03.tif </t>
  </si>
  <si>
    <t xml:space="preserve"> 9625.3031 </t>
  </si>
  <si>
    <t xml:space="preserve"> 65.1843 </t>
  </si>
  <si>
    <t xml:space="preserve">F:\images\20210325\plaque 2/@05 Anastrozole 0.032 µg_L Dopé/H5_01.tif </t>
  </si>
  <si>
    <t xml:space="preserve"> 37160.159 </t>
  </si>
  <si>
    <t xml:space="preserve"> 75.4988 </t>
  </si>
  <si>
    <t xml:space="preserve">F:\images\20210325\plaque 2/@05 Anastrozole 0.032 µg_L Dopé/H5_02.tif </t>
  </si>
  <si>
    <t xml:space="preserve"> 48515.8537 </t>
  </si>
  <si>
    <t xml:space="preserve"> 77.6054 </t>
  </si>
  <si>
    <t xml:space="preserve">F:\images\20210325\plaque 2/@05 Anastrozole 0.032 µg_L Dopé/H5_03.tif </t>
  </si>
  <si>
    <t xml:space="preserve"> 27015.7384 </t>
  </si>
  <si>
    <t xml:space="preserve"> 71.7854 </t>
  </si>
  <si>
    <t xml:space="preserve">F:\images\20210325\plaque 2/@05 Anastrozole 0.032 µg_L Dopé/ </t>
  </si>
  <si>
    <t xml:space="preserve"> 69.0897 </t>
  </si>
  <si>
    <t xml:space="preserve"> 3.5259 </t>
  </si>
  <si>
    <t xml:space="preserve"> 1537557.38 </t>
  </si>
  <si>
    <t xml:space="preserve"> 977554.61 </t>
  </si>
  <si>
    <t xml:space="preserve">F:\images\20210325\plaque 2/@06 Anastrozole 0.16 µg_L Dopé/A6_01.tif </t>
  </si>
  <si>
    <t xml:space="preserve"> 32336.6925 </t>
  </si>
  <si>
    <t xml:space="preserve"> 70.0214 </t>
  </si>
  <si>
    <t xml:space="preserve">F:\images\20210325\plaque 2/@06 Anastrozole 0.16 µg_L Dopé/A6_02.tif </t>
  </si>
  <si>
    <t xml:space="preserve"> 35148.5788 </t>
  </si>
  <si>
    <t xml:space="preserve"> 71.5126 </t>
  </si>
  <si>
    <t xml:space="preserve">F:\images\20210325\plaque 2/@06 Anastrozole 0.16 µg_L Dopé/A6_03.tif </t>
  </si>
  <si>
    <t xml:space="preserve"> 32055.5038 </t>
  </si>
  <si>
    <t xml:space="preserve"> 72.6525 </t>
  </si>
  <si>
    <t xml:space="preserve">F:\images\20210325\plaque 2/@06 Anastrozole 0.16 µg_L Dopé/B6_01.tif </t>
  </si>
  <si>
    <t xml:space="preserve"> 63.7333 </t>
  </si>
  <si>
    <t xml:space="preserve">F:\images\20210325\plaque 2/@06 Anastrozole 0.16 µg_L Dopé/B6_02.tif </t>
  </si>
  <si>
    <t xml:space="preserve"> 65.1176 </t>
  </si>
  <si>
    <t xml:space="preserve">F:\images\20210325\plaque 2/@06 Anastrozole 0.16 µg_L Dopé/B6_03.tif </t>
  </si>
  <si>
    <t xml:space="preserve">F:\images\20210325\plaque 2/@06 Anastrozole 0.16 µg_L Dopé/C6_01.tif </t>
  </si>
  <si>
    <t xml:space="preserve"> 23576.5851 </t>
  </si>
  <si>
    <t xml:space="preserve"> 69.3936 </t>
  </si>
  <si>
    <t xml:space="preserve">F:\images\20210325\plaque 2/@06 Anastrozole 0.16 µg_L Dopé/C6_02.tif </t>
  </si>
  <si>
    <t xml:space="preserve"> 20050.9123 </t>
  </si>
  <si>
    <t xml:space="preserve"> 67.1057 </t>
  </si>
  <si>
    <t xml:space="preserve">F:\images\20210325\plaque 2/@06 Anastrozole 0.16 µg_L Dopé/C6_03.tif </t>
  </si>
  <si>
    <t xml:space="preserve"> 20483.5102 </t>
  </si>
  <si>
    <t xml:space="preserve"> 67.2038 </t>
  </si>
  <si>
    <t xml:space="preserve">F:\images\20210325\plaque 2/@06 Anastrozole 0.16 µg_L Dopé/D6_01.tif </t>
  </si>
  <si>
    <t xml:space="preserve"> 62.125 </t>
  </si>
  <si>
    <t>F:\images\20210325\plaque 2/@06 Anastrozole 0.16 µg_L Dopé/D6_02- exclu.tif</t>
  </si>
  <si>
    <t xml:space="preserve">F:\images\20210325\plaque 2/@06 Anastrozole 0.16 µg_L Dopé/D6_03.tif </t>
  </si>
  <si>
    <t xml:space="preserve">F:\images\20210325\plaque 2/@06 Anastrozole 0.16 µg_L Dopé/E6_01.tif </t>
  </si>
  <si>
    <t xml:space="preserve"> 13821.5027 </t>
  </si>
  <si>
    <t xml:space="preserve"> 66.5759 </t>
  </si>
  <si>
    <t xml:space="preserve">F:\images\20210325\plaque 2/@06 Anastrozole 0.16 µg_L Dopé/E6_02.tif </t>
  </si>
  <si>
    <t xml:space="preserve"> 11593.6235 </t>
  </si>
  <si>
    <t xml:space="preserve"> 65.3638 </t>
  </si>
  <si>
    <t xml:space="preserve">F:\images\20210325\plaque 2/@06 Anastrozole 0.16 µg_L Dopé/E6_03.tif </t>
  </si>
  <si>
    <t xml:space="preserve"> 65.3101 </t>
  </si>
  <si>
    <t xml:space="preserve">F:\images\20210325\plaque 2/@06 Anastrozole 0.16 µg_L Dopé/F6_01.tif </t>
  </si>
  <si>
    <t xml:space="preserve"> 28378.4218 </t>
  </si>
  <si>
    <t xml:space="preserve"> 69.484 </t>
  </si>
  <si>
    <t xml:space="preserve">F:\images\20210325\plaque 2/@06 Anastrozole 0.16 µg_L Dopé/F6_02.tif </t>
  </si>
  <si>
    <t xml:space="preserve"> 22624.8698 </t>
  </si>
  <si>
    <t xml:space="preserve"> 67.4273 </t>
  </si>
  <si>
    <t xml:space="preserve">F:\images\20210325\plaque 2/@06 Anastrozole 0.16 µg_L Dopé/F6_03.tif </t>
  </si>
  <si>
    <t xml:space="preserve"> 69.3699 </t>
  </si>
  <si>
    <t xml:space="preserve">F:\images\20210325\plaque 2/@06 Anastrozole 0.16 µg_L Dopé/G6_01.tif </t>
  </si>
  <si>
    <t xml:space="preserve"> 34218.4933 </t>
  </si>
  <si>
    <t xml:space="preserve"> 71.304 </t>
  </si>
  <si>
    <t xml:space="preserve">F:\images\20210325\plaque 2/@06 Anastrozole 0.16 µg_L Dopé/G6_02.tif </t>
  </si>
  <si>
    <t xml:space="preserve"> 34023.8243 </t>
  </si>
  <si>
    <t xml:space="preserve"> 69.8239 </t>
  </si>
  <si>
    <t xml:space="preserve">F:\images\20210325\plaque 2/@06 Anastrozole 0.16 µg_L Dopé/G6_03.tif </t>
  </si>
  <si>
    <t xml:space="preserve"> 34196.8634 </t>
  </si>
  <si>
    <t xml:space="preserve"> 70.7065 </t>
  </si>
  <si>
    <t xml:space="preserve">F:\images\20210325\plaque 2/@06 Anastrozole 0.16 µg_L Dopé/H6_01.tif </t>
  </si>
  <si>
    <t xml:space="preserve"> 62.1585 </t>
  </si>
  <si>
    <t xml:space="preserve">F:\images\20210325\plaque 2/@06 Anastrozole 0.16 µg_L Dopé/H6_02.tif </t>
  </si>
  <si>
    <t xml:space="preserve"> 62.8611 </t>
  </si>
  <si>
    <t xml:space="preserve">F:\images\20210325\plaque 2/@06 Anastrozole 0.16 µg_L Dopé/H6_03.tif </t>
  </si>
  <si>
    <t xml:space="preserve"> 62.9275 </t>
  </si>
  <si>
    <t xml:space="preserve">F:\images\20210325\plaque 2/@06 Anastrozole 0.16 µg_L Dopé/ </t>
  </si>
  <si>
    <t xml:space="preserve"> 66.7449 </t>
  </si>
  <si>
    <t xml:space="preserve"> 3.3726 </t>
  </si>
  <si>
    <t xml:space="preserve"> 1124463.46 </t>
  </si>
  <si>
    <t xml:space="preserve"> 982180.446 </t>
  </si>
  <si>
    <t xml:space="preserve">F:\images\20210325\plaque 2/@07  Anastrozole 0.8 µg_L Dopé/A7_01.tif </t>
  </si>
  <si>
    <t xml:space="preserve"> 65.5556 </t>
  </si>
  <si>
    <t xml:space="preserve">F:\images\20210325\plaque 2/@07  Anastrozole 0.8 µg_L Dopé/A7_02.tif </t>
  </si>
  <si>
    <t xml:space="preserve"> 64.5556 </t>
  </si>
  <si>
    <t xml:space="preserve">F:\images\20210325\plaque 2/@07  Anastrozole 0.8 µg_L Dopé/A7_03.tif </t>
  </si>
  <si>
    <t xml:space="preserve">F:\images\20210325\plaque 2/@07  Anastrozole 0.8 µg_L Dopé/B7_01.tif </t>
  </si>
  <si>
    <t xml:space="preserve"> 63.2222 </t>
  </si>
  <si>
    <t xml:space="preserve">F:\images\20210325\plaque 2/@07  Anastrozole 0.8 µg_L Dopé/B7_02.tif </t>
  </si>
  <si>
    <t xml:space="preserve">F:\images\20210325\plaque 2/@07  Anastrozole 0.8 µg_L Dopé/B7_03.tif </t>
  </si>
  <si>
    <t xml:space="preserve"> 64.5385 </t>
  </si>
  <si>
    <t xml:space="preserve">F:\images\20210325\plaque 2/@07  Anastrozole 0.8 µg_L Dopé/C7_01.tif </t>
  </si>
  <si>
    <t xml:space="preserve"> 4347.6088 </t>
  </si>
  <si>
    <t xml:space="preserve"> 63.2587 </t>
  </si>
  <si>
    <t xml:space="preserve">F:\images\20210325\plaque 2/@07  Anastrozole 0.8 µg_L Dopé/C7_02.tif </t>
  </si>
  <si>
    <t xml:space="preserve"> 1838.541 </t>
  </si>
  <si>
    <t xml:space="preserve"> 63.3529 </t>
  </si>
  <si>
    <t xml:space="preserve">F:\images\20210325\plaque 2/@07  Anastrozole 0.8 µg_L Dopé/C7_03.tif </t>
  </si>
  <si>
    <t xml:space="preserve"> 62.1087 </t>
  </si>
  <si>
    <t xml:space="preserve">F:\images\20210325\plaque 2/@07  Anastrozole 0.8 µg_L Dopé/D7_01.tif </t>
  </si>
  <si>
    <t xml:space="preserve"> 5256.0644 </t>
  </si>
  <si>
    <t xml:space="preserve"> 69.8313 </t>
  </si>
  <si>
    <t xml:space="preserve">F:\images\20210325\plaque 2/@07  Anastrozole 0.8 µg_L Dopé/D7_02.tif </t>
  </si>
  <si>
    <t xml:space="preserve"> 4023.1604 </t>
  </si>
  <si>
    <t xml:space="preserve"> 64.1935 </t>
  </si>
  <si>
    <t xml:space="preserve">F:\images\20210325\plaque 2/@07  Anastrozole 0.8 µg_L Dopé/D7_03.tif </t>
  </si>
  <si>
    <t xml:space="preserve"> 67.2576 </t>
  </si>
  <si>
    <t>F:\images\20210325\plaque 2/@07  Anastrozole 0.8 µg_L Dopé/E7_01- exclu.tif</t>
  </si>
  <si>
    <t xml:space="preserve">F:\images\20210325\plaque 2/@07  Anastrozole 0.8 µg_L Dopé/E7_02.tif </t>
  </si>
  <si>
    <t xml:space="preserve"> 16417.09 </t>
  </si>
  <si>
    <t xml:space="preserve"> 65.6522 </t>
  </si>
  <si>
    <t xml:space="preserve">F:\images\20210325\plaque 2/@07  Anastrozole 0.8 µg_L Dopé/E7_03.tif </t>
  </si>
  <si>
    <t xml:space="preserve"> 16157.5313 </t>
  </si>
  <si>
    <t xml:space="preserve">F:\images\20210325\plaque 2/@07  Anastrozole 0.8 µg_L Dopé/F7_01.tif </t>
  </si>
  <si>
    <t xml:space="preserve"> 64.2381 </t>
  </si>
  <si>
    <t xml:space="preserve">F:\images\20210325\plaque 2/@07  Anastrozole 0.8 µg_L Dopé/F7_02.tif </t>
  </si>
  <si>
    <t xml:space="preserve"> 65.08 </t>
  </si>
  <si>
    <t xml:space="preserve">F:\images\20210325\plaque 2/@07  Anastrozole 0.8 µg_L Dopé/F7_03.tif </t>
  </si>
  <si>
    <t xml:space="preserve"> 68.6098 </t>
  </si>
  <si>
    <t xml:space="preserve">F:\images\20210325\plaque 2/@07  Anastrozole 0.8 µg_L Dopé/G7_01.tif </t>
  </si>
  <si>
    <t xml:space="preserve"> 8543.8084 </t>
  </si>
  <si>
    <t xml:space="preserve"> 65.3848 </t>
  </si>
  <si>
    <t xml:space="preserve">F:\images\20210325\plaque 2/@07  Anastrozole 0.8 µg_L Dopé/G7_02.tif </t>
  </si>
  <si>
    <t xml:space="preserve"> 6294.2993 </t>
  </si>
  <si>
    <t xml:space="preserve"> 65.189 </t>
  </si>
  <si>
    <t xml:space="preserve">F:\images\20210325\plaque 2/@07  Anastrozole 0.8 µg_L Dopé/G7_03.tif </t>
  </si>
  <si>
    <t xml:space="preserve"> 64.592 </t>
  </si>
  <si>
    <t>F:\images\20210325\plaque 2/@07  Anastrozole 0.8 µg_L Dopé/H7_01- exclu.tif</t>
  </si>
  <si>
    <t>F:\images\20210325\plaque 2/@07  Anastrozole 0.8 µg_L Dopé/H7_02- exclu.tif</t>
  </si>
  <si>
    <t>F:\images\20210325\plaque 2/@07  Anastrozole 0.8 µg_L Dopé/H7_03- exclu.tif</t>
  </si>
  <si>
    <t xml:space="preserve">F:\images\20210325\plaque 2/@07  Anastrozole 0.8 µg_L Dopé/ </t>
  </si>
  <si>
    <t xml:space="preserve"> 64.645 </t>
  </si>
  <si>
    <t xml:space="preserve"> 1.9707 </t>
  </si>
  <si>
    <t xml:space="preserve"> 260021.083 </t>
  </si>
  <si>
    <t xml:space="preserve">F:\images\20210325\plaque 2/@08 Anastrozole 4 µg_L Dopé/A8_01.tif </t>
  </si>
  <si>
    <t xml:space="preserve"> 66.9565 </t>
  </si>
  <si>
    <t xml:space="preserve">F:\images\20210325\plaque 2/@08 Anastrozole 4 µg_L Dopé/A8_02.tif </t>
  </si>
  <si>
    <t xml:space="preserve"> 64.3095 </t>
  </si>
  <si>
    <t xml:space="preserve">F:\images\20210325\plaque 2/@08 Anastrozole 4 µg_L Dopé/A8_03.tif </t>
  </si>
  <si>
    <t xml:space="preserve"> 66.2593 </t>
  </si>
  <si>
    <t xml:space="preserve">F:\images\20210325\plaque 2/@08 Anastrozole 4 µg_L Dopé/B8_01.tif </t>
  </si>
  <si>
    <t xml:space="preserve"> 1146.3844 </t>
  </si>
  <si>
    <t xml:space="preserve"> 65.8868 </t>
  </si>
  <si>
    <t xml:space="preserve">F:\images\20210325\plaque 2/@08 Anastrozole 4 µg_L Dopé/B8_02.tif </t>
  </si>
  <si>
    <t xml:space="preserve"> 3374.2636 </t>
  </si>
  <si>
    <t xml:space="preserve"> 67.4487 </t>
  </si>
  <si>
    <t xml:space="preserve">F:\images\20210325\plaque 2/@08 Anastrozole 4 µg_L Dopé/B8_03.tif </t>
  </si>
  <si>
    <t xml:space="preserve"> 67.0769 </t>
  </si>
  <si>
    <t xml:space="preserve">F:\images\20210325\plaque 2/@08 Anastrozole 4 µg_L Dopé/C8_01.tif </t>
  </si>
  <si>
    <t xml:space="preserve"> 5472.3633 </t>
  </si>
  <si>
    <t xml:space="preserve"> 72.7945 </t>
  </si>
  <si>
    <t xml:space="preserve">F:\images\20210325\plaque 2/@08 Anastrozole 4 µg_L Dopé/C8_02.tif </t>
  </si>
  <si>
    <t xml:space="preserve"> 74.43 </t>
  </si>
  <si>
    <t xml:space="preserve">F:\images\20210325\plaque 2/@08 Anastrozole 4 µg_L Dopé/C8_03.tif </t>
  </si>
  <si>
    <t xml:space="preserve"> 5320.9541 </t>
  </si>
  <si>
    <t xml:space="preserve"> 72.2602 </t>
  </si>
  <si>
    <t xml:space="preserve">F:\images\20210325\plaque 2/@08 Anastrozole 4 µg_L Dopé/D8_01.tif </t>
  </si>
  <si>
    <t xml:space="preserve"> 2487.4379 </t>
  </si>
  <si>
    <t xml:space="preserve"> 65.513 </t>
  </si>
  <si>
    <t xml:space="preserve">F:\images\20210325\plaque 2/@08 Anastrozole 4 µg_L Dopé/D8_02.tif </t>
  </si>
  <si>
    <t xml:space="preserve"> 1514.0926 </t>
  </si>
  <si>
    <t xml:space="preserve"> 63.9 </t>
  </si>
  <si>
    <t xml:space="preserve">F:\images\20210325\plaque 2/@08 Anastrozole 4 µg_L Dopé/D8_03.tif </t>
  </si>
  <si>
    <t xml:space="preserve"> 63.2973 </t>
  </si>
  <si>
    <t xml:space="preserve">F:\images\20210325\plaque 2/@08 Anastrozole 4 µg_L Dopé/E8_01.tif </t>
  </si>
  <si>
    <t xml:space="preserve"> 64.7188 </t>
  </si>
  <si>
    <t xml:space="preserve">F:\images\20210325\plaque 2/@08 Anastrozole 4 µg_L Dopé/E8_02.tif </t>
  </si>
  <si>
    <t xml:space="preserve"> 65.5588 </t>
  </si>
  <si>
    <t xml:space="preserve">F:\images\20210325\plaque 2/@08 Anastrozole 4 µg_L Dopé/E8_03.tif </t>
  </si>
  <si>
    <t xml:space="preserve"> 62.5625 </t>
  </si>
  <si>
    <t xml:space="preserve">F:\images\20210325\plaque 2/@08 Anastrozole 4 µg_L Dopé/F8_01.tif </t>
  </si>
  <si>
    <t xml:space="preserve"> 62.2857 </t>
  </si>
  <si>
    <t xml:space="preserve">F:\images\20210325\plaque 2/@08 Anastrozole 4 µg_L Dopé/F8_02.tif </t>
  </si>
  <si>
    <t xml:space="preserve">F:\images\20210325\plaque 2/@08 Anastrozole 4 µg_L Dopé/F8_03.tif </t>
  </si>
  <si>
    <t xml:space="preserve"> 63.2727 </t>
  </si>
  <si>
    <t>F:\images\20210325\plaque 2/@08 Anastrozole 4 µg_L Dopé/G8_01- exclu.tif</t>
  </si>
  <si>
    <t>F:\images\20210325\plaque 2/@08 Anastrozole 4 µg_L Dopé/G8_02- exclu.tif</t>
  </si>
  <si>
    <t>F:\images\20210325\plaque 2/@08 Anastrozole 4 µg_L Dopé/G8_03- exclu.tif</t>
  </si>
  <si>
    <t xml:space="preserve">F:\images\20210325\plaque 2/@08 Anastrozole 4 µg_L Dopé/H8_01.tif </t>
  </si>
  <si>
    <t xml:space="preserve"> 63.4545 </t>
  </si>
  <si>
    <t xml:space="preserve">F:\images\20210325\plaque 2/@08 Anastrozole 4 µg_L Dopé/H8_02.tif </t>
  </si>
  <si>
    <t xml:space="preserve"> 4174.5697 </t>
  </si>
  <si>
    <t xml:space="preserve"> 66.3886 </t>
  </si>
  <si>
    <t xml:space="preserve">F:\images\20210325\plaque 2/@08 Anastrozole 4 µg_L Dopé/H8_03.tif </t>
  </si>
  <si>
    <t xml:space="preserve"> 67.0873 </t>
  </si>
  <si>
    <t xml:space="preserve">F:\images\20210325\plaque 2/@08 Anastrozole 4 µg_L Dopé/ </t>
  </si>
  <si>
    <t xml:space="preserve"> 69.3101 </t>
  </si>
  <si>
    <t xml:space="preserve"> 9.0337 </t>
  </si>
  <si>
    <t xml:space="preserve"> 276758.125 </t>
  </si>
  <si>
    <t xml:space="preserve"> 409878.94 </t>
  </si>
  <si>
    <t xml:space="preserve">F:\images\20210325\plaque 2/@09  Anastrozole 20 µg_L Dopé/A9_01.tif </t>
  </si>
  <si>
    <t xml:space="preserve"> 65.3438 </t>
  </si>
  <si>
    <t xml:space="preserve">F:\images\20210325\plaque 2/@09  Anastrozole 20 µg_L Dopé/A9_02.tif </t>
  </si>
  <si>
    <t xml:space="preserve"> 64.7656 </t>
  </si>
  <si>
    <t xml:space="preserve">F:\images\20210325\plaque 2/@09  Anastrozole 20 µg_L Dopé/A9_03.tif </t>
  </si>
  <si>
    <t xml:space="preserve"> 38890.5505 </t>
  </si>
  <si>
    <t xml:space="preserve"> 101.9066 </t>
  </si>
  <si>
    <t xml:space="preserve">F:\images\20210325\plaque 2/@09  Anastrozole 20 µg_L Dopé/B9_01.tif </t>
  </si>
  <si>
    <t xml:space="preserve"> 63.2133 </t>
  </si>
  <si>
    <t xml:space="preserve">F:\images\20210325\plaque 2/@09  Anastrozole 20 µg_L Dopé/B9_02.tif </t>
  </si>
  <si>
    <t xml:space="preserve"> 4434.1284 </t>
  </si>
  <si>
    <t xml:space="preserve"> 66.1561 </t>
  </si>
  <si>
    <t xml:space="preserve">F:\images\20210325\plaque 2/@09  Anastrozole 20 µg_L Dopé/B9_03.tif </t>
  </si>
  <si>
    <t xml:space="preserve"> 4866.7263 </t>
  </si>
  <si>
    <t xml:space="preserve"> 67.1333 </t>
  </si>
  <si>
    <t xml:space="preserve">F:\images\20210325\plaque 2/@09  Anastrozole 20 µg_L Dopé/C9_01.tif </t>
  </si>
  <si>
    <t xml:space="preserve"> 1470.8328 </t>
  </si>
  <si>
    <t xml:space="preserve"> 65.8235 </t>
  </si>
  <si>
    <t xml:space="preserve">F:\images\20210325\plaque 2/@09  Anastrozole 20 µg_L Dopé/C9_02.tif </t>
  </si>
  <si>
    <t xml:space="preserve"> 66.8667 </t>
  </si>
  <si>
    <t xml:space="preserve">F:\images\20210325\plaque 2/@09  Anastrozole 20 µg_L Dopé/C9_03.tif </t>
  </si>
  <si>
    <t xml:space="preserve">F:\images\20210325\plaque 2/@09  Anastrozole 20 µg_L Dopé/D9_01.tif </t>
  </si>
  <si>
    <t xml:space="preserve"> 62.4231 </t>
  </si>
  <si>
    <t xml:space="preserve">F:\images\20210325\plaque 2/@09  Anastrozole 20 µg_L Dopé/D9_02.tif </t>
  </si>
  <si>
    <t xml:space="preserve"> 63.3519 </t>
  </si>
  <si>
    <t xml:space="preserve">F:\images\20210325\plaque 2/@09  Anastrozole 20 µg_L Dopé/D9_03.tif </t>
  </si>
  <si>
    <t xml:space="preserve"> 3266.1141 </t>
  </si>
  <si>
    <t xml:space="preserve"> 66.2649 </t>
  </si>
  <si>
    <t xml:space="preserve">F:\images\20210325\plaque 2/@09  Anastrozole 20 µg_L Dopé/E9_01.tif </t>
  </si>
  <si>
    <t xml:space="preserve"> 3850.1212 </t>
  </si>
  <si>
    <t xml:space="preserve"> 65.6685 </t>
  </si>
  <si>
    <t xml:space="preserve">F:\images\20210325\plaque 2/@09  Anastrozole 20 µg_L Dopé/E9_02.tif </t>
  </si>
  <si>
    <t xml:space="preserve"> 3352.6337 </t>
  </si>
  <si>
    <t xml:space="preserve"> 66.7355 </t>
  </si>
  <si>
    <t xml:space="preserve">F:\images\20210325\plaque 2/@09  Anastrozole 20 µg_L Dopé/E9_03.tif </t>
  </si>
  <si>
    <t xml:space="preserve"> 63.962 </t>
  </si>
  <si>
    <t xml:space="preserve">F:\images\20210325\plaque 2/@09  Anastrozole 20 µg_L Dopé/F9_01.tif </t>
  </si>
  <si>
    <t xml:space="preserve"> 63.7027 </t>
  </si>
  <si>
    <t xml:space="preserve">F:\images\20210325\plaque 2/@09  Anastrozole 20 µg_L Dopé/F9_02.tif </t>
  </si>
  <si>
    <t xml:space="preserve"> 64.6528 </t>
  </si>
  <si>
    <t xml:space="preserve">F:\images\20210325\plaque 2/@09  Anastrozole 20 µg_L Dopé/F9_03.tif </t>
  </si>
  <si>
    <t xml:space="preserve"> 62.1111 </t>
  </si>
  <si>
    <t xml:space="preserve">F:\images\20210325\plaque 2/@09  Anastrozole 20 µg_L Dopé/G9_01.tif </t>
  </si>
  <si>
    <t xml:space="preserve"> 67.4098 </t>
  </si>
  <si>
    <t>F:\images\20210325\plaque 2/@09  Anastrozole 20 µg_L Dopé/G9_02- exclu.tif</t>
  </si>
  <si>
    <t xml:space="preserve">F:\images\20210325\plaque 2/@09  Anastrozole 20 µg_L Dopé/G9_03.tif </t>
  </si>
  <si>
    <t xml:space="preserve"> 67.1923 </t>
  </si>
  <si>
    <t xml:space="preserve">F:\images\20210325\plaque 2/@09  Anastrozole 20 µg_L Dopé/H9_01.tif </t>
  </si>
  <si>
    <t xml:space="preserve"> 64.4189 </t>
  </si>
  <si>
    <t xml:space="preserve">F:\images\20210325\plaque 2/@09  Anastrozole 20 µg_L Dopé/H9_02.tif </t>
  </si>
  <si>
    <t xml:space="preserve"> 68.55 </t>
  </si>
  <si>
    <t xml:space="preserve">F:\images\20210325\plaque 2/@09  Anastrozole 20 µg_L Dopé/H9_03.tif </t>
  </si>
  <si>
    <t xml:space="preserve"> 67.4557 </t>
  </si>
  <si>
    <t xml:space="preserve">F:\images\20210325\plaque 2/@09  Anastrozole 20 µg_L Dopé/ </t>
  </si>
  <si>
    <t xml:space="preserve"> 66.8221 </t>
  </si>
  <si>
    <t xml:space="preserve"> 7.6672 </t>
  </si>
  <si>
    <t xml:space="preserve"> 291178.958 </t>
  </si>
  <si>
    <t xml:space="preserve"> 786179.006 </t>
  </si>
  <si>
    <t>01 Evian + 0.2% DMSO</t>
  </si>
  <si>
    <t>02 EE2 33.8</t>
  </si>
  <si>
    <t>03 EE2 50.6</t>
  </si>
  <si>
    <t>04 EE2 76</t>
  </si>
  <si>
    <t>05 EE2 114</t>
  </si>
  <si>
    <t>06 EE2 170.9</t>
  </si>
  <si>
    <t>07 EE2 488</t>
  </si>
  <si>
    <t>08 Anastrozole 0.032 µg_L</t>
  </si>
  <si>
    <t>09 Anastrozole 0.16 µg_L</t>
  </si>
  <si>
    <t>10 Anastrozole 0.8 µg_L</t>
  </si>
  <si>
    <t>11 Anastrozole 4µg_L</t>
  </si>
  <si>
    <t>12 Anastrozole 20 µg_L</t>
  </si>
  <si>
    <t>01 Testo 30</t>
  </si>
  <si>
    <t>02 Testo 30</t>
  </si>
  <si>
    <t>03 Testo+ EE2 64</t>
  </si>
  <si>
    <t>04 Testo+ FAD</t>
  </si>
  <si>
    <t>05 Anastrozole 0.032 µg_L Dopé</t>
  </si>
  <si>
    <t>06 Anastrozole 0.16 µg_L Dopé</t>
  </si>
  <si>
    <t>07  Anastrozole 0.8 µg_L Dopé</t>
  </si>
  <si>
    <t>08 Anastrozole 4 µg_L Dopé</t>
  </si>
  <si>
    <t>09  Anastrozole 20 µg_L Dopé</t>
  </si>
  <si>
    <t xml:space="preserve">F:\images\20210330\plaque 1/@01 Evian + 0.2% DMSO/A1_01.tif </t>
  </si>
  <si>
    <t xml:space="preserve"> 2552.3276 </t>
  </si>
  <si>
    <t xml:space="preserve"> 63.3644 </t>
  </si>
  <si>
    <t xml:space="preserve">F:\images\20210330\plaque 1/@01 Evian + 0.2% DMSO/A1_02.tif </t>
  </si>
  <si>
    <t xml:space="preserve"> 68.2088 </t>
  </si>
  <si>
    <t xml:space="preserve">F:\images\20210330\plaque 1/@01 Evian + 0.2% DMSO/A1_03.tif </t>
  </si>
  <si>
    <t xml:space="preserve"> 65.6111 </t>
  </si>
  <si>
    <t xml:space="preserve">F:\images\20210330\plaque 1/@01 Evian + 0.2% DMSO/B1_01.tif </t>
  </si>
  <si>
    <t xml:space="preserve"> 1535.7225 </t>
  </si>
  <si>
    <t xml:space="preserve"> 64.9014 </t>
  </si>
  <si>
    <t xml:space="preserve">F:\images\20210330\plaque 1/@01 Evian + 0.2% DMSO/B1_02.tif </t>
  </si>
  <si>
    <t xml:space="preserve"> 63.7391 </t>
  </si>
  <si>
    <t xml:space="preserve">F:\images\20210330\plaque 1/@01 Evian + 0.2% DMSO/B1_03.tif </t>
  </si>
  <si>
    <t xml:space="preserve"> 64.1136 </t>
  </si>
  <si>
    <t xml:space="preserve">F:\images\20210330\plaque 1/@01 Evian + 0.2% DMSO/C1_01.tif </t>
  </si>
  <si>
    <t xml:space="preserve"> 63.7 </t>
  </si>
  <si>
    <t xml:space="preserve">F:\images\20210330\plaque 1/@01 Evian + 0.2% DMSO/C1_02.tif </t>
  </si>
  <si>
    <t xml:space="preserve"> 65.5429 </t>
  </si>
  <si>
    <t xml:space="preserve">F:\images\20210330\plaque 1/@01 Evian + 0.2% DMSO/C1_03.tif </t>
  </si>
  <si>
    <t xml:space="preserve"> 63.1 </t>
  </si>
  <si>
    <t xml:space="preserve">F:\images\20210330\plaque 1/@01 Evian + 0.2% DMSO/D1_01.tif </t>
  </si>
  <si>
    <t xml:space="preserve"> 6856.6766 </t>
  </si>
  <si>
    <t xml:space="preserve"> 72.4006 </t>
  </si>
  <si>
    <t xml:space="preserve">F:\images\20210330\plaque 1/@01 Evian + 0.2% DMSO/D1_02.tif </t>
  </si>
  <si>
    <t xml:space="preserve"> 69.1399 </t>
  </si>
  <si>
    <t xml:space="preserve">F:\images\20210330\plaque 1/@01 Evian + 0.2% DMSO/D1_03.tif </t>
  </si>
  <si>
    <t xml:space="preserve"> 62.8947 </t>
  </si>
  <si>
    <t xml:space="preserve">F:\images\20210330\plaque 1/@01 Evian + 0.2% DMSO/E1_01.tif </t>
  </si>
  <si>
    <t xml:space="preserve"> 65.9786 </t>
  </si>
  <si>
    <t xml:space="preserve">F:\images\20210330\plaque 1/@01 Evian + 0.2% DMSO/E1_02.tif </t>
  </si>
  <si>
    <t xml:space="preserve"> 8349.1393 </t>
  </si>
  <si>
    <t xml:space="preserve"> 67.7979 </t>
  </si>
  <si>
    <t xml:space="preserve">F:\images\20210330\plaque 1/@01 Evian + 0.2% DMSO/E1_03.tif </t>
  </si>
  <si>
    <t xml:space="preserve"> 2119.7297 </t>
  </si>
  <si>
    <t xml:space="preserve"> 65.5102 </t>
  </si>
  <si>
    <t xml:space="preserve">F:\images\20210330\plaque 1/@01 Evian + 0.2% DMSO/F1_01.tif </t>
  </si>
  <si>
    <t xml:space="preserve"> 64.2647 </t>
  </si>
  <si>
    <t xml:space="preserve">F:\images\20210330\plaque 1/@01 Evian + 0.2% DMSO/F1_02.tif </t>
  </si>
  <si>
    <t xml:space="preserve"> 65.5161 </t>
  </si>
  <si>
    <t xml:space="preserve">F:\images\20210330\plaque 1/@01 Evian + 0.2% DMSO/F1_03.tif </t>
  </si>
  <si>
    <t xml:space="preserve"> 63.3077 </t>
  </si>
  <si>
    <t xml:space="preserve">F:\images\20210330\plaque 1/@01 Evian + 0.2% DMSO/G1_01.tif </t>
  </si>
  <si>
    <t xml:space="preserve"> 62.6857 </t>
  </si>
  <si>
    <t xml:space="preserve">F:\images\20210330\plaque 1/@01 Evian + 0.2% DMSO/G1_02.tif </t>
  </si>
  <si>
    <t xml:space="preserve"> 2206.2493 </t>
  </si>
  <si>
    <t xml:space="preserve"> 64.7255 </t>
  </si>
  <si>
    <t xml:space="preserve">F:\images\20210330\plaque 1/@01 Evian + 0.2% DMSO/G1_03.tif </t>
  </si>
  <si>
    <t xml:space="preserve"> 3006.5554 </t>
  </si>
  <si>
    <t xml:space="preserve"> 66.9856 </t>
  </si>
  <si>
    <t>F:\images\20210330\plaque 1/@01 Evian + 0.2% DMSO/H1_01- exclu.tif</t>
  </si>
  <si>
    <t>F:\images\20210330\plaque 1/@01 Evian + 0.2% DMSO/H1_02- exclu.tif</t>
  </si>
  <si>
    <t>F:\images\20210330\plaque 1/@01 Evian + 0.2% DMSO/H1_03- exclu.tif</t>
  </si>
  <si>
    <t xml:space="preserve">F:\images\20210330\plaque 1/@01 Evian + 0.2% DMSO/ </t>
  </si>
  <si>
    <t xml:space="preserve"> 65.5273 </t>
  </si>
  <si>
    <t xml:space="preserve"> 2.282 </t>
  </si>
  <si>
    <t xml:space="preserve"> 133325.75 </t>
  </si>
  <si>
    <t xml:space="preserve"> 160088.076 </t>
  </si>
  <si>
    <t xml:space="preserve">F:\images\20210330\plaque 1/@02 EE2 33.8/A2_01.tif </t>
  </si>
  <si>
    <t xml:space="preserve"> 61.8889 </t>
  </si>
  <si>
    <t xml:space="preserve">F:\images\20210330\plaque 1/@02 EE2 33.8/A2_02.tif </t>
  </si>
  <si>
    <t xml:space="preserve"> 4196.1996 </t>
  </si>
  <si>
    <t xml:space="preserve"> 74.7938 </t>
  </si>
  <si>
    <t xml:space="preserve">F:\images\20210330\plaque 1/@02 EE2 33.8/A2_03.tif </t>
  </si>
  <si>
    <t xml:space="preserve"> 64.1818 </t>
  </si>
  <si>
    <t xml:space="preserve">F:\images\20210330\plaque 1/@02 EE2 33.8/B2_01.tif </t>
  </si>
  <si>
    <t xml:space="preserve"> 64.1607 </t>
  </si>
  <si>
    <t xml:space="preserve">F:\images\20210330\plaque 1/@02 EE2 33.8/B2_02.tif </t>
  </si>
  <si>
    <t xml:space="preserve">F:\images\20210330\plaque 1/@02 EE2 33.8/B2_03.tif </t>
  </si>
  <si>
    <t xml:space="preserve"> 64.4828 </t>
  </si>
  <si>
    <t xml:space="preserve">F:\images\20210330\plaque 1/@02 EE2 33.8/C2_01.tif </t>
  </si>
  <si>
    <t xml:space="preserve"> 63.5652 </t>
  </si>
  <si>
    <t xml:space="preserve">F:\images\20210330\plaque 1/@02 EE2 33.8/C2_02.tif </t>
  </si>
  <si>
    <t xml:space="preserve"> 64.5 </t>
  </si>
  <si>
    <t xml:space="preserve">F:\images\20210330\plaque 1/@02 EE2 33.8/C2_03.tif </t>
  </si>
  <si>
    <t xml:space="preserve"> 66.4706 </t>
  </si>
  <si>
    <t xml:space="preserve">F:\images\20210330\plaque 1/@02 EE2 33.8/D2_01.tif </t>
  </si>
  <si>
    <t xml:space="preserve"> 9019.6661 </t>
  </si>
  <si>
    <t xml:space="preserve"> 74.494 </t>
  </si>
  <si>
    <t xml:space="preserve">F:\images\20210330\plaque 1/@02 EE2 33.8/D2_02.tif </t>
  </si>
  <si>
    <t xml:space="preserve"> 151.4093 </t>
  </si>
  <si>
    <t xml:space="preserve">F:\images\20210330\plaque 1/@02 EE2 33.8/D2_03.tif </t>
  </si>
  <si>
    <t xml:space="preserve"> 65.413 </t>
  </si>
  <si>
    <t xml:space="preserve">F:\images\20210330\plaque 1/@02 EE2 33.8/E2_01.tif </t>
  </si>
  <si>
    <t xml:space="preserve"> 63.7632 </t>
  </si>
  <si>
    <t xml:space="preserve">F:\images\20210330\plaque 1/@02 EE2 33.8/E2_02.tif </t>
  </si>
  <si>
    <t xml:space="preserve">F:\images\20210330\plaque 1/@02 EE2 33.8/E2_03.tif </t>
  </si>
  <si>
    <t xml:space="preserve"> 64.2222 </t>
  </si>
  <si>
    <t>F:\images\20210330\plaque 1/@02 EE2 33.8/F2_01- exclu.tif</t>
  </si>
  <si>
    <t xml:space="preserve">F:\images\20210330\plaque 1/@02 EE2 33.8/F2_02.tif </t>
  </si>
  <si>
    <t xml:space="preserve"> 65.0544 </t>
  </si>
  <si>
    <t xml:space="preserve">F:\images\20210330\plaque 1/@02 EE2 33.8/F2_03.tif </t>
  </si>
  <si>
    <t xml:space="preserve"> 66.3 </t>
  </si>
  <si>
    <t>F:\images\20210330\plaque 1/@02 EE2 33.8/G2_01- exclu.tif</t>
  </si>
  <si>
    <t xml:space="preserve">F:\images\20210330\plaque 1/@02 EE2 33.8/G2_02.tif </t>
  </si>
  <si>
    <t xml:space="preserve"> 64.4898 </t>
  </si>
  <si>
    <t>F:\images\20210330\plaque 1/@02 EE2 33.8/G2_03- exclu.tif</t>
  </si>
  <si>
    <t xml:space="preserve">F:\images\20210330\plaque 1/@02 EE2 33.8/H2_01.tif </t>
  </si>
  <si>
    <t xml:space="preserve"> 930.0855 </t>
  </si>
  <si>
    <t xml:space="preserve"> 63.186 </t>
  </si>
  <si>
    <t xml:space="preserve">F:\images\20210330\plaque 1/@02 EE2 33.8/H2_02.tif </t>
  </si>
  <si>
    <t xml:space="preserve"> 62.0588 </t>
  </si>
  <si>
    <t xml:space="preserve">F:\images\20210330\plaque 1/@02 EE2 33.8/H2_03.tif </t>
  </si>
  <si>
    <t xml:space="preserve"> 62.3636 </t>
  </si>
  <si>
    <t xml:space="preserve">F:\images\20210330\plaque 1/@02 EE2 33.8/ </t>
  </si>
  <si>
    <t xml:space="preserve"> 65.2715 </t>
  </si>
  <si>
    <t xml:space="preserve"> 3.276 </t>
  </si>
  <si>
    <t xml:space="preserve"> 109322.833 </t>
  </si>
  <si>
    <t xml:space="preserve"> 169101.695 </t>
  </si>
  <si>
    <t xml:space="preserve">F:\images\20210330\plaque 1/@03 EE2 50.6/A3_01.tif </t>
  </si>
  <si>
    <t xml:space="preserve"> 23230.5068 </t>
  </si>
  <si>
    <t xml:space="preserve"> 67.4963 </t>
  </si>
  <si>
    <t xml:space="preserve">F:\images\20210330\plaque 1/@03 EE2 50.6/A3_02.tif </t>
  </si>
  <si>
    <t xml:space="preserve"> 63.4441 </t>
  </si>
  <si>
    <t xml:space="preserve">F:\images\20210330\plaque 1/@03 EE2 50.6/A3_03.tif </t>
  </si>
  <si>
    <t xml:space="preserve"> 12523.709 </t>
  </si>
  <si>
    <t xml:space="preserve"> 65.791 </t>
  </si>
  <si>
    <t xml:space="preserve">F:\images\20210330\plaque 1/@03 EE2 50.6/B3_01.tif </t>
  </si>
  <si>
    <t xml:space="preserve"> 64.6731 </t>
  </si>
  <si>
    <t xml:space="preserve">F:\images\20210330\plaque 1/@03 EE2 50.6/B3_02.tif </t>
  </si>
  <si>
    <t xml:space="preserve"> 1925.0606 </t>
  </si>
  <si>
    <t xml:space="preserve"> 65.9551 </t>
  </si>
  <si>
    <t xml:space="preserve">F:\images\20210330\plaque 1/@03 EE2 50.6/B3_03.tif </t>
  </si>
  <si>
    <t xml:space="preserve"> 63.7703 </t>
  </si>
  <si>
    <t xml:space="preserve">F:\images\20210330\plaque 1/@03 EE2 50.6/C3_01.tif </t>
  </si>
  <si>
    <t xml:space="preserve">F:\images\20210330\plaque 1/@03 EE2 50.6/C3_02.tif </t>
  </si>
  <si>
    <t xml:space="preserve"> 62.9062 </t>
  </si>
  <si>
    <t xml:space="preserve">F:\images\20210330\plaque 1/@03 EE2 50.6/C3_03.tif </t>
  </si>
  <si>
    <t xml:space="preserve"> 63.96 </t>
  </si>
  <si>
    <t xml:space="preserve">F:\images\20210330\plaque 1/@03 EE2 50.6/D3_01.tif </t>
  </si>
  <si>
    <t xml:space="preserve"> 5667.0324 </t>
  </si>
  <si>
    <t xml:space="preserve"> 64.6069 </t>
  </si>
  <si>
    <t xml:space="preserve">F:\images\20210330\plaque 1/@03 EE2 50.6/D3_02.tif </t>
  </si>
  <si>
    <t xml:space="preserve"> 4715.317 </t>
  </si>
  <si>
    <t xml:space="preserve"> 65.9358 </t>
  </si>
  <si>
    <t xml:space="preserve">F:\images\20210330\plaque 1/@03 EE2 50.6/D3_03.tif </t>
  </si>
  <si>
    <t xml:space="preserve"> 64.9138 </t>
  </si>
  <si>
    <t xml:space="preserve">F:\images\20210330\plaque 1/@03 EE2 50.6/E3_01.tif </t>
  </si>
  <si>
    <t xml:space="preserve"> 62.8679 </t>
  </si>
  <si>
    <t xml:space="preserve">F:\images\20210330\plaque 1/@03 EE2 50.6/E3_02.tif </t>
  </si>
  <si>
    <t xml:space="preserve"> 63.3696 </t>
  </si>
  <si>
    <t xml:space="preserve">F:\images\20210330\plaque 1/@03 EE2 50.6/E3_03.tif </t>
  </si>
  <si>
    <t xml:space="preserve"> 63.6351 </t>
  </si>
  <si>
    <t xml:space="preserve">F:\images\20210330\plaque 1/@03 EE2 50.6/F3_01.tif </t>
  </si>
  <si>
    <t xml:space="preserve"> 62.9524 </t>
  </si>
  <si>
    <t xml:space="preserve">F:\images\20210330\plaque 1/@03 EE2 50.6/F3_02.tif </t>
  </si>
  <si>
    <t>F:\images\20210330\plaque 1/@03 EE2 50.6/F3_03- exclu.tif</t>
  </si>
  <si>
    <t xml:space="preserve">F:\images\20210330\plaque 1/@03 EE2 50.6/G3_01.tif </t>
  </si>
  <si>
    <t xml:space="preserve"> 64.9355 </t>
  </si>
  <si>
    <t xml:space="preserve">F:\images\20210330\plaque 1/@03 EE2 50.6/G3_02.tif </t>
  </si>
  <si>
    <t xml:space="preserve"> 63.7222 </t>
  </si>
  <si>
    <t xml:space="preserve">F:\images\20210330\plaque 1/@03 EE2 50.6/G3_03.tif </t>
  </si>
  <si>
    <t xml:space="preserve">F:\images\20210330\plaque 1/@03 EE2 50.6/H3_01.tif </t>
  </si>
  <si>
    <t xml:space="preserve"> 5299.3242 </t>
  </si>
  <si>
    <t xml:space="preserve">F:\images\20210330\plaque 1/@03 EE2 50.6/H3_02.tif </t>
  </si>
  <si>
    <t xml:space="preserve"> 6034.7406 </t>
  </si>
  <si>
    <t xml:space="preserve"> 68.7204 </t>
  </si>
  <si>
    <t xml:space="preserve">F:\images\20210330\plaque 1/@03 EE2 50.6/H3_03.tif </t>
  </si>
  <si>
    <t xml:space="preserve"> 71.5868 </t>
  </si>
  <si>
    <t xml:space="preserve">F:\images\20210330\plaque 1/@03 EE2 50.6/ </t>
  </si>
  <si>
    <t xml:space="preserve"> 64.8343 </t>
  </si>
  <si>
    <t xml:space="preserve"> 2.1543 </t>
  </si>
  <si>
    <t xml:space="preserve"> 234723.917 </t>
  </si>
  <si>
    <t xml:space="preserve"> 347247.339 </t>
  </si>
  <si>
    <t xml:space="preserve">F:\images\20210330\plaque 1/@04 EE2 76/A4_01.tif </t>
  </si>
  <si>
    <t xml:space="preserve"> 66.8792 </t>
  </si>
  <si>
    <t xml:space="preserve">F:\images\20210330\plaque 1/@04 EE2 76/A4_02.tif </t>
  </si>
  <si>
    <t xml:space="preserve"> 2314.3987 </t>
  </si>
  <si>
    <t xml:space="preserve"> 63.8972 </t>
  </si>
  <si>
    <t xml:space="preserve">F:\images\20210330\plaque 1/@04 EE2 76/A4_03.tif </t>
  </si>
  <si>
    <t xml:space="preserve"> 3698.712 </t>
  </si>
  <si>
    <t xml:space="preserve"> 66.4094 </t>
  </si>
  <si>
    <t xml:space="preserve">F:\images\20210330\plaque 1/@04 EE2 76/B4_01.tif </t>
  </si>
  <si>
    <t xml:space="preserve"> 63.2609 </t>
  </si>
  <si>
    <t xml:space="preserve">F:\images\20210330\plaque 1/@04 EE2 76/B4_02.tif </t>
  </si>
  <si>
    <t xml:space="preserve"> 64.275 </t>
  </si>
  <si>
    <t xml:space="preserve">F:\images\20210330\plaque 1/@04 EE2 76/B4_03.tif </t>
  </si>
  <si>
    <t xml:space="preserve"> 63.2857 </t>
  </si>
  <si>
    <t xml:space="preserve">F:\images\20210330\plaque 1/@04 EE2 76/C4_01.tif </t>
  </si>
  <si>
    <t xml:space="preserve"> 10685.1679 </t>
  </si>
  <si>
    <t xml:space="preserve"> 65.8178 </t>
  </si>
  <si>
    <t xml:space="preserve">F:\images\20210330\plaque 1/@04 EE2 76/C4_02.tif </t>
  </si>
  <si>
    <t xml:space="preserve"> 15140.9262 </t>
  </si>
  <si>
    <t xml:space="preserve"> 65.8171 </t>
  </si>
  <si>
    <t xml:space="preserve">F:\images\20210330\plaque 1/@04 EE2 76/C4_03.tif </t>
  </si>
  <si>
    <t xml:space="preserve"> 15335.5953 </t>
  </si>
  <si>
    <t xml:space="preserve"> 66.0099 </t>
  </si>
  <si>
    <t xml:space="preserve">F:\images\20210330\plaque 1/@04 EE2 76/D4_01.tif </t>
  </si>
  <si>
    <t xml:space="preserve"> 68.789 </t>
  </si>
  <si>
    <t xml:space="preserve">F:\images\20210330\plaque 1/@04 EE2 76/D4_02.tif </t>
  </si>
  <si>
    <t xml:space="preserve"> 26604.7704 </t>
  </si>
  <si>
    <t xml:space="preserve"> 68.1667 </t>
  </si>
  <si>
    <t xml:space="preserve">F:\images\20210330\plaque 1/@04 EE2 76/D4_03.tif </t>
  </si>
  <si>
    <t xml:space="preserve"> 18774.7485 </t>
  </si>
  <si>
    <t xml:space="preserve"> 65.6359 </t>
  </si>
  <si>
    <t>F:\images\20210330\plaque 1/@04 EE2 76/E4_01- exclu.tif</t>
  </si>
  <si>
    <t>F:\images\20210330\plaque 1/@04 EE2 76/E4_02- exclu.tif</t>
  </si>
  <si>
    <t>F:\images\20210330\plaque 1/@04 EE2 76/E4_03- exclu.tif</t>
  </si>
  <si>
    <t>F:\images\20210330\plaque 1/@04 EE2 76/F4_01- exclu.tif</t>
  </si>
  <si>
    <t xml:space="preserve">F:\images\20210330\plaque 1/@04 EE2 76/F4_02.tif </t>
  </si>
  <si>
    <t xml:space="preserve"> 63.602 </t>
  </si>
  <si>
    <t xml:space="preserve">F:\images\20210330\plaque 1/@04 EE2 76/F4_03.tif </t>
  </si>
  <si>
    <t xml:space="preserve"> 1341.0535 </t>
  </si>
  <si>
    <t xml:space="preserve"> 62.6774 </t>
  </si>
  <si>
    <t xml:space="preserve">F:\images\20210330\plaque 1/@04 EE2 76/G4_01.tif </t>
  </si>
  <si>
    <t xml:space="preserve"> 17001.0972 </t>
  </si>
  <si>
    <t xml:space="preserve"> 66.5382 </t>
  </si>
  <si>
    <t xml:space="preserve">F:\images\20210330\plaque 1/@04 EE2 76/G4_02.tif </t>
  </si>
  <si>
    <t xml:space="preserve"> 14643.4387 </t>
  </si>
  <si>
    <t xml:space="preserve"> 65.901 </t>
  </si>
  <si>
    <t xml:space="preserve">F:\images\20210330\plaque 1/@04 EE2 76/G4_03.tif </t>
  </si>
  <si>
    <t xml:space="preserve"> 16914.5776 </t>
  </si>
  <si>
    <t xml:space="preserve"> 66.8223 </t>
  </si>
  <si>
    <t xml:space="preserve">F:\images\20210330\plaque 1/@04 EE2 76/H4_01.tif </t>
  </si>
  <si>
    <t xml:space="preserve"> 62.963 </t>
  </si>
  <si>
    <t xml:space="preserve">F:\images\20210330\plaque 1/@04 EE2 76/H4_02.tif </t>
  </si>
  <si>
    <t xml:space="preserve"> 63.9474 </t>
  </si>
  <si>
    <t xml:space="preserve">F:\images\20210330\plaque 1/@04 EE2 76/H4_03.tif </t>
  </si>
  <si>
    <t xml:space="preserve">F:\images\20210330\plaque 1/@04 EE2 76/ </t>
  </si>
  <si>
    <t xml:space="preserve"> 66.2666 </t>
  </si>
  <si>
    <t xml:space="preserve"> 4.3478 </t>
  </si>
  <si>
    <t xml:space="preserve"> 645987.625 </t>
  </si>
  <si>
    <t xml:space="preserve"> 622396.378 </t>
  </si>
  <si>
    <t xml:space="preserve">F:\images\20210330\plaque 1/@05 EE2 114/A5_01.tif </t>
  </si>
  <si>
    <t xml:space="preserve"> 67528.531 </t>
  </si>
  <si>
    <t xml:space="preserve"> 78.6275 </t>
  </si>
  <si>
    <t xml:space="preserve">F:\images\20210330\plaque 1/@05 EE2 114/A5_02.tif </t>
  </si>
  <si>
    <t xml:space="preserve"> 62942.9934 </t>
  </si>
  <si>
    <t xml:space="preserve"> 76.4948 </t>
  </si>
  <si>
    <t xml:space="preserve">F:\images\20210330\plaque 1/@05 EE2 114/A5_03.tif </t>
  </si>
  <si>
    <t xml:space="preserve"> 49445.9391 </t>
  </si>
  <si>
    <t xml:space="preserve"> 87.4458 </t>
  </si>
  <si>
    <t xml:space="preserve">F:\images\20210330\plaque 1/@05 EE2 114/B5_01.tif </t>
  </si>
  <si>
    <t xml:space="preserve"> 4672.0572 </t>
  </si>
  <si>
    <t xml:space="preserve"> 63.7639 </t>
  </si>
  <si>
    <t xml:space="preserve">F:\images\20210330\plaque 1/@05 EE2 114/B5_02.tif </t>
  </si>
  <si>
    <t xml:space="preserve"> 9257.5949 </t>
  </si>
  <si>
    <t xml:space="preserve"> 64.6519 </t>
  </si>
  <si>
    <t xml:space="preserve">F:\images\20210330\plaque 1/@05 EE2 114/B5_03.tif </t>
  </si>
  <si>
    <t xml:space="preserve"> 5126.285 </t>
  </si>
  <si>
    <t xml:space="preserve"> 64.346 </t>
  </si>
  <si>
    <t xml:space="preserve">F:\images\20210330\plaque 1/@05 EE2 114/C5_01.tif </t>
  </si>
  <si>
    <t xml:space="preserve"> 10923.0968 </t>
  </si>
  <si>
    <t xml:space="preserve"> 64.8812 </t>
  </si>
  <si>
    <t xml:space="preserve">F:\images\20210330\plaque 1/@05 EE2 114/C5_02.tif </t>
  </si>
  <si>
    <t xml:space="preserve"> 63.6283 </t>
  </si>
  <si>
    <t xml:space="preserve">F:\images\20210330\plaque 1/@05 EE2 114/C5_03.tif </t>
  </si>
  <si>
    <t xml:space="preserve"> 63.3935 </t>
  </si>
  <si>
    <t xml:space="preserve">F:\images\20210330\plaque 1/@05 EE2 114/D5_01.tif </t>
  </si>
  <si>
    <t xml:space="preserve"> 40750.7215 </t>
  </si>
  <si>
    <t xml:space="preserve"> 72.1476 </t>
  </si>
  <si>
    <t xml:space="preserve">F:\images\20210330\plaque 1/@05 EE2 114/D5_02.tif </t>
  </si>
  <si>
    <t xml:space="preserve"> 38609.3619 </t>
  </si>
  <si>
    <t xml:space="preserve"> 71.5373 </t>
  </si>
  <si>
    <t xml:space="preserve">F:\images\20210330\plaque 1/@05 EE2 114/D5_03.tif </t>
  </si>
  <si>
    <t xml:space="preserve"> 37376.4579 </t>
  </si>
  <si>
    <t xml:space="preserve"> 72.081 </t>
  </si>
  <si>
    <t xml:space="preserve">F:\images\20210330\plaque 1/@05 EE2 114/E5_01.tif </t>
  </si>
  <si>
    <t xml:space="preserve"> 35797.4756 </t>
  </si>
  <si>
    <t xml:space="preserve"> 67.426 </t>
  </si>
  <si>
    <t xml:space="preserve">F:\images\20210330\plaque 1/@05 EE2 114/E5_02.tif </t>
  </si>
  <si>
    <t xml:space="preserve"> 36208.4436 </t>
  </si>
  <si>
    <t xml:space="preserve"> 67.497 </t>
  </si>
  <si>
    <t xml:space="preserve">F:\images\20210330\plaque 1/@05 EE2 114/E5_03.tif </t>
  </si>
  <si>
    <t xml:space="preserve"> 37722.5362 </t>
  </si>
  <si>
    <t xml:space="preserve"> 68.2013 </t>
  </si>
  <si>
    <t xml:space="preserve">F:\images\20210330\plaque 1/@05 EE2 114/F5_01.tif </t>
  </si>
  <si>
    <t xml:space="preserve"> 28227.0125 </t>
  </si>
  <si>
    <t xml:space="preserve"> 71.9057 </t>
  </si>
  <si>
    <t xml:space="preserve">F:\images\20210330\plaque 1/@05 EE2 114/F5_02.tif </t>
  </si>
  <si>
    <t xml:space="preserve"> 26215.4323 </t>
  </si>
  <si>
    <t xml:space="preserve"> 72.4282 </t>
  </si>
  <si>
    <t xml:space="preserve">F:\images\20210330\plaque 1/@05 EE2 114/F5_03.tif </t>
  </si>
  <si>
    <t xml:space="preserve"> 27816.0445 </t>
  </si>
  <si>
    <t xml:space="preserve"> 73.619 </t>
  </si>
  <si>
    <t xml:space="preserve">F:\images\20210330\plaque 1/@05 EE2 114/G5_01.tif </t>
  </si>
  <si>
    <t xml:space="preserve"> 48580.7433 </t>
  </si>
  <si>
    <t xml:space="preserve"> 68.9132 </t>
  </si>
  <si>
    <t xml:space="preserve">F:\images\20210330\plaque 1/@05 EE2 114/G5_02.tif </t>
  </si>
  <si>
    <t xml:space="preserve"> 50181.3555 </t>
  </si>
  <si>
    <t xml:space="preserve"> 69.153 </t>
  </si>
  <si>
    <t xml:space="preserve">F:\images\20210330\plaque 1/@05 EE2 114/G5_03.tif </t>
  </si>
  <si>
    <t xml:space="preserve"> 48926.8217 </t>
  </si>
  <si>
    <t xml:space="preserve"> 69.5539 </t>
  </si>
  <si>
    <t xml:space="preserve">F:\images\20210330\plaque 1/@05 EE2 114/H5_01.tif </t>
  </si>
  <si>
    <t xml:space="preserve"> 14037.8016 </t>
  </si>
  <si>
    <t xml:space="preserve"> 65.6348 </t>
  </si>
  <si>
    <t xml:space="preserve">F:\images\20210330\plaque 1/@05 EE2 114/H5_02.tif </t>
  </si>
  <si>
    <t xml:space="preserve"> 16114.2715 </t>
  </si>
  <si>
    <t xml:space="preserve"> 66.1503 </t>
  </si>
  <si>
    <t xml:space="preserve">F:\images\20210330\plaque 1/@05 EE2 114/H5_03.tif </t>
  </si>
  <si>
    <t xml:space="preserve"> 18839.6382 </t>
  </si>
  <si>
    <t xml:space="preserve"> 66.1389 </t>
  </si>
  <si>
    <t xml:space="preserve">F:\images\20210330\plaque 1/@05 EE2 114/ </t>
  </si>
  <si>
    <t xml:space="preserve"> 69.5675 </t>
  </si>
  <si>
    <t xml:space="preserve"> 5.6234 </t>
  </si>
  <si>
    <t xml:space="preserve"> 2190406.25 </t>
  </si>
  <si>
    <t xml:space="preserve"> 1455173.95 </t>
  </si>
  <si>
    <t xml:space="preserve">F:\images\20210330\plaque 1/@06 EE2 170.9/A6_01.tif </t>
  </si>
  <si>
    <t xml:space="preserve"> 33028.8491 </t>
  </si>
  <si>
    <t xml:space="preserve"> 78.5252 </t>
  </si>
  <si>
    <t xml:space="preserve">F:\images\20210330\plaque 1/@06 EE2 170.9/A6_02.tif </t>
  </si>
  <si>
    <t xml:space="preserve"> 42048.5152 </t>
  </si>
  <si>
    <t xml:space="preserve"> 76.982 </t>
  </si>
  <si>
    <t xml:space="preserve">F:\images\20210330\plaque 1/@06 EE2 170.9/A6_03.tif </t>
  </si>
  <si>
    <t xml:space="preserve"> 33093.7388 </t>
  </si>
  <si>
    <t xml:space="preserve"> 78.5693 </t>
  </si>
  <si>
    <t xml:space="preserve">F:\images\20210330\plaque 1/@06 EE2 170.9/B6_01.tif </t>
  </si>
  <si>
    <t xml:space="preserve"> 35278.3581 </t>
  </si>
  <si>
    <t xml:space="preserve"> 81.7689 </t>
  </si>
  <si>
    <t>F:\images\20210330\plaque 1/@06 EE2 170.9/B6_02- exclu.tif</t>
  </si>
  <si>
    <t xml:space="preserve">F:\images\20210330\plaque 1/@06 EE2 170.9/B6_03.tif </t>
  </si>
  <si>
    <t xml:space="preserve"> 83.4754 </t>
  </si>
  <si>
    <t xml:space="preserve">F:\images\20210330\plaque 1/@06 EE2 170.9/C6_01.tif </t>
  </si>
  <si>
    <t xml:space="preserve"> 27037.3683 </t>
  </si>
  <si>
    <t xml:space="preserve"> 72.4648 </t>
  </si>
  <si>
    <t xml:space="preserve">F:\images\20210330\plaque 1/@06 EE2 170.9/C6_02.tif </t>
  </si>
  <si>
    <t xml:space="preserve"> 23122.3574 </t>
  </si>
  <si>
    <t xml:space="preserve"> 68.0739 </t>
  </si>
  <si>
    <t xml:space="preserve">F:\images\20210330\plaque 1/@06 EE2 170.9/C6_03.tif </t>
  </si>
  <si>
    <t xml:space="preserve"> 24225.482 </t>
  </si>
  <si>
    <t xml:space="preserve"> 71.3482 </t>
  </si>
  <si>
    <t xml:space="preserve">F:\images\20210330\plaque 1/@06 EE2 170.9/D6_01.tif </t>
  </si>
  <si>
    <t xml:space="preserve"> 38522.8423 </t>
  </si>
  <si>
    <t xml:space="preserve"> 73.676 </t>
  </si>
  <si>
    <t xml:space="preserve">F:\images\20210330\plaque 1/@06 EE2 170.9/D6_02.tif </t>
  </si>
  <si>
    <t xml:space="preserve"> 35473.0272 </t>
  </si>
  <si>
    <t xml:space="preserve"> 73.089 </t>
  </si>
  <si>
    <t xml:space="preserve">F:\images\20210330\plaque 1/@06 EE2 170.9/D6_03.tif </t>
  </si>
  <si>
    <t xml:space="preserve"> 43908.6861 </t>
  </si>
  <si>
    <t xml:space="preserve"> 75.4626 </t>
  </si>
  <si>
    <t xml:space="preserve">F:\images\20210330\plaque 1/@06 EE2 170.9/E6_01.tif </t>
  </si>
  <si>
    <t xml:space="preserve"> 44600.8427 </t>
  </si>
  <si>
    <t xml:space="preserve"> 81.144 </t>
  </si>
  <si>
    <t xml:space="preserve">F:\images\20210330\plaque 1/@06 EE2 170.9/E6_02.tif </t>
  </si>
  <si>
    <t xml:space="preserve"> 34975.5396 </t>
  </si>
  <si>
    <t xml:space="preserve"> 74.9481 </t>
  </si>
  <si>
    <t>F:\images\20210330\plaque 1/@06 EE2 170.9/E6_03- exclu.tif</t>
  </si>
  <si>
    <t xml:space="preserve">F:\images\20210330\plaque 1/@06 EE2 170.9/F6_01.tif </t>
  </si>
  <si>
    <t xml:space="preserve"> 37225.0487 </t>
  </si>
  <si>
    <t xml:space="preserve"> 72.2347 </t>
  </si>
  <si>
    <t xml:space="preserve">F:\images\20210330\plaque 1/@06 EE2 170.9/F6_02.tif </t>
  </si>
  <si>
    <t xml:space="preserve"> 37830.6857 </t>
  </si>
  <si>
    <t xml:space="preserve"> 73.5094 </t>
  </si>
  <si>
    <t xml:space="preserve">F:\images\20210330\plaque 1/@06 EE2 170.9/F6_03.tif </t>
  </si>
  <si>
    <t xml:space="preserve"> 37138.5291 </t>
  </si>
  <si>
    <t xml:space="preserve"> 72.8841 </t>
  </si>
  <si>
    <t xml:space="preserve">F:\images\20210330\plaque 1/@06 EE2 170.9/G6_01.tif </t>
  </si>
  <si>
    <t xml:space="preserve"> 44406.1737 </t>
  </si>
  <si>
    <t xml:space="preserve"> 80.8787 </t>
  </si>
  <si>
    <t xml:space="preserve">F:\images\20210330\plaque 1/@06 EE2 170.9/G6_02.tif </t>
  </si>
  <si>
    <t xml:space="preserve"> 45660.7076 </t>
  </si>
  <si>
    <t xml:space="preserve"> 80.289 </t>
  </si>
  <si>
    <t xml:space="preserve">F:\images\20210330\plaque 1/@06 EE2 170.9/G6_03.tif </t>
  </si>
  <si>
    <t xml:space="preserve"> 44557.5829 </t>
  </si>
  <si>
    <t xml:space="preserve"> 80.4068 </t>
  </si>
  <si>
    <t xml:space="preserve">F:\images\20210330\plaque 1/@06 EE2 170.9/H6_01.tif </t>
  </si>
  <si>
    <t xml:space="preserve"> 49402.6793 </t>
  </si>
  <si>
    <t xml:space="preserve"> 77.0499 </t>
  </si>
  <si>
    <t xml:space="preserve">F:\images\20210330\plaque 1/@06 EE2 170.9/H6_02.tif </t>
  </si>
  <si>
    <t xml:space="preserve"> 47758.8073 </t>
  </si>
  <si>
    <t xml:space="preserve"> 79.2355 </t>
  </si>
  <si>
    <t xml:space="preserve">F:\images\20210330\plaque 1/@06 EE2 170.9/H6_03.tif </t>
  </si>
  <si>
    <t xml:space="preserve"> 45314.6292 </t>
  </si>
  <si>
    <t xml:space="preserve"> 77.1556 </t>
  </si>
  <si>
    <t xml:space="preserve">F:\images\20210330\plaque 1/@06 EE2 170.9/ </t>
  </si>
  <si>
    <t xml:space="preserve"> 76.483 </t>
  </si>
  <si>
    <t xml:space="preserve"> 3.8684 </t>
  </si>
  <si>
    <t xml:space="preserve"> 2736777.33 </t>
  </si>
  <si>
    <t xml:space="preserve"> 895700.189 </t>
  </si>
  <si>
    <t xml:space="preserve">F:\images\20210330\plaque 1/@07 EE2 488/A7_01.tif </t>
  </si>
  <si>
    <t xml:space="preserve"> 33785.8954 </t>
  </si>
  <si>
    <t xml:space="preserve"> 84.8143 </t>
  </si>
  <si>
    <t xml:space="preserve">F:\images\20210330\plaque 1/@07 EE2 488/A7_02.tif </t>
  </si>
  <si>
    <t xml:space="preserve"> 26929.2188 </t>
  </si>
  <si>
    <t xml:space="preserve"> 78.2948 </t>
  </si>
  <si>
    <t xml:space="preserve">F:\images\20210330\plaque 1/@07 EE2 488/A7_03.tif </t>
  </si>
  <si>
    <t xml:space="preserve"> 29935.7742 </t>
  </si>
  <si>
    <t xml:space="preserve"> 87.8389 </t>
  </si>
  <si>
    <t xml:space="preserve">F:\images\20210330\plaque 1/@07 EE2 488/B7_01.tif </t>
  </si>
  <si>
    <t xml:space="preserve"> 25112.3077 </t>
  </si>
  <si>
    <t xml:space="preserve"> 78.3471 </t>
  </si>
  <si>
    <t xml:space="preserve">F:\images\20210330\plaque 1/@07 EE2 488/B7_02.tif </t>
  </si>
  <si>
    <t xml:space="preserve"> 23987.5531 </t>
  </si>
  <si>
    <t xml:space="preserve"> 80.7971 </t>
  </si>
  <si>
    <t xml:space="preserve">F:\images\20210330\plaque 1/@07 EE2 488/B7_03.tif </t>
  </si>
  <si>
    <t xml:space="preserve"> 24052.4428 </t>
  </si>
  <si>
    <t xml:space="preserve"> 78.4838 </t>
  </si>
  <si>
    <t xml:space="preserve">F:\images\20210330\plaque 1/@07 EE2 488/C7_01.tif </t>
  </si>
  <si>
    <t xml:space="preserve"> 32596.2512 </t>
  </si>
  <si>
    <t xml:space="preserve"> 89.8361 </t>
  </si>
  <si>
    <t xml:space="preserve">F:\images\20210330\plaque 1/@07 EE2 488/C7_02.tif </t>
  </si>
  <si>
    <t xml:space="preserve"> 30043.9236 </t>
  </si>
  <si>
    <t xml:space="preserve"> 88.424 </t>
  </si>
  <si>
    <t xml:space="preserve">F:\images\20210330\plaque 1/@07 EE2 488/C7_03.tif </t>
  </si>
  <si>
    <t xml:space="preserve"> 30779.3401 </t>
  </si>
  <si>
    <t xml:space="preserve"> 84.0365 </t>
  </si>
  <si>
    <t xml:space="preserve">F:\images\20210330\plaque 1/@07 EE2 488/D7_01.tif </t>
  </si>
  <si>
    <t xml:space="preserve"> 90196.6606 </t>
  </si>
  <si>
    <t xml:space="preserve"> 97.3149 </t>
  </si>
  <si>
    <t xml:space="preserve">F:\images\20210330\plaque 1/@07 EE2 488/D7_02.tif </t>
  </si>
  <si>
    <t xml:space="preserve"> 82107.08 </t>
  </si>
  <si>
    <t xml:space="preserve"> 93.692 </t>
  </si>
  <si>
    <t xml:space="preserve">F:\images\20210330\plaque 1/@07 EE2 488/D7_03.tif </t>
  </si>
  <si>
    <t xml:space="preserve"> 85589.493 </t>
  </si>
  <si>
    <t xml:space="preserve"> 92.7023 </t>
  </si>
  <si>
    <t xml:space="preserve">F:\images\20210330\plaque 1/@07 EE2 488/E7_01.tif </t>
  </si>
  <si>
    <t xml:space="preserve"> 49337.7896 </t>
  </si>
  <si>
    <t xml:space="preserve"> 83.6089 </t>
  </si>
  <si>
    <t xml:space="preserve">F:\images\20210330\plaque 1/@07 EE2 488/E7_02.tif </t>
  </si>
  <si>
    <t xml:space="preserve"> 41075.1699 </t>
  </si>
  <si>
    <t xml:space="preserve"> 85.3881 </t>
  </si>
  <si>
    <t xml:space="preserve">F:\images\20210330\plaque 1/@07 EE2 488/E7_03.tif </t>
  </si>
  <si>
    <t xml:space="preserve"> 41637.5472 </t>
  </si>
  <si>
    <t xml:space="preserve"> 87.5979 </t>
  </si>
  <si>
    <t xml:space="preserve">F:\images\20210330\plaque 1/@07 EE2 488/F7_01.tif </t>
  </si>
  <si>
    <t xml:space="preserve"> 49381.0494 </t>
  </si>
  <si>
    <t xml:space="preserve"> 88.3999 </t>
  </si>
  <si>
    <t xml:space="preserve">F:\images\20210330\plaque 1/@07 EE2 488/F7_02.tif </t>
  </si>
  <si>
    <t xml:space="preserve"> 35970.5148 </t>
  </si>
  <si>
    <t xml:space="preserve"> 91.8328 </t>
  </si>
  <si>
    <t xml:space="preserve">F:\images\20210330\plaque 1/@07 EE2 488/F7_03.tif </t>
  </si>
  <si>
    <t xml:space="preserve"> 44124.985 </t>
  </si>
  <si>
    <t xml:space="preserve"> 91.7647 </t>
  </si>
  <si>
    <t xml:space="preserve">F:\images\20210330\plaque 1/@07 EE2 488/G7_01.tif </t>
  </si>
  <si>
    <t xml:space="preserve"> 99.5708 </t>
  </si>
  <si>
    <t xml:space="preserve">F:\images\20210330\plaque 1/@07 EE2 488/G7_02.tif </t>
  </si>
  <si>
    <t xml:space="preserve"> 47455.9888 </t>
  </si>
  <si>
    <t xml:space="preserve"> 100.4991 </t>
  </si>
  <si>
    <t xml:space="preserve">F:\images\20210330\plaque 1/@07 EE2 488/G7_03.tif </t>
  </si>
  <si>
    <t xml:space="preserve"> 50462.5442 </t>
  </si>
  <si>
    <t xml:space="preserve"> 96.4565 </t>
  </si>
  <si>
    <t xml:space="preserve">F:\images\20210330\plaque 1/@07 EE2 488/H7_01.tif </t>
  </si>
  <si>
    <t xml:space="preserve"> 86779.1373 </t>
  </si>
  <si>
    <t xml:space="preserve"> 97.1331 </t>
  </si>
  <si>
    <t xml:space="preserve">F:\images\20210330\plaque 1/@07 EE2 488/H7_02.tif </t>
  </si>
  <si>
    <t xml:space="preserve"> 76375.1579 </t>
  </si>
  <si>
    <t xml:space="preserve"> 100.2637 </t>
  </si>
  <si>
    <t xml:space="preserve">F:\images\20210330\plaque 1/@07 EE2 488/H7_03.tif </t>
  </si>
  <si>
    <t xml:space="preserve"> 74082.3891 </t>
  </si>
  <si>
    <t xml:space="preserve"> 100.9258 </t>
  </si>
  <si>
    <t xml:space="preserve">F:\images\20210330\plaque 1/@07 EE2 488/ </t>
  </si>
  <si>
    <t xml:space="preserve"> 89.9176 </t>
  </si>
  <si>
    <t xml:space="preserve"> 7.3131 </t>
  </si>
  <si>
    <t xml:space="preserve"> 4461803.75 </t>
  </si>
  <si>
    <t xml:space="preserve"> 2280589.94 </t>
  </si>
  <si>
    <t xml:space="preserve">F:\images\20210330\plaque 1/@08 Anastrozole 0.032 µg_L/A8_01.tif </t>
  </si>
  <si>
    <t xml:space="preserve">F:\images\20210330\plaque 1/@08 Anastrozole 0.032 µg_L/A8_02.tif </t>
  </si>
  <si>
    <t xml:space="preserve"> 64.0312 </t>
  </si>
  <si>
    <t xml:space="preserve">F:\images\20210330\plaque 1/@08 Anastrozole 0.032 µg_L/A8_03.tif </t>
  </si>
  <si>
    <t xml:space="preserve"> 64.9118 </t>
  </si>
  <si>
    <t xml:space="preserve">F:\images\20210330\plaque 1/@08 Anastrozole 0.032 µg_L/B8_01.tif </t>
  </si>
  <si>
    <t xml:space="preserve"> 64.8 </t>
  </si>
  <si>
    <t xml:space="preserve">F:\images\20210330\plaque 1/@08 Anastrozole 0.032 µg_L/B8_02.tif </t>
  </si>
  <si>
    <t xml:space="preserve"> 64.4333 </t>
  </si>
  <si>
    <t xml:space="preserve">F:\images\20210330\plaque 1/@08 Anastrozole 0.032 µg_L/B8_03.tif </t>
  </si>
  <si>
    <t xml:space="preserve"> 63.5263 </t>
  </si>
  <si>
    <t xml:space="preserve">F:\images\20210330\plaque 1/@08 Anastrozole 0.032 µg_L/C8_01.tif </t>
  </si>
  <si>
    <t xml:space="preserve"> 4239.4593 </t>
  </si>
  <si>
    <t xml:space="preserve"> 64.852 </t>
  </si>
  <si>
    <t xml:space="preserve">F:\images\20210330\plaque 1/@08 Anastrozole 0.032 µg_L/C8_02.tif </t>
  </si>
  <si>
    <t xml:space="preserve"> 4909.9861 </t>
  </si>
  <si>
    <t xml:space="preserve"> 64.5551 </t>
  </si>
  <si>
    <t xml:space="preserve">F:\images\20210330\plaque 1/@08 Anastrozole 0.032 µg_L/C8_03.tif </t>
  </si>
  <si>
    <t xml:space="preserve"> 64.5603 </t>
  </si>
  <si>
    <t xml:space="preserve">F:\images\20210330\plaque 1/@08 Anastrozole 0.032 µg_L/D8_01.tif </t>
  </si>
  <si>
    <t xml:space="preserve">F:\images\20210330\plaque 1/@08 Anastrozole 0.032 µg_L/D8_02.tif </t>
  </si>
  <si>
    <t xml:space="preserve"> 62.9667 </t>
  </si>
  <si>
    <t xml:space="preserve">F:\images\20210330\plaque 1/@08 Anastrozole 0.032 µg_L/D8_03.tif </t>
  </si>
  <si>
    <t xml:space="preserve"> 63.4565 </t>
  </si>
  <si>
    <t xml:space="preserve">F:\images\20210330\plaque 1/@08 Anastrozole 0.032 µg_L/E8_01.tif </t>
  </si>
  <si>
    <t xml:space="preserve"> 66.72 </t>
  </si>
  <si>
    <t xml:space="preserve">F:\images\20210330\plaque 1/@08 Anastrozole 0.032 µg_L/E8_02.tif </t>
  </si>
  <si>
    <t xml:space="preserve"> 62.8696 </t>
  </si>
  <si>
    <t xml:space="preserve">F:\images\20210330\plaque 1/@08 Anastrozole 0.032 µg_L/E8_03.tif </t>
  </si>
  <si>
    <t xml:space="preserve"> 64.4133 </t>
  </si>
  <si>
    <t xml:space="preserve">F:\images\20210330\plaque 1/@08 Anastrozole 0.032 µg_L/F8_01.tif </t>
  </si>
  <si>
    <t xml:space="preserve"> 5731.9221 </t>
  </si>
  <si>
    <t xml:space="preserve"> 67.4679 </t>
  </si>
  <si>
    <t xml:space="preserve">F:\images\20210330\plaque 1/@08 Anastrozole 0.032 µg_L/F8_02.tif </t>
  </si>
  <si>
    <t xml:space="preserve"> 68.5952 </t>
  </si>
  <si>
    <t xml:space="preserve">F:\images\20210330\plaque 1/@08 Anastrozole 0.032 µg_L/F8_03.tif </t>
  </si>
  <si>
    <t xml:space="preserve"> 63.6703 </t>
  </si>
  <si>
    <t xml:space="preserve">F:\images\20210330\plaque 1/@08 Anastrozole 0.032 µg_L/G8_01.tif </t>
  </si>
  <si>
    <t xml:space="preserve">F:\images\20210330\plaque 1/@08 Anastrozole 0.032 µg_L/G8_02.tif </t>
  </si>
  <si>
    <t xml:space="preserve"> 62.8966 </t>
  </si>
  <si>
    <t xml:space="preserve">F:\images\20210330\plaque 1/@08 Anastrozole 0.032 µg_L/G8_03.tif </t>
  </si>
  <si>
    <t xml:space="preserve">F:\images\20210330\plaque 1/@08 Anastrozole 0.032 µg_L/H8_01.tif </t>
  </si>
  <si>
    <t xml:space="preserve"> 75.0916 </t>
  </si>
  <si>
    <t xml:space="preserve">F:\images\20210330\plaque 1/@08 Anastrozole 0.032 µg_L/H8_02.tif </t>
  </si>
  <si>
    <t xml:space="preserve"> 6835.0467 </t>
  </si>
  <si>
    <t xml:space="preserve"> 77.4146 </t>
  </si>
  <si>
    <t xml:space="preserve">F:\images\20210330\plaque 1/@08 Anastrozole 0.032 µg_L/H8_03.tif </t>
  </si>
  <si>
    <t xml:space="preserve"> 63.7246 </t>
  </si>
  <si>
    <t xml:space="preserve">F:\images\20210330\plaque 1/@08 Anastrozole 0.032 µg_L/ </t>
  </si>
  <si>
    <t xml:space="preserve"> 65.4786 </t>
  </si>
  <si>
    <t xml:space="preserve"> 3.633 </t>
  </si>
  <si>
    <t xml:space="preserve"> 149895.208 </t>
  </si>
  <si>
    <t xml:space="preserve"> 154611.432 </t>
  </si>
  <si>
    <t xml:space="preserve">F:\images\20210330\plaque 1/@09 Anastrozole 0.16 µg_L/A9_01.tif </t>
  </si>
  <si>
    <t xml:space="preserve"> 62.4375 </t>
  </si>
  <si>
    <t xml:space="preserve">F:\images\20210330\plaque 1/@09 Anastrozole 0.16 µg_L/A9_02.tif </t>
  </si>
  <si>
    <t xml:space="preserve">F:\images\20210330\plaque 1/@09 Anastrozole 0.16 µg_L/A9_03.tif </t>
  </si>
  <si>
    <t xml:space="preserve"> 65.4667 </t>
  </si>
  <si>
    <t xml:space="preserve">F:\images\20210330\plaque 1/@09 Anastrozole 0.16 µg_L/B9_01.tif </t>
  </si>
  <si>
    <t xml:space="preserve"> 8024.6909 </t>
  </si>
  <si>
    <t xml:space="preserve"> 71.3935 </t>
  </si>
  <si>
    <t xml:space="preserve">F:\images\20210330\plaque 1/@09 Anastrozole 0.16 µg_L/B9_02.tif </t>
  </si>
  <si>
    <t xml:space="preserve"> 65.9762 </t>
  </si>
  <si>
    <t xml:space="preserve">F:\images\20210330\plaque 1/@09 Anastrozole 0.16 µg_L/B9_03.tif </t>
  </si>
  <si>
    <t xml:space="preserve"> 8478.9187 </t>
  </si>
  <si>
    <t xml:space="preserve"> 72.375 </t>
  </si>
  <si>
    <t xml:space="preserve">F:\images\20210330\plaque 1/@09 Anastrozole 0.16 µg_L/C9_01.tif </t>
  </si>
  <si>
    <t xml:space="preserve"> 5104.6551 </t>
  </si>
  <si>
    <t xml:space="preserve"> 66.0593 </t>
  </si>
  <si>
    <t xml:space="preserve">F:\images\20210330\plaque 1/@09 Anastrozole 0.16 µg_L/C9_02.tif </t>
  </si>
  <si>
    <t xml:space="preserve"> 63.6032 </t>
  </si>
  <si>
    <t xml:space="preserve">F:\images\20210330\plaque 1/@09 Anastrozole 0.16 µg_L/C9_03.tif </t>
  </si>
  <si>
    <t xml:space="preserve"> 2249.509 </t>
  </si>
  <si>
    <t xml:space="preserve"> 64.4519 </t>
  </si>
  <si>
    <t xml:space="preserve">F:\images\20210330\plaque 1/@09 Anastrozole 0.16 µg_L/D9_01.tif </t>
  </si>
  <si>
    <t xml:space="preserve"> 2444.1781 </t>
  </si>
  <si>
    <t xml:space="preserve"> 66.5929 </t>
  </si>
  <si>
    <t xml:space="preserve">F:\images\20210330\plaque 1/@09 Anastrozole 0.16 µg_L/D9_02.tif </t>
  </si>
  <si>
    <t xml:space="preserve"> 5169.5448 </t>
  </si>
  <si>
    <t xml:space="preserve"> 73.2845 </t>
  </si>
  <si>
    <t xml:space="preserve">F:\images\20210330\plaque 1/@09 Anastrozole 0.16 µg_L/D9_03.tif </t>
  </si>
  <si>
    <t xml:space="preserve"> 71.7857 </t>
  </si>
  <si>
    <t xml:space="preserve">F:\images\20210330\plaque 1/@09 Anastrozole 0.16 µg_L/E9_01.tif </t>
  </si>
  <si>
    <t xml:space="preserve"> 64.4696 </t>
  </si>
  <si>
    <t xml:space="preserve">F:\images\20210330\plaque 1/@09 Anastrozole 0.16 µg_L/E9_02.tif </t>
  </si>
  <si>
    <t xml:space="preserve"> 64.6667 </t>
  </si>
  <si>
    <t xml:space="preserve">F:\images\20210330\plaque 1/@09 Anastrozole 0.16 µg_L/E9_03.tif </t>
  </si>
  <si>
    <t xml:space="preserve"> 64.871 </t>
  </si>
  <si>
    <t xml:space="preserve">F:\images\20210330\plaque 1/@09 Anastrozole 0.16 µg_L/F9_01.tif </t>
  </si>
  <si>
    <t xml:space="preserve"> 66.8777 </t>
  </si>
  <si>
    <t xml:space="preserve">F:\images\20210330\plaque 1/@09 Anastrozole 0.16 µg_L/F9_02.tif </t>
  </si>
  <si>
    <t xml:space="preserve"> 64.6207 </t>
  </si>
  <si>
    <t xml:space="preserve">F:\images\20210330\plaque 1/@09 Anastrozole 0.16 µg_L/F9_03.tif </t>
  </si>
  <si>
    <t xml:space="preserve"> 62.4545 </t>
  </si>
  <si>
    <t xml:space="preserve">F:\images\20210330\plaque 1/@09 Anastrozole 0.16 µg_L/G9_01.tif </t>
  </si>
  <si>
    <t xml:space="preserve">F:\images\20210330\plaque 1/@09 Anastrozole 0.16 µg_L/G9_02.tif </t>
  </si>
  <si>
    <t xml:space="preserve"> 63.6923 </t>
  </si>
  <si>
    <t xml:space="preserve">F:\images\20210330\plaque 1/@09 Anastrozole 0.16 µg_L/G9_03.tif </t>
  </si>
  <si>
    <t xml:space="preserve"> 63.3478 </t>
  </si>
  <si>
    <t xml:space="preserve">F:\images\20210330\plaque 1/@09 Anastrozole 0.16 µg_L/H9_01.tif </t>
  </si>
  <si>
    <t xml:space="preserve"> 2638.8471 </t>
  </si>
  <si>
    <t xml:space="preserve"> 65.5492 </t>
  </si>
  <si>
    <t xml:space="preserve">F:\images\20210330\plaque 1/@09 Anastrozole 0.16 µg_L/H9_02.tif </t>
  </si>
  <si>
    <t xml:space="preserve"> 62.9608 </t>
  </si>
  <si>
    <t xml:space="preserve">F:\images\20210330\plaque 1/@09 Anastrozole 0.16 µg_L/H9_03.tif </t>
  </si>
  <si>
    <t xml:space="preserve"> 62.9231 </t>
  </si>
  <si>
    <t xml:space="preserve">F:\images\20210330\plaque 1/@09 Anastrozole 0.16 µg_L/ </t>
  </si>
  <si>
    <t xml:space="preserve"> 65.7567 </t>
  </si>
  <si>
    <t xml:space="preserve"> 3.1997 </t>
  </si>
  <si>
    <t xml:space="preserve"> 149064.208 </t>
  </si>
  <si>
    <t xml:space="preserve"> 168798.151 </t>
  </si>
  <si>
    <t xml:space="preserve">F:\images\20210330\plaque 1/@10 Anastrozole 0.8 µg_L/A10_01.tif </t>
  </si>
  <si>
    <t xml:space="preserve"> 66.3597 </t>
  </si>
  <si>
    <t xml:space="preserve">F:\images\20210330\plaque 1/@10 Anastrozole 0.8 µg_L/A10_02.tif </t>
  </si>
  <si>
    <t xml:space="preserve"> 62.56 </t>
  </si>
  <si>
    <t xml:space="preserve">F:\images\20210330\plaque 1/@10 Anastrozole 0.8 µg_L/A10_03.tif </t>
  </si>
  <si>
    <t xml:space="preserve"> 64.102 </t>
  </si>
  <si>
    <t xml:space="preserve">F:\images\20210330\plaque 1/@10 Anastrozole 0.8 µg_L/B10_01.tif </t>
  </si>
  <si>
    <t xml:space="preserve"> 71.6049 </t>
  </si>
  <si>
    <t xml:space="preserve">F:\images\20210330\plaque 1/@10 Anastrozole 0.8 µg_L/B10_02.tif </t>
  </si>
  <si>
    <t xml:space="preserve"> 9214.3351 </t>
  </si>
  <si>
    <t xml:space="preserve"> 79.3169 </t>
  </si>
  <si>
    <t xml:space="preserve">F:\images\20210330\plaque 1/@10 Anastrozole 0.8 µg_L/B10_03.tif </t>
  </si>
  <si>
    <t xml:space="preserve"> 10512.1288 </t>
  </si>
  <si>
    <t xml:space="preserve"> 83.0802 </t>
  </si>
  <si>
    <t xml:space="preserve">F:\images\20210330\plaque 1/@10 Anastrozole 0.8 µg_L/C10_01.tif </t>
  </si>
  <si>
    <t xml:space="preserve">F:\images\20210330\plaque 1/@10 Anastrozole 0.8 µg_L/C10_02.tif </t>
  </si>
  <si>
    <t xml:space="preserve">F:\images\20210330\plaque 1/@10 Anastrozole 0.8 µg_L/C10_03.tif </t>
  </si>
  <si>
    <t xml:space="preserve"> 3720.3419 </t>
  </si>
  <si>
    <t xml:space="preserve"> 64.7093 </t>
  </si>
  <si>
    <t xml:space="preserve">F:\images\20210330\plaque 1/@10 Anastrozole 0.8 µg_L/D10_01.tif </t>
  </si>
  <si>
    <t xml:space="preserve"> 7051.3456 </t>
  </si>
  <si>
    <t xml:space="preserve"> 74.5061 </t>
  </si>
  <si>
    <t xml:space="preserve">F:\images\20210330\plaque 1/@10 Anastrozole 0.8 µg_L/D10_02.tif </t>
  </si>
  <si>
    <t xml:space="preserve"> 5342.584 </t>
  </si>
  <si>
    <t xml:space="preserve"> 70.919 </t>
  </si>
  <si>
    <t xml:space="preserve">F:\images\20210330\plaque 1/@10 Anastrozole 0.8 µg_L/D10_03.tif </t>
  </si>
  <si>
    <t xml:space="preserve"> 74.1161 </t>
  </si>
  <si>
    <t xml:space="preserve">F:\images\20210330\plaque 1/@10 Anastrozole 0.8 µg_L/E10_01.tif </t>
  </si>
  <si>
    <t xml:space="preserve"> 68.3776 </t>
  </si>
  <si>
    <t xml:space="preserve">F:\images\20210330\plaque 1/@10 Anastrozole 0.8 µg_L/E10_02.tif </t>
  </si>
  <si>
    <t xml:space="preserve"> 3525.6728 </t>
  </si>
  <si>
    <t xml:space="preserve">F:\images\20210330\plaque 1/@10 Anastrozole 0.8 µg_L/E10_03.tif </t>
  </si>
  <si>
    <t xml:space="preserve">F:\images\20210330\plaque 1/@10 Anastrozole 0.8 µg_L/F10_01.tif </t>
  </si>
  <si>
    <t xml:space="preserve">F:\images\20210330\plaque 1/@10 Anastrozole 0.8 µg_L/F10_02.tif </t>
  </si>
  <si>
    <t xml:space="preserve">F:\images\20210330\plaque 1/@10 Anastrozole 0.8 µg_L/F10_03.tif </t>
  </si>
  <si>
    <t xml:space="preserve"> 66.9231 </t>
  </si>
  <si>
    <t xml:space="preserve">F:\images\20210330\plaque 1/@10 Anastrozole 0.8 µg_L/G10_01.tif </t>
  </si>
  <si>
    <t xml:space="preserve"> 64.2872 </t>
  </si>
  <si>
    <t xml:space="preserve">F:\images\20210330\plaque 1/@10 Anastrozole 0.8 µg_L/G10_02.tif </t>
  </si>
  <si>
    <t xml:space="preserve"> 64.8169 </t>
  </si>
  <si>
    <t xml:space="preserve">F:\images\20210330\plaque 1/@10 Anastrozole 0.8 µg_L/G10_03.tif </t>
  </si>
  <si>
    <t xml:space="preserve"> 63.9378 </t>
  </si>
  <si>
    <t xml:space="preserve">F:\images\20210330\plaque 1/@10 Anastrozole 0.8 µg_L/H10_01.tif </t>
  </si>
  <si>
    <t xml:space="preserve"> 66.7857 </t>
  </si>
  <si>
    <t xml:space="preserve">F:\images\20210330\plaque 1/@10 Anastrozole 0.8 µg_L/H10_02.tif </t>
  </si>
  <si>
    <t xml:space="preserve"> 64.4032 </t>
  </si>
  <si>
    <t xml:space="preserve">F:\images\20210330\plaque 1/@10 Anastrozole 0.8 µg_L/H10_03.tif </t>
  </si>
  <si>
    <t xml:space="preserve">F:\images\20210330\plaque 1/@10 Anastrozole 0.8 µg_L/ </t>
  </si>
  <si>
    <t xml:space="preserve"> 67.6226 </t>
  </si>
  <si>
    <t xml:space="preserve"> 5.4201 </t>
  </si>
  <si>
    <t xml:space="preserve"> 229223.667 </t>
  </si>
  <si>
    <t xml:space="preserve"> 232473.604 </t>
  </si>
  <si>
    <t xml:space="preserve">F:\images\20210330\plaque 1/@11 Anastrozole 4µg_L/A11_01.tif </t>
  </si>
  <si>
    <t xml:space="preserve"> 71.084 </t>
  </si>
  <si>
    <t xml:space="preserve">F:\images\20210330\plaque 1/@11 Anastrozole 4µg_L/A11_02.tif </t>
  </si>
  <si>
    <t xml:space="preserve"> 63.0968 </t>
  </si>
  <si>
    <t xml:space="preserve">F:\images\20210330\plaque 1/@11 Anastrozole 4µg_L/A11_03.tif </t>
  </si>
  <si>
    <t xml:space="preserve"> 63.6393 </t>
  </si>
  <si>
    <t xml:space="preserve">F:\images\20210330\plaque 1/@11 Anastrozole 4µg_L/B11_01.tif </t>
  </si>
  <si>
    <t xml:space="preserve"> 2660.477 </t>
  </si>
  <si>
    <t xml:space="preserve"> 63.561 </t>
  </si>
  <si>
    <t xml:space="preserve">F:\images\20210330\plaque 1/@11 Anastrozole 4µg_L/B11_02.tif </t>
  </si>
  <si>
    <t xml:space="preserve"> 67.5 </t>
  </si>
  <si>
    <t xml:space="preserve">F:\images\20210330\plaque 1/@11 Anastrozole 4µg_L/B11_03.tif </t>
  </si>
  <si>
    <t xml:space="preserve"> 65.5806 </t>
  </si>
  <si>
    <t xml:space="preserve">F:\images\20210330\plaque 1/@11 Anastrozole 4µg_L/C11_01.tif </t>
  </si>
  <si>
    <t xml:space="preserve">F:\images\20210330\plaque 1/@11 Anastrozole 4µg_L/C11_02.tif </t>
  </si>
  <si>
    <t xml:space="preserve"> 64.6923 </t>
  </si>
  <si>
    <t xml:space="preserve">F:\images\20210330\plaque 1/@11 Anastrozole 4µg_L/C11_03.tif </t>
  </si>
  <si>
    <t xml:space="preserve">F:\images\20210330\plaque 1/@11 Anastrozole 4µg_L/D11_01.tif </t>
  </si>
  <si>
    <t xml:space="preserve"> 67.1944 </t>
  </si>
  <si>
    <t xml:space="preserve">F:\images\20210330\plaque 1/@11 Anastrozole 4µg_L/D11_02.tif </t>
  </si>
  <si>
    <t xml:space="preserve">F:\images\20210330\plaque 1/@11 Anastrozole 4µg_L/D11_03.tif </t>
  </si>
  <si>
    <t>F:\images\20210330\plaque 1/@11 Anastrozole 4µg_L/E11_01- exclu.tif</t>
  </si>
  <si>
    <t xml:space="preserve">F:\images\20210330\plaque 1/@11 Anastrozole 4µg_L/E11_02.tif </t>
  </si>
  <si>
    <t xml:space="preserve"> 64.8283 </t>
  </si>
  <si>
    <t xml:space="preserve">F:\images\20210330\plaque 1/@11 Anastrozole 4µg_L/E11_03.tif </t>
  </si>
  <si>
    <t xml:space="preserve"> 5710.2922 </t>
  </si>
  <si>
    <t xml:space="preserve"> 71.6932 </t>
  </si>
  <si>
    <t xml:space="preserve">F:\images\20210330\plaque 1/@11 Anastrozole 4µg_L/F11_01.tif </t>
  </si>
  <si>
    <t xml:space="preserve"> 64.8947 </t>
  </si>
  <si>
    <t xml:space="preserve">F:\images\20210330\plaque 1/@11 Anastrozole 4µg_L/F11_02.tif </t>
  </si>
  <si>
    <t xml:space="preserve">F:\images\20210330\plaque 1/@11 Anastrozole 4µg_L/F11_03.tif </t>
  </si>
  <si>
    <t xml:space="preserve">F:\images\20210330\plaque 1/@11 Anastrozole 4µg_L/G11_01.tif </t>
  </si>
  <si>
    <t xml:space="preserve"> 63.8667 </t>
  </si>
  <si>
    <t xml:space="preserve">F:\images\20210330\plaque 1/@11 Anastrozole 4µg_L/G11_02.tif </t>
  </si>
  <si>
    <t xml:space="preserve"> 62.6667 </t>
  </si>
  <si>
    <t xml:space="preserve">F:\images\20210330\plaque 1/@11 Anastrozole 4µg_L/G11_03.tif </t>
  </si>
  <si>
    <t xml:space="preserve"> 63.2759 </t>
  </si>
  <si>
    <t>F:\images\20210330\plaque 1/@11 Anastrozole 4µg_L/H11_01- exclu.tif</t>
  </si>
  <si>
    <t xml:space="preserve">F:\images\20210330\plaque 1/@11 Anastrozole 4µg_L/H11_02.tif </t>
  </si>
  <si>
    <t xml:space="preserve">F:\images\20210330\plaque 1/@11 Anastrozole 4µg_L/H11_03.tif </t>
  </si>
  <si>
    <t xml:space="preserve"> 3568.9326 </t>
  </si>
  <si>
    <t xml:space="preserve"> 69.7879 </t>
  </si>
  <si>
    <t xml:space="preserve">F:\images\20210330\plaque 1/@11 Anastrozole 4µg_L/ </t>
  </si>
  <si>
    <t xml:space="preserve"> 67.1309 </t>
  </si>
  <si>
    <t xml:space="preserve"> 7.4269 </t>
  </si>
  <si>
    <t xml:space="preserve"> 330837.278 </t>
  </si>
  <si>
    <t>F:\images\20210330\plaque 1/@12 Anastrozole 20 µg_L/A12_01- exclu.tif</t>
  </si>
  <si>
    <t xml:space="preserve">F:\images\20210330\plaque 1/@12 Anastrozole 20 µg_L/A12_02.tif </t>
  </si>
  <si>
    <t xml:space="preserve"> 63.1071 </t>
  </si>
  <si>
    <t>F:\images\20210330\plaque 1/@12 Anastrozole 20 µg_L/A12_03- exclu.tif</t>
  </si>
  <si>
    <t xml:space="preserve">F:\images\20210330\plaque 1/@12 Anastrozole 20 µg_L/B12_01.tif </t>
  </si>
  <si>
    <t xml:space="preserve"> 21651.5245 </t>
  </si>
  <si>
    <t xml:space="preserve"> 72.2577 </t>
  </si>
  <si>
    <t>F:\images\20210330\plaque 1/@12 Anastrozole 20 µg_L/B12_02- exclu.tif</t>
  </si>
  <si>
    <t xml:space="preserve">F:\images\20210330\plaque 1/@12 Anastrozole 20 µg_L/B12_03.tif </t>
  </si>
  <si>
    <t xml:space="preserve"> 76.307 </t>
  </si>
  <si>
    <t xml:space="preserve">F:\images\20210330\plaque 1/@12 Anastrozole 20 µg_L/C12_01.tif </t>
  </si>
  <si>
    <t xml:space="preserve"> 64.197 </t>
  </si>
  <si>
    <t xml:space="preserve">F:\images\20210330\plaque 1/@12 Anastrozole 20 µg_L/C12_02.tif </t>
  </si>
  <si>
    <t xml:space="preserve"> 66.2051 </t>
  </si>
  <si>
    <t xml:space="preserve">F:\images\20210330\plaque 1/@12 Anastrozole 20 µg_L/C12_03.tif </t>
  </si>
  <si>
    <t xml:space="preserve"> 66.0609 </t>
  </si>
  <si>
    <t xml:space="preserve">F:\images\20210330\plaque 1/@12 Anastrozole 20 µg_L/D12_01.tif </t>
  </si>
  <si>
    <t xml:space="preserve"> 68.3197 </t>
  </si>
  <si>
    <t xml:space="preserve">F:\images\20210330\plaque 1/@12 Anastrozole 20 µg_L/D12_02.tif </t>
  </si>
  <si>
    <t xml:space="preserve"> 63.1549 </t>
  </si>
  <si>
    <t xml:space="preserve">F:\images\20210330\plaque 1/@12 Anastrozole 20 µg_L/D12_03.tif </t>
  </si>
  <si>
    <t xml:space="preserve"> 64.2184 </t>
  </si>
  <si>
    <t xml:space="preserve">F:\images\20210330\plaque 1/@12 Anastrozole 20 µg_L/E12_01.tif </t>
  </si>
  <si>
    <t xml:space="preserve">F:\images\20210330\plaque 1/@12 Anastrozole 20 µg_L/E12_02.tif </t>
  </si>
  <si>
    <t xml:space="preserve"> 65.3333 </t>
  </si>
  <si>
    <t xml:space="preserve">F:\images\20210330\plaque 1/@12 Anastrozole 20 µg_L/E12_03.tif </t>
  </si>
  <si>
    <t xml:space="preserve"> 66.2 </t>
  </si>
  <si>
    <t>F:\images\20210330\plaque 1/@12 Anastrozole 20 µg_L/F12_01- exclu.tif</t>
  </si>
  <si>
    <t xml:space="preserve">F:\images\20210330\plaque 1/@12 Anastrozole 20 µg_L/F12_02.tif </t>
  </si>
  <si>
    <t xml:space="preserve"> 4499.0181 </t>
  </si>
  <si>
    <t xml:space="preserve"> 69.2404 </t>
  </si>
  <si>
    <t xml:space="preserve">F:\images\20210330\plaque 1/@12 Anastrozole 20 µg_L/F12_03.tif </t>
  </si>
  <si>
    <t xml:space="preserve"> 66.0755 </t>
  </si>
  <si>
    <t xml:space="preserve">F:\images\20210330\plaque 1/@12 Anastrozole 20 µg_L/G12_01.tif </t>
  </si>
  <si>
    <t xml:space="preserve"> 7246.0147 </t>
  </si>
  <si>
    <t xml:space="preserve"> 70.2328 </t>
  </si>
  <si>
    <t xml:space="preserve">F:\images\20210330\plaque 1/@12 Anastrozole 20 µg_L/G12_02.tif </t>
  </si>
  <si>
    <t xml:space="preserve"> 7765.1322 </t>
  </si>
  <si>
    <t xml:space="preserve"> 70.0696 </t>
  </si>
  <si>
    <t xml:space="preserve">F:\images\20210330\plaque 1/@12 Anastrozole 20 µg_L/G12_03.tif </t>
  </si>
  <si>
    <t xml:space="preserve"> 5515.6231 </t>
  </si>
  <si>
    <t xml:space="preserve"> 73.4353 </t>
  </si>
  <si>
    <t xml:space="preserve">F:\images\20210330\plaque 1/@12 Anastrozole 20 µg_L/H12_01.tif </t>
  </si>
  <si>
    <t xml:space="preserve"> 12112.741 </t>
  </si>
  <si>
    <t xml:space="preserve"> 90.3929 </t>
  </si>
  <si>
    <t xml:space="preserve">F:\images\20210330\plaque 1/@12 Anastrozole 20 µg_L/H12_02.tif </t>
  </si>
  <si>
    <t xml:space="preserve"> 13778.2429 </t>
  </si>
  <si>
    <t xml:space="preserve"> 78.8053 </t>
  </si>
  <si>
    <t xml:space="preserve">F:\images\20210330\plaque 1/@12 Anastrozole 20 µg_L/H12_03.tif </t>
  </si>
  <si>
    <t xml:space="preserve"> 10252.5701 </t>
  </si>
  <si>
    <t xml:space="preserve"> 73.1878 </t>
  </si>
  <si>
    <t xml:space="preserve">F:\images\20210330\plaque 1/@12 Anastrozole 20 µg_L/ </t>
  </si>
  <si>
    <t xml:space="preserve"> 69.5422 </t>
  </si>
  <si>
    <t xml:space="preserve"> 6.3622 </t>
  </si>
  <si>
    <t xml:space="preserve"> 408637.702 </t>
  </si>
  <si>
    <t xml:space="preserve">F:\images\20210330\plaque 2/@01 Testo 30/A1_01.tif </t>
  </si>
  <si>
    <t xml:space="preserve"> 37052.0095 </t>
  </si>
  <si>
    <t xml:space="preserve"> 73.777 </t>
  </si>
  <si>
    <t xml:space="preserve">F:\images\20210330\plaque 2/@01 Testo 30/A1_02.tif </t>
  </si>
  <si>
    <t xml:space="preserve"> 39063.5897 </t>
  </si>
  <si>
    <t xml:space="preserve"> 73.8062 </t>
  </si>
  <si>
    <t xml:space="preserve">F:\images\20210330\plaque 2/@01 Testo 30/A1_03.tif </t>
  </si>
  <si>
    <t xml:space="preserve"> 37657.6465 </t>
  </si>
  <si>
    <t xml:space="preserve"> 72.4664 </t>
  </si>
  <si>
    <t xml:space="preserve">F:\images\20210330\plaque 2/@01 Testo 30/B1_01.tif </t>
  </si>
  <si>
    <t xml:space="preserve"> 19164.0866 </t>
  </si>
  <si>
    <t xml:space="preserve"> 66.7065 </t>
  </si>
  <si>
    <t xml:space="preserve">F:\images\20210330\plaque 2/@01 Testo 30/B1_02.tif </t>
  </si>
  <si>
    <t xml:space="preserve"> 18039.3321 </t>
  </si>
  <si>
    <t xml:space="preserve"> 66.1379 </t>
  </si>
  <si>
    <t xml:space="preserve">F:\images\20210330\plaque 2/@01 Testo 30/B1_03.tif </t>
  </si>
  <si>
    <t xml:space="preserve"> 18147.4816 </t>
  </si>
  <si>
    <t xml:space="preserve"> 66.5924 </t>
  </si>
  <si>
    <t xml:space="preserve">F:\images\20210330\plaque 2/@01 Testo 30/C1_01.tif </t>
  </si>
  <si>
    <t xml:space="preserve"> 14081.0614 </t>
  </si>
  <si>
    <t xml:space="preserve"> 65.2842 </t>
  </si>
  <si>
    <t xml:space="preserve">F:\images\20210330\plaque 2/@01 Testo 30/C1_02.tif </t>
  </si>
  <si>
    <t xml:space="preserve"> 15573.5241 </t>
  </si>
  <si>
    <t xml:space="preserve"> 66.9125 </t>
  </si>
  <si>
    <t xml:space="preserve">F:\images\20210330\plaque 2/@01 Testo 30/C1_03.tif </t>
  </si>
  <si>
    <t xml:space="preserve"> 67.418 </t>
  </si>
  <si>
    <t xml:space="preserve">F:\images\20210330\plaque 2/@01 Testo 30/D1_01.tif </t>
  </si>
  <si>
    <t xml:space="preserve"> 31038.8988 </t>
  </si>
  <si>
    <t xml:space="preserve"> 71.3882 </t>
  </si>
  <si>
    <t xml:space="preserve">F:\images\20210330\plaque 2/@01 Testo 30/D1_02.tif </t>
  </si>
  <si>
    <t xml:space="preserve"> 30714.4504 </t>
  </si>
  <si>
    <t xml:space="preserve"> 70.4901 </t>
  </si>
  <si>
    <t xml:space="preserve">F:\images\20210330\plaque 2/@01 Testo 30/D1_03.tif </t>
  </si>
  <si>
    <t xml:space="preserve"> 27080.6281 </t>
  </si>
  <si>
    <t xml:space="preserve"> 70.4505 </t>
  </si>
  <si>
    <t xml:space="preserve">F:\images\20210330\plaque 2/@01 Testo 30/E1_01.tif </t>
  </si>
  <si>
    <t xml:space="preserve"> 41161.6895 </t>
  </si>
  <si>
    <t xml:space="preserve"> 72.6805 </t>
  </si>
  <si>
    <t xml:space="preserve">F:\images\20210330\plaque 2/@01 Testo 30/E1_02.tif </t>
  </si>
  <si>
    <t xml:space="preserve"> 37571.127 </t>
  </si>
  <si>
    <t xml:space="preserve"> 69.8987 </t>
  </si>
  <si>
    <t xml:space="preserve">F:\images\20210330\plaque 2/@01 Testo 30/E1_03.tif </t>
  </si>
  <si>
    <t xml:space="preserve"> 34045.4541 </t>
  </si>
  <si>
    <t xml:space="preserve"> 70.8145 </t>
  </si>
  <si>
    <t xml:space="preserve">F:\images\20210330\plaque 2/@01 Testo 30/F1_01.tif </t>
  </si>
  <si>
    <t xml:space="preserve"> 6078.0004 </t>
  </si>
  <si>
    <t xml:space="preserve"> 65.121 </t>
  </si>
  <si>
    <t xml:space="preserve">F:\images\20210330\plaque 2/@01 Testo 30/F1_02.tif </t>
  </si>
  <si>
    <t xml:space="preserve"> 4650.4273 </t>
  </si>
  <si>
    <t xml:space="preserve"> 64.5953 </t>
  </si>
  <si>
    <t xml:space="preserve">F:\images\20210330\plaque 2/@01 Testo 30/F1_03.tif </t>
  </si>
  <si>
    <t xml:space="preserve"> 65.4019 </t>
  </si>
  <si>
    <t xml:space="preserve">F:\images\20210330\plaque 2/@01 Testo 30/G1_01.tif </t>
  </si>
  <si>
    <t xml:space="preserve"> 62748.3243 </t>
  </si>
  <si>
    <t xml:space="preserve"> 76.8356 </t>
  </si>
  <si>
    <t xml:space="preserve">F:\images\20210330\plaque 2/@01 Testo 30/G1_02.tif </t>
  </si>
  <si>
    <t xml:space="preserve"> 55480.6797 </t>
  </si>
  <si>
    <t xml:space="preserve"> 78.9832 </t>
  </si>
  <si>
    <t xml:space="preserve">F:\images\20210330\plaque 2/@01 Testo 30/G1_03.tif </t>
  </si>
  <si>
    <t xml:space="preserve"> 59395.6907 </t>
  </si>
  <si>
    <t xml:space="preserve"> 75.9013 </t>
  </si>
  <si>
    <t xml:space="preserve">F:\images\20210330\plaque 2/@01 Testo 30/H1_01.tif </t>
  </si>
  <si>
    <t xml:space="preserve"> 21175.6668 </t>
  </si>
  <si>
    <t xml:space="preserve"> 72.7845 </t>
  </si>
  <si>
    <t xml:space="preserve">F:\images\20210330\plaque 2/@01 Testo 30/H1_02.tif </t>
  </si>
  <si>
    <t xml:space="preserve"> 19834.6134 </t>
  </si>
  <si>
    <t xml:space="preserve"> 67.6347 </t>
  </si>
  <si>
    <t xml:space="preserve">F:\images\20210330\plaque 2/@01 Testo 30/H1_03.tif </t>
  </si>
  <si>
    <t xml:space="preserve"> 19272.2361 </t>
  </si>
  <si>
    <t xml:space="preserve"> 72.2514 </t>
  </si>
  <si>
    <t xml:space="preserve">F:\images\20210330\plaque 2/@01 Testo 30/ </t>
  </si>
  <si>
    <t xml:space="preserve"> 70.1805 </t>
  </si>
  <si>
    <t xml:space="preserve"> 4.0374 </t>
  </si>
  <si>
    <t xml:space="preserve"> 2011259.38 </t>
  </si>
  <si>
    <t xml:space="preserve"> 1280076.72 </t>
  </si>
  <si>
    <t xml:space="preserve">F:\images\20210330\plaque 2/@02 Testo 30/A2_01.tif </t>
  </si>
  <si>
    <t xml:space="preserve"> 21089.1473 </t>
  </si>
  <si>
    <t xml:space="preserve"> 70.9456 </t>
  </si>
  <si>
    <t xml:space="preserve">F:\images\20210330\plaque 2/@02 Testo 30/A2_02.tif </t>
  </si>
  <si>
    <t xml:space="preserve"> 20396.9906 </t>
  </si>
  <si>
    <t xml:space="preserve"> 71.3743 </t>
  </si>
  <si>
    <t xml:space="preserve">F:\images\20210330\plaque 2/@02 Testo 30/A2_03.tif </t>
  </si>
  <si>
    <t xml:space="preserve"> 13648.4635 </t>
  </si>
  <si>
    <t xml:space="preserve"> 66.1109 </t>
  </si>
  <si>
    <t xml:space="preserve">F:\images\20210330\plaque 2/@02 Testo 30/B2_01.tif </t>
  </si>
  <si>
    <t xml:space="preserve"> 65.3462 </t>
  </si>
  <si>
    <t xml:space="preserve">F:\images\20210330\plaque 2/@02 Testo 30/B2_02.tif </t>
  </si>
  <si>
    <t xml:space="preserve"> 62.0312 </t>
  </si>
  <si>
    <t xml:space="preserve">F:\images\20210330\plaque 2/@02 Testo 30/B2_03.tif </t>
  </si>
  <si>
    <t xml:space="preserve"> 64.6875 </t>
  </si>
  <si>
    <t xml:space="preserve">F:\images\20210330\plaque 2/@02 Testo 30/C2_01.tif </t>
  </si>
  <si>
    <t xml:space="preserve"> 40858.871 </t>
  </si>
  <si>
    <t xml:space="preserve"> 76.2287 </t>
  </si>
  <si>
    <t xml:space="preserve">F:\images\20210330\plaque 2/@02 Testo 30/C2_02.tif </t>
  </si>
  <si>
    <t xml:space="preserve"> 37614.3868 </t>
  </si>
  <si>
    <t xml:space="preserve"> 75.3571 </t>
  </si>
  <si>
    <t xml:space="preserve">F:\images\20210330\plaque 2/@02 Testo 30/C2_03.tif </t>
  </si>
  <si>
    <t xml:space="preserve"> 41572.6575 </t>
  </si>
  <si>
    <t xml:space="preserve"> 75.5042 </t>
  </si>
  <si>
    <t xml:space="preserve">F:\images\20210330\plaque 2/@02 Testo 30/D2_01.tif </t>
  </si>
  <si>
    <t xml:space="preserve"> 19228.9763 </t>
  </si>
  <si>
    <t xml:space="preserve"> 66.1912 </t>
  </si>
  <si>
    <t xml:space="preserve">F:\images\20210330\plaque 2/@02 Testo 30/D2_02.tif </t>
  </si>
  <si>
    <t xml:space="preserve"> 15313.9654 </t>
  </si>
  <si>
    <t xml:space="preserve"> 66.3376 </t>
  </si>
  <si>
    <t xml:space="preserve">F:\images\20210330\plaque 2/@02 Testo 30/D2_03.tif </t>
  </si>
  <si>
    <t xml:space="preserve"> 12631.8585 </t>
  </si>
  <si>
    <t xml:space="preserve"> 64.9452 </t>
  </si>
  <si>
    <t xml:space="preserve">F:\images\20210330\plaque 2/@02 Testo 30/E2_01.tif </t>
  </si>
  <si>
    <t xml:space="preserve"> 60433.9256 </t>
  </si>
  <si>
    <t xml:space="preserve"> 76.8987 </t>
  </si>
  <si>
    <t xml:space="preserve">F:\images\20210330\plaque 2/@02 Testo 30/E2_02.tif </t>
  </si>
  <si>
    <t xml:space="preserve"> 59828.2885 </t>
  </si>
  <si>
    <t xml:space="preserve"> 79.8847 </t>
  </si>
  <si>
    <t xml:space="preserve">F:\images\20210330\plaque 2/@02 Testo 30/E2_03.tif </t>
  </si>
  <si>
    <t xml:space="preserve"> 56194.4662 </t>
  </si>
  <si>
    <t xml:space="preserve"> 73.796 </t>
  </si>
  <si>
    <t xml:space="preserve">F:\images\20210330\plaque 2/@02 Testo 30/F2_01.tif </t>
  </si>
  <si>
    <t xml:space="preserve"> 78.1615 </t>
  </si>
  <si>
    <t xml:space="preserve">F:\images\20210330\plaque 2/@02 Testo 30/F2_02.tif </t>
  </si>
  <si>
    <t xml:space="preserve"> 30800.97 </t>
  </si>
  <si>
    <t xml:space="preserve"> 76.0541 </t>
  </si>
  <si>
    <t xml:space="preserve">F:\images\20210330\plaque 2/@02 Testo 30/F2_03.tif </t>
  </si>
  <si>
    <t xml:space="preserve"> 23901.0336 </t>
  </si>
  <si>
    <t xml:space="preserve"> 78.4145 </t>
  </si>
  <si>
    <t xml:space="preserve">F:\images\20210330\plaque 2/@02 Testo 30/G2_01.tif </t>
  </si>
  <si>
    <t xml:space="preserve"> 66.3933 </t>
  </si>
  <si>
    <t xml:space="preserve">F:\images\20210330\plaque 2/@02 Testo 30/G2_02.tif </t>
  </si>
  <si>
    <t xml:space="preserve"> 4628.7975 </t>
  </si>
  <si>
    <t xml:space="preserve"> 66.514 </t>
  </si>
  <si>
    <t xml:space="preserve">F:\images\20210330\plaque 2/@02 Testo 30/G2_03.tif </t>
  </si>
  <si>
    <t xml:space="preserve"> 65.2956 </t>
  </si>
  <si>
    <t xml:space="preserve">F:\images\20210330\plaque 2/@02 Testo 30/H2_01.tif </t>
  </si>
  <si>
    <t xml:space="preserve"> 9387.3743 </t>
  </si>
  <si>
    <t xml:space="preserve"> 67.3226 </t>
  </si>
  <si>
    <t xml:space="preserve">F:\images\20210330\plaque 2/@02 Testo 30/H2_02.tif </t>
  </si>
  <si>
    <t xml:space="preserve"> 5645.4025 </t>
  </si>
  <si>
    <t xml:space="preserve"> 66.4023 </t>
  </si>
  <si>
    <t>F:\images\20210330\plaque 2/@02 Testo 30/H2_03- exclu.tif</t>
  </si>
  <si>
    <t xml:space="preserve">F:\images\20210330\plaque 2/@02 Testo 30/ </t>
  </si>
  <si>
    <t xml:space="preserve"> 70.1314 </t>
  </si>
  <si>
    <t xml:space="preserve"> 5.645 </t>
  </si>
  <si>
    <t xml:space="preserve"> 1601105.17 </t>
  </si>
  <si>
    <t xml:space="preserve"> 1505661.8 </t>
  </si>
  <si>
    <t xml:space="preserve">F:\images\20210330\plaque 2/@03 Testo+ EE2 64/A3_01.tif </t>
  </si>
  <si>
    <t xml:space="preserve"> 44708.9922 </t>
  </si>
  <si>
    <t xml:space="preserve"> 82.6594 </t>
  </si>
  <si>
    <t xml:space="preserve">F:\images\20210330\plaque 2/@03 Testo+ EE2 64/A3_02.tif </t>
  </si>
  <si>
    <t xml:space="preserve"> 43822.1665 </t>
  </si>
  <si>
    <t xml:space="preserve"> 75.5523 </t>
  </si>
  <si>
    <t xml:space="preserve">F:\images\20210330\plaque 2/@03 Testo+ EE2 64/A3_03.tif </t>
  </si>
  <si>
    <t xml:space="preserve"> 42654.1522 </t>
  </si>
  <si>
    <t xml:space="preserve"> 80.0274 </t>
  </si>
  <si>
    <t xml:space="preserve">F:\images\20210330\plaque 2/@03 Testo+ EE2 64/B3_01.tif </t>
  </si>
  <si>
    <t xml:space="preserve"> 15595.154 </t>
  </si>
  <si>
    <t xml:space="preserve"> 69.362 </t>
  </si>
  <si>
    <t xml:space="preserve">F:\images\20210330\plaque 2/@03 Testo+ EE2 64/B3_02.tif </t>
  </si>
  <si>
    <t xml:space="preserve"> 13172.6058 </t>
  </si>
  <si>
    <t xml:space="preserve"> 68.9688 </t>
  </si>
  <si>
    <t xml:space="preserve">F:\images\20210330\plaque 2/@03 Testo+ EE2 64/B3_03.tif </t>
  </si>
  <si>
    <t xml:space="preserve"> 13215.8656 </t>
  </si>
  <si>
    <t xml:space="preserve"> 67.8167 </t>
  </si>
  <si>
    <t xml:space="preserve">F:\images\20210330\plaque 2/@03 Testo+ EE2 64/C3_01.tif </t>
  </si>
  <si>
    <t xml:space="preserve"> 47066.6507 </t>
  </si>
  <si>
    <t xml:space="preserve"> 79.54 </t>
  </si>
  <si>
    <t xml:space="preserve">F:\images\20210330\plaque 2/@03 Testo+ EE2 64/C3_02.tif </t>
  </si>
  <si>
    <t xml:space="preserve"> 54961.5623 </t>
  </si>
  <si>
    <t xml:space="preserve"> 75.8827 </t>
  </si>
  <si>
    <t xml:space="preserve">F:\images\20210330\plaque 2/@03 Testo+ EE2 64/C3_03.tif </t>
  </si>
  <si>
    <t xml:space="preserve"> 54161.2562 </t>
  </si>
  <si>
    <t xml:space="preserve"> 75.2875 </t>
  </si>
  <si>
    <t xml:space="preserve">F:\images\20210330\plaque 2/@03 Testo+ EE2 64/D3_01.tif </t>
  </si>
  <si>
    <t xml:space="preserve"> 50657.2132 </t>
  </si>
  <si>
    <t xml:space="preserve"> 76.4086 </t>
  </si>
  <si>
    <t xml:space="preserve">F:\images\20210330\plaque 2/@03 Testo+ EE2 64/D3_02.tif </t>
  </si>
  <si>
    <t xml:space="preserve"> 58379.0856 </t>
  </si>
  <si>
    <t xml:space="preserve"> 73.7584 </t>
  </si>
  <si>
    <t xml:space="preserve">F:\images\20210330\plaque 2/@03 Testo+ EE2 64/D3_03.tif </t>
  </si>
  <si>
    <t xml:space="preserve"> 53663.7686 </t>
  </si>
  <si>
    <t xml:space="preserve"> 73.4845 </t>
  </si>
  <si>
    <t xml:space="preserve">F:\images\20210330\plaque 2/@03 Testo+ EE2 64/E3_01.tif </t>
  </si>
  <si>
    <t xml:space="preserve"> 32466.4718 </t>
  </si>
  <si>
    <t xml:space="preserve"> 71.3011 </t>
  </si>
  <si>
    <t xml:space="preserve">F:\images\20210330\plaque 2/@03 Testo+ EE2 64/E3_02.tif </t>
  </si>
  <si>
    <t xml:space="preserve"> 30022.2937 </t>
  </si>
  <si>
    <t xml:space="preserve">F:\images\20210330\plaque 2/@03 Testo+ EE2 64/E3_03.tif </t>
  </si>
  <si>
    <t xml:space="preserve"> 28616.3506 </t>
  </si>
  <si>
    <t xml:space="preserve"> 71.4407 </t>
  </si>
  <si>
    <t xml:space="preserve">F:\images\20210330\plaque 2/@03 Testo+ EE2 64/F3_01.tif </t>
  </si>
  <si>
    <t xml:space="preserve"> 69.3206 </t>
  </si>
  <si>
    <t xml:space="preserve">F:\images\20210330\plaque 2/@03 Testo+ EE2 64/F3_02.tif </t>
  </si>
  <si>
    <t xml:space="preserve"> 21154.0369 </t>
  </si>
  <si>
    <t xml:space="preserve"> 69.2843 </t>
  </si>
  <si>
    <t xml:space="preserve">F:\images\20210330\plaque 2/@03 Testo+ EE2 64/F3_03.tif </t>
  </si>
  <si>
    <t xml:space="preserve"> 14881.3675 </t>
  </si>
  <si>
    <t xml:space="preserve"> 70.9549 </t>
  </si>
  <si>
    <t xml:space="preserve">F:\images\20210330\plaque 2/@03 Testo+ EE2 64/G3_01.tif </t>
  </si>
  <si>
    <t xml:space="preserve"> 10598.6484 </t>
  </si>
  <si>
    <t xml:space="preserve"> 63.9122 </t>
  </si>
  <si>
    <t xml:space="preserve">F:\images\20210330\plaque 2/@03 Testo+ EE2 64/G3_02.tif </t>
  </si>
  <si>
    <t xml:space="preserve"> 28248.6424 </t>
  </si>
  <si>
    <t xml:space="preserve"> 72.4074 </t>
  </si>
  <si>
    <t xml:space="preserve">F:\images\20210330\plaque 2/@03 Testo+ EE2 64/G3_03.tif </t>
  </si>
  <si>
    <t xml:space="preserve"> 26107.2828 </t>
  </si>
  <si>
    <t xml:space="preserve"> 75.7954 </t>
  </si>
  <si>
    <t xml:space="preserve">F:\images\20210330\plaque 2/@03 Testo+ EE2 64/H3_01.tif </t>
  </si>
  <si>
    <t xml:space="preserve"> 26885.959 </t>
  </si>
  <si>
    <t xml:space="preserve"> 76.9895 </t>
  </si>
  <si>
    <t xml:space="preserve">F:\images\20210330\plaque 2/@03 Testo+ EE2 64/H3_02.tif </t>
  </si>
  <si>
    <t xml:space="preserve"> 26085.6529 </t>
  </si>
  <si>
    <t xml:space="preserve"> 75.0663 </t>
  </si>
  <si>
    <t xml:space="preserve">F:\images\20210330\plaque 2/@03 Testo+ EE2 64/H3_03.tif </t>
  </si>
  <si>
    <t xml:space="preserve"> 29330.1371 </t>
  </si>
  <si>
    <t xml:space="preserve"> 75.0996 </t>
  </si>
  <si>
    <t xml:space="preserve">F:\images\20210330\plaque 2/@03 Testo+ EE2 64/ </t>
  </si>
  <si>
    <t xml:space="preserve"> 73.43 </t>
  </si>
  <si>
    <t xml:space="preserve"> 4.2888 </t>
  </si>
  <si>
    <t xml:space="preserve"> 2469730.17 </t>
  </si>
  <si>
    <t xml:space="preserve">F:\images\20210330\plaque 2/@04 Testo+ FAD/A4_01.tif </t>
  </si>
  <si>
    <t xml:space="preserve"> 67.3204 </t>
  </si>
  <si>
    <t xml:space="preserve">F:\images\20210330\plaque 2/@04 Testo+ FAD/A4_02.tif </t>
  </si>
  <si>
    <t xml:space="preserve"> 1578.9823 </t>
  </si>
  <si>
    <t xml:space="preserve"> 66.5479 </t>
  </si>
  <si>
    <t xml:space="preserve">F:\images\20210330\plaque 2/@04 Testo+ FAD/A4_03.tif </t>
  </si>
  <si>
    <t xml:space="preserve"> 66.2171 </t>
  </si>
  <si>
    <t xml:space="preserve">F:\images\20210330\plaque 2/@04 Testo+ FAD/B4_01.tif </t>
  </si>
  <si>
    <t xml:space="preserve">F:\images\20210330\plaque 2/@04 Testo+ FAD/B4_02.tif </t>
  </si>
  <si>
    <t xml:space="preserve"> 67.1765 </t>
  </si>
  <si>
    <t xml:space="preserve">F:\images\20210330\plaque 2/@04 Testo+ FAD/B4_03.tif </t>
  </si>
  <si>
    <t xml:space="preserve">F:\images\20210330\plaque 2/@04 Testo+ FAD/C4_01.tif </t>
  </si>
  <si>
    <t xml:space="preserve"> 71.5207 </t>
  </si>
  <si>
    <t xml:space="preserve">F:\images\20210330\plaque 2/@04 Testo+ FAD/C4_02.tif </t>
  </si>
  <si>
    <t xml:space="preserve"> 66.7021 </t>
  </si>
  <si>
    <t xml:space="preserve">F:\images\20210330\plaque 2/@04 Testo+ FAD/C4_03.tif </t>
  </si>
  <si>
    <t xml:space="preserve"> 67.8586 </t>
  </si>
  <si>
    <t xml:space="preserve">F:\images\20210330\plaque 2/@04 Testo+ FAD/D4_01.tif </t>
  </si>
  <si>
    <t xml:space="preserve"> 5364.2139 </t>
  </si>
  <si>
    <t xml:space="preserve"> 71.2903 </t>
  </si>
  <si>
    <t xml:space="preserve">F:\images\20210330\plaque 2/@04 Testo+ FAD/D4_02.tif </t>
  </si>
  <si>
    <t xml:space="preserve"> 8327.5094 </t>
  </si>
  <si>
    <t xml:space="preserve"> 74.5247 </t>
  </si>
  <si>
    <t xml:space="preserve">F:\images\20210330\plaque 2/@04 Testo+ FAD/D4_03.tif </t>
  </si>
  <si>
    <t xml:space="preserve"> 68.2762 </t>
  </si>
  <si>
    <t xml:space="preserve">F:\images\20210330\plaque 2/@04 Testo+ FAD/E4_01.tif </t>
  </si>
  <si>
    <t xml:space="preserve"> 3763.6017 </t>
  </si>
  <si>
    <t xml:space="preserve"> 69.3621 </t>
  </si>
  <si>
    <t xml:space="preserve">F:\images\20210330\plaque 2/@04 Testo+ FAD/E4_02.tif </t>
  </si>
  <si>
    <t xml:space="preserve"> 68.8985 </t>
  </si>
  <si>
    <t xml:space="preserve">F:\images\20210330\plaque 2/@04 Testo+ FAD/E4_03.tif </t>
  </si>
  <si>
    <t xml:space="preserve"> 3201.2244 </t>
  </si>
  <si>
    <t xml:space="preserve"> 68.6892 </t>
  </si>
  <si>
    <t xml:space="preserve">F:\images\20210330\plaque 2/@04 Testo+ FAD/F4_01.tif </t>
  </si>
  <si>
    <t xml:space="preserve"> 62.8261 </t>
  </si>
  <si>
    <t xml:space="preserve">F:\images\20210330\plaque 2/@04 Testo+ FAD/F4_02.tif </t>
  </si>
  <si>
    <t xml:space="preserve"> 63.1818 </t>
  </si>
  <si>
    <t xml:space="preserve">F:\images\20210330\plaque 2/@04 Testo+ FAD/F4_03.tif </t>
  </si>
  <si>
    <t xml:space="preserve">F:\images\20210330\plaque 2/@04 Testo+ FAD/G4_01.tif </t>
  </si>
  <si>
    <t xml:space="preserve"> 62.3333 </t>
  </si>
  <si>
    <t>F:\images\20210330\plaque 2/@04 Testo+ FAD/G4_02- exclu.tif</t>
  </si>
  <si>
    <t xml:space="preserve">F:\images\20210330\plaque 2/@04 Testo+ FAD/G4_03.tif </t>
  </si>
  <si>
    <t xml:space="preserve"> 63.2778 </t>
  </si>
  <si>
    <t xml:space="preserve">F:\images\20210330\plaque 2/@04 Testo+ FAD/H4_01.tif </t>
  </si>
  <si>
    <t xml:space="preserve"> 64.2069 </t>
  </si>
  <si>
    <t xml:space="preserve">F:\images\20210330\plaque 2/@04 Testo+ FAD/H4_02.tif </t>
  </si>
  <si>
    <t xml:space="preserve">F:\images\20210330\plaque 2/@04 Testo+ FAD/H4_03.tif </t>
  </si>
  <si>
    <t xml:space="preserve"> 64.5714 </t>
  </si>
  <si>
    <t xml:space="preserve">F:\images\20210330\plaque 2/@04 Testo+ FAD/ </t>
  </si>
  <si>
    <t xml:space="preserve"> 66.5971 </t>
  </si>
  <si>
    <t xml:space="preserve"> 3.0956 </t>
  </si>
  <si>
    <t xml:space="preserve"> 147945.875 </t>
  </si>
  <si>
    <t xml:space="preserve"> 160376.229 </t>
  </si>
  <si>
    <t xml:space="preserve">F:\images\20210330\plaque 2/@05 Anastrozole 0.032 µg_L Dopé/A5_01.tif </t>
  </si>
  <si>
    <t xml:space="preserve"> 31406.607 </t>
  </si>
  <si>
    <t xml:space="preserve"> 71.8223 </t>
  </si>
  <si>
    <t xml:space="preserve">F:\images\20210330\plaque 2/@05 Anastrozole 0.032 µg_L Dopé/A5_02.tif </t>
  </si>
  <si>
    <t xml:space="preserve"> 25436.7561 </t>
  </si>
  <si>
    <t xml:space="preserve"> 69.1862 </t>
  </si>
  <si>
    <t xml:space="preserve">F:\images\20210330\plaque 2/@05 Anastrozole 0.032 µg_L Dopé/A5_03.tif </t>
  </si>
  <si>
    <t xml:space="preserve"> 26994.1085 </t>
  </si>
  <si>
    <t xml:space="preserve"> 71.4135 </t>
  </si>
  <si>
    <t xml:space="preserve">F:\images\20210330\plaque 2/@05 Anastrozole 0.032 µg_L Dopé/B5_01.tif </t>
  </si>
  <si>
    <t xml:space="preserve"> 49099.8608 </t>
  </si>
  <si>
    <t xml:space="preserve"> 72.222 </t>
  </si>
  <si>
    <t xml:space="preserve">F:\images\20210330\plaque 2/@05 Anastrozole 0.032 µg_L Dopé/B5_02.tif </t>
  </si>
  <si>
    <t xml:space="preserve"> 41983.6255 </t>
  </si>
  <si>
    <t xml:space="preserve"> 71.9964 </t>
  </si>
  <si>
    <t xml:space="preserve">F:\images\20210330\plaque 2/@05 Anastrozole 0.032 µg_L Dopé/B5_03.tif </t>
  </si>
  <si>
    <t xml:space="preserve"> 43043.4903 </t>
  </si>
  <si>
    <t xml:space="preserve"> 72.503 </t>
  </si>
  <si>
    <t xml:space="preserve">F:\images\20210330\plaque 2/@05 Anastrozole 0.032 µg_L Dopé/C5_01.tif </t>
  </si>
  <si>
    <t xml:space="preserve"> 49813.6473 </t>
  </si>
  <si>
    <t xml:space="preserve"> 73.8971 </t>
  </si>
  <si>
    <t xml:space="preserve">F:\images\20210330\plaque 2/@05 Anastrozole 0.032 µg_L Dopé/C5_02.tif </t>
  </si>
  <si>
    <t xml:space="preserve"> 73.624 </t>
  </si>
  <si>
    <t xml:space="preserve">F:\images\20210330\plaque 2/@05 Anastrozole 0.032 µg_L Dopé/C5_03.tif </t>
  </si>
  <si>
    <t xml:space="preserve"> 47326.2094 </t>
  </si>
  <si>
    <t xml:space="preserve"> 74.7354 </t>
  </si>
  <si>
    <t xml:space="preserve">F:\images\20210330\plaque 2/@05 Anastrozole 0.032 µg_L Dopé/D5_01.tif </t>
  </si>
  <si>
    <t xml:space="preserve"> 57427.3702 </t>
  </si>
  <si>
    <t xml:space="preserve"> 74.9122 </t>
  </si>
  <si>
    <t xml:space="preserve">F:\images\20210330\plaque 2/@05 Anastrozole 0.032 µg_L Dopé/D5_02.tif </t>
  </si>
  <si>
    <t xml:space="preserve"> 57600.4094 </t>
  </si>
  <si>
    <t xml:space="preserve"> 73.9925 </t>
  </si>
  <si>
    <t xml:space="preserve">F:\images\20210330\plaque 2/@05 Anastrozole 0.032 µg_L Dopé/D5_03.tif </t>
  </si>
  <si>
    <t xml:space="preserve"> 51241.2204 </t>
  </si>
  <si>
    <t xml:space="preserve"> 72.7737 </t>
  </si>
  <si>
    <t xml:space="preserve">F:\images\20210330\plaque 2/@05 Anastrozole 0.032 µg_L Dopé/E5_01.tif </t>
  </si>
  <si>
    <t xml:space="preserve"> 11896.442 </t>
  </si>
  <si>
    <t xml:space="preserve"> 66.06 </t>
  </si>
  <si>
    <t xml:space="preserve">F:\images\20210330\plaque 2/@05 Anastrozole 0.032 µg_L Dopé/E5_02.tif </t>
  </si>
  <si>
    <t xml:space="preserve"> 9106.1856 </t>
  </si>
  <si>
    <t xml:space="preserve"> 65.0071 </t>
  </si>
  <si>
    <t xml:space="preserve">F:\images\20210330\plaque 2/@05 Anastrozole 0.032 µg_L Dopé/E5_03.tif </t>
  </si>
  <si>
    <t xml:space="preserve"> 15551.8942 </t>
  </si>
  <si>
    <t xml:space="preserve"> 65.879 </t>
  </si>
  <si>
    <t xml:space="preserve">F:\images\20210330\plaque 2/@05 Anastrozole 0.032 µg_L Dopé/F5_01.tif </t>
  </si>
  <si>
    <t xml:space="preserve"> 16481.9797 </t>
  </si>
  <si>
    <t xml:space="preserve"> 66.3386 </t>
  </si>
  <si>
    <t xml:space="preserve">F:\images\20210330\plaque 2/@05 Anastrozole 0.032 µg_L Dopé/F5_02.tif </t>
  </si>
  <si>
    <t xml:space="preserve"> 19099.197 </t>
  </si>
  <si>
    <t xml:space="preserve"> 65.9298 </t>
  </si>
  <si>
    <t xml:space="preserve">F:\images\20210330\plaque 2/@05 Anastrozole 0.032 µg_L Dopé/F5_03.tif </t>
  </si>
  <si>
    <t xml:space="preserve"> 16633.389 </t>
  </si>
  <si>
    <t xml:space="preserve"> 67.498 </t>
  </si>
  <si>
    <t xml:space="preserve">F:\images\20210330\plaque 2/@05 Anastrozole 0.032 µg_L Dopé/G5_01.tif </t>
  </si>
  <si>
    <t xml:space="preserve"> 20094.1721 </t>
  </si>
  <si>
    <t xml:space="preserve"> 68.0764 </t>
  </si>
  <si>
    <t xml:space="preserve">F:\images\20210330\plaque 2/@05 Anastrozole 0.032 µg_L Dopé/G5_02.tif </t>
  </si>
  <si>
    <t xml:space="preserve"> 18212.3713 </t>
  </si>
  <si>
    <t xml:space="preserve"> 67.9846 </t>
  </si>
  <si>
    <t xml:space="preserve">F:\images\20210330\plaque 2/@05 Anastrozole 0.032 µg_L Dopé/G5_03.tif </t>
  </si>
  <si>
    <t xml:space="preserve"> 15487.0046 </t>
  </si>
  <si>
    <t xml:space="preserve"> 66.3911 </t>
  </si>
  <si>
    <t xml:space="preserve">F:\images\20210330\plaque 2/@05 Anastrozole 0.032 µg_L Dopé/H5_01.tif </t>
  </si>
  <si>
    <t xml:space="preserve"> 7981.4311 </t>
  </si>
  <si>
    <t xml:space="preserve"> 66.5339 </t>
  </si>
  <si>
    <t xml:space="preserve">F:\images\20210330\plaque 2/@05 Anastrozole 0.032 µg_L Dopé/H5_02.tif </t>
  </si>
  <si>
    <t xml:space="preserve"> 66.7803 </t>
  </si>
  <si>
    <t xml:space="preserve">F:\images\20210330\plaque 2/@05 Anastrozole 0.032 µg_L Dopé/H5_03.tif </t>
  </si>
  <si>
    <t xml:space="preserve"> 66.2356 </t>
  </si>
  <si>
    <t xml:space="preserve">F:\images\20210330\plaque 2/@05 Anastrozole 0.032 µg_L Dopé/ </t>
  </si>
  <si>
    <t xml:space="preserve"> 69.658 </t>
  </si>
  <si>
    <t xml:space="preserve"> 3.4127 </t>
  </si>
  <si>
    <t xml:space="preserve"> 2062167.12 </t>
  </si>
  <si>
    <t xml:space="preserve"> 1318052.57 </t>
  </si>
  <si>
    <t xml:space="preserve">F:\images\20210330\plaque 2/@06 Anastrozole 0.16 µg_L Dopé/A6_01.tif </t>
  </si>
  <si>
    <t xml:space="preserve"> 13994.5418 </t>
  </si>
  <si>
    <t xml:space="preserve"> 67.9289 </t>
  </si>
  <si>
    <t xml:space="preserve">F:\images\20210330\plaque 2/@06 Anastrozole 0.16 µg_L Dopé/A6_02.tif </t>
  </si>
  <si>
    <t xml:space="preserve"> 66.496 </t>
  </si>
  <si>
    <t xml:space="preserve">F:\images\20210330\plaque 2/@06 Anastrozole 0.16 µg_L Dopé/A6_03.tif </t>
  </si>
  <si>
    <t xml:space="preserve"> 64.3413 </t>
  </si>
  <si>
    <t xml:space="preserve">F:\images\20210330\plaque 2/@06 Anastrozole 0.16 µg_L Dopé/B6_01.tif </t>
  </si>
  <si>
    <t xml:space="preserve"> 19293.866 </t>
  </si>
  <si>
    <t xml:space="preserve"> 68.3386 </t>
  </si>
  <si>
    <t xml:space="preserve">F:\images\20210330\plaque 2/@06 Anastrozole 0.16 µg_L Dopé/B6_02.tif </t>
  </si>
  <si>
    <t xml:space="preserve"> 20634.9195 </t>
  </si>
  <si>
    <t xml:space="preserve"> 67.7537 </t>
  </si>
  <si>
    <t xml:space="preserve">F:\images\20210330\plaque 2/@06 Anastrozole 0.16 µg_L Dopé/B6_03.tif </t>
  </si>
  <si>
    <t xml:space="preserve"> 18926.1578 </t>
  </si>
  <si>
    <t xml:space="preserve"> 67.024 </t>
  </si>
  <si>
    <t xml:space="preserve">F:\images\20210330\plaque 2/@06 Anastrozole 0.16 µg_L Dopé/C6_01.tif </t>
  </si>
  <si>
    <t xml:space="preserve"> 16222.421 </t>
  </si>
  <si>
    <t xml:space="preserve"> 69.108 </t>
  </si>
  <si>
    <t xml:space="preserve">F:\images\20210330\plaque 2/@06 Anastrozole 0.16 µg_L Dopé/C6_02.tif </t>
  </si>
  <si>
    <t xml:space="preserve"> 9603.6732 </t>
  </si>
  <si>
    <t xml:space="preserve"> 64.6036 </t>
  </si>
  <si>
    <t xml:space="preserve">F:\images\20210330\plaque 2/@06 Anastrozole 0.16 µg_L Dopé/C6_03.tif </t>
  </si>
  <si>
    <t xml:space="preserve"> 14513.6593 </t>
  </si>
  <si>
    <t xml:space="preserve"> 65.3383 </t>
  </si>
  <si>
    <t xml:space="preserve">F:\images\20210330\plaque 2/@06 Anastrozole 0.16 µg_L Dopé/D6_01.tif </t>
  </si>
  <si>
    <t xml:space="preserve"> 66.0528 </t>
  </si>
  <si>
    <t xml:space="preserve">F:\images\20210330\plaque 2/@06 Anastrozole 0.16 µg_L Dopé/D6_02.tif </t>
  </si>
  <si>
    <t xml:space="preserve"> 65.3851 </t>
  </si>
  <si>
    <t xml:space="preserve">F:\images\20210330\plaque 2/@06 Anastrozole 0.16 µg_L Dopé/D6_03.tif </t>
  </si>
  <si>
    <t xml:space="preserve"> 12480.4492 </t>
  </si>
  <si>
    <t xml:space="preserve"> 66.2114 </t>
  </si>
  <si>
    <t xml:space="preserve">F:\images\20210330\plaque 2/@06 Anastrozole 0.16 µg_L Dopé/E6_01.tif </t>
  </si>
  <si>
    <t xml:space="preserve"> 38198.3939 </t>
  </si>
  <si>
    <t xml:space="preserve"> 69.9258 </t>
  </si>
  <si>
    <t xml:space="preserve">F:\images\20210330\plaque 2/@06 Anastrozole 0.16 µg_L Dopé/E6_02.tif </t>
  </si>
  <si>
    <t xml:space="preserve"> 37549.4971 </t>
  </si>
  <si>
    <t xml:space="preserve"> 71.1976 </t>
  </si>
  <si>
    <t xml:space="preserve">F:\images\20210330\plaque 2/@06 Anastrozole 0.16 µg_L Dopé/E6_03.tif </t>
  </si>
  <si>
    <t xml:space="preserve"> 32769.2904 </t>
  </si>
  <si>
    <t xml:space="preserve"> 68.7498 </t>
  </si>
  <si>
    <t xml:space="preserve">F:\images\20210330\plaque 2/@06 Anastrozole 0.16 µg_L Dopé/F6_01.tif </t>
  </si>
  <si>
    <t xml:space="preserve"> 69.8277 </t>
  </si>
  <si>
    <t xml:space="preserve">F:\images\20210330\plaque 2/@06 Anastrozole 0.16 µg_L Dopé/F6_02.tif </t>
  </si>
  <si>
    <t xml:space="preserve"> 67.3892 </t>
  </si>
  <si>
    <t xml:space="preserve">F:\images\20210330\plaque 2/@06 Anastrozole 0.16 µg_L Dopé/F6_03.tif </t>
  </si>
  <si>
    <t xml:space="preserve"> 4693.6871 </t>
  </si>
  <si>
    <t xml:space="preserve"> 70.0553 </t>
  </si>
  <si>
    <t xml:space="preserve">F:\images\20210330\plaque 2/@06 Anastrozole 0.16 µg_L Dopé/G6_01.tif </t>
  </si>
  <si>
    <t xml:space="preserve"> 63.6183 </t>
  </si>
  <si>
    <t xml:space="preserve">F:\images\20210330\plaque 2/@06 Anastrozole 0.16 µg_L Dopé/G6_02.tif </t>
  </si>
  <si>
    <t xml:space="preserve"> 6013.1107 </t>
  </si>
  <si>
    <t xml:space="preserve"> 63.8921 </t>
  </si>
  <si>
    <t xml:space="preserve">F:\images\20210330\plaque 2/@06 Anastrozole 0.16 µg_L Dopé/G6_03.tif </t>
  </si>
  <si>
    <t xml:space="preserve">F:\images\20210330\plaque 2/@06 Anastrozole 0.16 µg_L Dopé/H6_01.tif </t>
  </si>
  <si>
    <t xml:space="preserve"> 20159.0618 </t>
  </si>
  <si>
    <t xml:space="preserve"> 68.7704 </t>
  </si>
  <si>
    <t xml:space="preserve">F:\images\20210330\plaque 2/@06 Anastrozole 0.16 µg_L Dopé/H6_02.tif </t>
  </si>
  <si>
    <t xml:space="preserve"> 67.7225 </t>
  </si>
  <si>
    <t xml:space="preserve">F:\images\20210330\plaque 2/@06 Anastrozole 0.16 µg_L Dopé/H6_03.tif </t>
  </si>
  <si>
    <t xml:space="preserve"> 68.2596 </t>
  </si>
  <si>
    <t xml:space="preserve">F:\images\20210330\plaque 2/@06 Anastrozole 0.16 µg_L Dopé/ </t>
  </si>
  <si>
    <t xml:space="preserve"> 67.1603 </t>
  </si>
  <si>
    <t xml:space="preserve"> 2.1864 </t>
  </si>
  <si>
    <t xml:space="preserve"> 1046817.42 </t>
  </si>
  <si>
    <t xml:space="preserve"> 693982.943 </t>
  </si>
  <si>
    <t xml:space="preserve">F:\images\20210330\plaque 2/@07  Anastrozole 0.8 µg_L Dopé/A7_01.tif </t>
  </si>
  <si>
    <t xml:space="preserve"> 62.7368 </t>
  </si>
  <si>
    <t xml:space="preserve">F:\images\20210330\plaque 2/@07  Anastrozole 0.8 µg_L Dopé/A7_02.tif </t>
  </si>
  <si>
    <t xml:space="preserve"> 63.9512 </t>
  </si>
  <si>
    <t xml:space="preserve">F:\images\20210330\plaque 2/@07  Anastrozole 0.8 µg_L Dopé/A7_03.tif </t>
  </si>
  <si>
    <t xml:space="preserve"> 605.637 </t>
  </si>
  <si>
    <t xml:space="preserve"> 63.4286 </t>
  </si>
  <si>
    <t xml:space="preserve">F:\images\20210330\plaque 2/@07  Anastrozole 0.8 µg_L Dopé/B7_01.tif </t>
  </si>
  <si>
    <t xml:space="preserve"> 63.8844 </t>
  </si>
  <si>
    <t xml:space="preserve">F:\images\20210330\plaque 2/@07  Anastrozole 0.8 µg_L Dopé/B7_02.tif </t>
  </si>
  <si>
    <t xml:space="preserve"> 6532.2282 </t>
  </si>
  <si>
    <t xml:space="preserve"> 70.8974 </t>
  </si>
  <si>
    <t xml:space="preserve">F:\images\20210330\plaque 2/@07  Anastrozole 0.8 µg_L Dopé/B7_03.tif </t>
  </si>
  <si>
    <t xml:space="preserve"> 1730.3916 </t>
  </si>
  <si>
    <t xml:space="preserve">F:\images\20210330\plaque 2/@07  Anastrozole 0.8 µg_L Dopé/C7_01.tif </t>
  </si>
  <si>
    <t xml:space="preserve"> 66.0476 </t>
  </si>
  <si>
    <t xml:space="preserve">F:\images\20210330\plaque 2/@07  Anastrozole 0.8 µg_L Dopé/C7_02.tif </t>
  </si>
  <si>
    <t xml:space="preserve"> 4001.5305 </t>
  </si>
  <si>
    <t xml:space="preserve"> 67.9081 </t>
  </si>
  <si>
    <t xml:space="preserve">F:\images\20210330\plaque 2/@07  Anastrozole 0.8 µg_L Dopé/C7_03.tif </t>
  </si>
  <si>
    <t xml:space="preserve"> 66.3107 </t>
  </si>
  <si>
    <t xml:space="preserve">F:\images\20210330\plaque 2/@07  Anastrozole 0.8 µg_L Dopé/D7_01.tif </t>
  </si>
  <si>
    <t xml:space="preserve"> 67.5913 </t>
  </si>
  <si>
    <t xml:space="preserve">F:\images\20210330\plaque 2/@07  Anastrozole 0.8 µg_L Dopé/D7_02.tif </t>
  </si>
  <si>
    <t xml:space="preserve"> 66.8452 </t>
  </si>
  <si>
    <t xml:space="preserve">F:\images\20210330\plaque 2/@07  Anastrozole 0.8 µg_L Dopé/D7_03.tif </t>
  </si>
  <si>
    <t xml:space="preserve"> 69.477 </t>
  </si>
  <si>
    <t xml:space="preserve">F:\images\20210330\plaque 2/@07  Anastrozole 0.8 µg_L Dopé/E7_01.tif </t>
  </si>
  <si>
    <t xml:space="preserve"> 3071.445 </t>
  </si>
  <si>
    <t xml:space="preserve"> 65.7887 </t>
  </si>
  <si>
    <t xml:space="preserve">F:\images\20210330\plaque 2/@07  Anastrozole 0.8 µg_L Dopé/E7_02.tif </t>
  </si>
  <si>
    <t xml:space="preserve"> 68.2043 </t>
  </si>
  <si>
    <t xml:space="preserve">F:\images\20210330\plaque 2/@07  Anastrozole 0.8 µg_L Dopé/E7_03.tif </t>
  </si>
  <si>
    <t xml:space="preserve"> 2920.0358 </t>
  </si>
  <si>
    <t xml:space="preserve"> 63.8593 </t>
  </si>
  <si>
    <t xml:space="preserve">F:\images\20210330\plaque 2/@07  Anastrozole 0.8 µg_L Dopé/F7_01.tif </t>
  </si>
  <si>
    <t xml:space="preserve"> 7029.7158 </t>
  </si>
  <si>
    <t xml:space="preserve"> 73.4923 </t>
  </si>
  <si>
    <t xml:space="preserve">F:\images\20210330\plaque 2/@07  Anastrozole 0.8 µg_L Dopé/F7_02.tif </t>
  </si>
  <si>
    <t xml:space="preserve"> 65.8326 </t>
  </si>
  <si>
    <t xml:space="preserve">F:\images\20210330\plaque 2/@07  Anastrozole 0.8 µg_L Dopé/F7_03.tif </t>
  </si>
  <si>
    <t xml:space="preserve"> 6142.8901 </t>
  </si>
  <si>
    <t xml:space="preserve"> 70.9401 </t>
  </si>
  <si>
    <t xml:space="preserve">F:\images\20210330\plaque 2/@07  Anastrozole 0.8 µg_L Dopé/G7_01.tif </t>
  </si>
  <si>
    <t xml:space="preserve"> 63.1346 </t>
  </si>
  <si>
    <t xml:space="preserve">F:\images\20210330\plaque 2/@07  Anastrozole 0.8 µg_L Dopé/G7_02.tif </t>
  </si>
  <si>
    <t xml:space="preserve"> 63.6842 </t>
  </si>
  <si>
    <t xml:space="preserve">F:\images\20210330\plaque 2/@07  Anastrozole 0.8 µg_L Dopé/G7_03.tif </t>
  </si>
  <si>
    <t xml:space="preserve"> 62.3548 </t>
  </si>
  <si>
    <t xml:space="preserve">F:\images\20210330\plaque 2/@07  Anastrozole 0.8 µg_L Dopé/H7_01.tif </t>
  </si>
  <si>
    <t xml:space="preserve"> 64.4865 </t>
  </si>
  <si>
    <t xml:space="preserve">F:\images\20210330\plaque 2/@07  Anastrozole 0.8 µg_L Dopé/H7_02.tif </t>
  </si>
  <si>
    <t xml:space="preserve"> 65.0227 </t>
  </si>
  <si>
    <t xml:space="preserve">F:\images\20210330\plaque 2/@07  Anastrozole 0.8 µg_L Dopé/H7_03.tif </t>
  </si>
  <si>
    <t xml:space="preserve"> 66.3088 </t>
  </si>
  <si>
    <t xml:space="preserve">F:\images\20210330\plaque 2/@07  Anastrozole 0.8 µg_L Dopé/ </t>
  </si>
  <si>
    <t xml:space="preserve"> 66.0411 </t>
  </si>
  <si>
    <t xml:space="preserve"> 2.9448 </t>
  </si>
  <si>
    <t xml:space="preserve"> 200746.083 </t>
  </si>
  <si>
    <t xml:space="preserve"> 146539.002 </t>
  </si>
  <si>
    <t xml:space="preserve">F:\images\20210330\plaque 2/@08 Anastrozole 20 µg_L Dopé/A8_01.tif </t>
  </si>
  <si>
    <t xml:space="preserve"> 66.4476 </t>
  </si>
  <si>
    <t xml:space="preserve">F:\images\20210330\plaque 2/@08 Anastrozole 20 µg_L Dopé/A8_02.tif </t>
  </si>
  <si>
    <t xml:space="preserve"> 71.2778 </t>
  </si>
  <si>
    <t xml:space="preserve">F:\images\20210330\plaque 2/@08 Anastrozole 20 µg_L Dopé/A8_03.tif </t>
  </si>
  <si>
    <t xml:space="preserve"> 62.4444 </t>
  </si>
  <si>
    <t xml:space="preserve">F:\images\20210330\plaque 2/@08 Anastrozole 20 µg_L Dopé/B8_01.tif </t>
  </si>
  <si>
    <t xml:space="preserve"> 5212.8046 </t>
  </si>
  <si>
    <t xml:space="preserve"> 70.4315 </t>
  </si>
  <si>
    <t xml:space="preserve">F:\images\20210330\plaque 2/@08 Anastrozole 20 µg_L Dopé/B8_02.tif </t>
  </si>
  <si>
    <t xml:space="preserve">F:\images\20210330\plaque 2/@08 Anastrozole 20 µg_L Dopé/B8_03.tif </t>
  </si>
  <si>
    <t xml:space="preserve"> 73.3986 </t>
  </si>
  <si>
    <t xml:space="preserve">F:\images\20210330\plaque 2/@08 Anastrozole 20 µg_L Dopé/C8_01.tif </t>
  </si>
  <si>
    <t xml:space="preserve"> 69.6587 </t>
  </si>
  <si>
    <t xml:space="preserve">F:\images\20210330\plaque 2/@08 Anastrozole 20 µg_L Dopé/C8_02.tif </t>
  </si>
  <si>
    <t xml:space="preserve"> 71.1742 </t>
  </si>
  <si>
    <t xml:space="preserve">F:\images\20210330\plaque 2/@08 Anastrozole 20 µg_L Dopé/C8_03.tif </t>
  </si>
  <si>
    <t xml:space="preserve"> 3979.9006 </t>
  </si>
  <si>
    <t xml:space="preserve"> 68.2609 </t>
  </si>
  <si>
    <t xml:space="preserve">F:\images\20210330\plaque 2/@08 Anastrozole 20 µg_L Dopé/D8_01.tif </t>
  </si>
  <si>
    <t xml:space="preserve"> 4369.2387 </t>
  </si>
  <si>
    <t xml:space="preserve"> 70.5693 </t>
  </si>
  <si>
    <t xml:space="preserve">F:\images\20210330\plaque 2/@08 Anastrozole 20 µg_L Dopé/D8_02.tif </t>
  </si>
  <si>
    <t xml:space="preserve"> 66.9569 </t>
  </si>
  <si>
    <t xml:space="preserve">F:\images\20210330\plaque 2/@08 Anastrozole 20 µg_L Dopé/D8_03.tif </t>
  </si>
  <si>
    <t xml:space="preserve"> 3482.413 </t>
  </si>
  <si>
    <t xml:space="preserve"> 70.087 </t>
  </si>
  <si>
    <t xml:space="preserve">F:\images\20210330\plaque 2/@08 Anastrozole 20 µg_L Dopé/E8_01.tif </t>
  </si>
  <si>
    <t xml:space="preserve"> 69.828 </t>
  </si>
  <si>
    <t xml:space="preserve">F:\images\20210330\plaque 2/@08 Anastrozole 20 µg_L Dopé/E8_02.tif </t>
  </si>
  <si>
    <t xml:space="preserve"> 62.8667 </t>
  </si>
  <si>
    <t xml:space="preserve">F:\images\20210330\plaque 2/@08 Anastrozole 20 µg_L Dopé/E8_03.tif </t>
  </si>
  <si>
    <t xml:space="preserve"> 69.0121 </t>
  </si>
  <si>
    <t xml:space="preserve">F:\images\20210330\plaque 2/@08 Anastrozole 20 µg_L Dopé/F8_01.tif </t>
  </si>
  <si>
    <t xml:space="preserve"> 2184.6194 </t>
  </si>
  <si>
    <t xml:space="preserve"> 65.2871 </t>
  </si>
  <si>
    <t xml:space="preserve">F:\images\20210330\plaque 2/@08 Anastrozole 20 µg_L Dopé/F8_02.tif </t>
  </si>
  <si>
    <t xml:space="preserve"> 64.9394 </t>
  </si>
  <si>
    <t xml:space="preserve">F:\images\20210330\plaque 2/@08 Anastrozole 20 µg_L Dopé/F8_03.tif </t>
  </si>
  <si>
    <t xml:space="preserve"> 64.4259 </t>
  </si>
  <si>
    <t xml:space="preserve">F:\images\20210330\plaque 2/@08 Anastrozole 20 µg_L Dopé/G8_01.tif </t>
  </si>
  <si>
    <t xml:space="preserve"> 66.8448 </t>
  </si>
  <si>
    <t xml:space="preserve">F:\images\20210330\plaque 2/@08 Anastrozole 20 µg_L Dopé/G8_02.tif </t>
  </si>
  <si>
    <t xml:space="preserve"> 62.6154 </t>
  </si>
  <si>
    <t xml:space="preserve">F:\images\20210330\plaque 2/@08 Anastrozole 20 µg_L Dopé/G8_03.tif </t>
  </si>
  <si>
    <t xml:space="preserve"> 64.2609 </t>
  </si>
  <si>
    <t xml:space="preserve">F:\images\20210330\plaque 2/@08 Anastrozole 20 µg_L Dopé/H8_01.tif </t>
  </si>
  <si>
    <t xml:space="preserve">F:\images\20210330\plaque 2/@08 Anastrozole 20 µg_L Dopé/H8_02.tif </t>
  </si>
  <si>
    <t>F:\images\20210330\plaque 2/@08 Anastrozole 20 µg_L Dopé/H8_03- exclu.tif</t>
  </si>
  <si>
    <t xml:space="preserve">F:\images\20210330\plaque 2/@08 Anastrozole 20 µg_L Dopé/ </t>
  </si>
  <si>
    <t xml:space="preserve"> 66.9931 </t>
  </si>
  <si>
    <t xml:space="preserve"> 3.2992 </t>
  </si>
  <si>
    <t xml:space="preserve"> 164703.542 </t>
  </si>
  <si>
    <t xml:space="preserve"> 152116.314 </t>
  </si>
  <si>
    <t xml:space="preserve">F:\images\20210330\plaque 2/@09  Anastrozole 4 µg_L Dopé/A9_01.tif </t>
  </si>
  <si>
    <t xml:space="preserve"> 66.175 </t>
  </si>
  <si>
    <t xml:space="preserve">F:\images\20210330\plaque 2/@09  Anastrozole 4 µg_L Dopé/A9_02.tif </t>
  </si>
  <si>
    <t xml:space="preserve"> 67.7788 </t>
  </si>
  <si>
    <t xml:space="preserve">F:\images\20210330\plaque 2/@09  Anastrozole 4 µg_L Dopé/A9_03.tif </t>
  </si>
  <si>
    <t xml:space="preserve"> 66.0083 </t>
  </si>
  <si>
    <t>F:\images\20210330\plaque 2/@09  Anastrozole 4 µg_L Dopé/B9_01- exclu.tif</t>
  </si>
  <si>
    <t xml:space="preserve">F:\images\20210330\plaque 2/@09  Anastrozole 4 µg_L Dopé/B9_02.tif </t>
  </si>
  <si>
    <t xml:space="preserve"> 67.893 </t>
  </si>
  <si>
    <t xml:space="preserve">F:\images\20210330\plaque 2/@09  Anastrozole 4 µg_L Dopé/B9_03.tif </t>
  </si>
  <si>
    <t xml:space="preserve"> 73.849 </t>
  </si>
  <si>
    <t xml:space="preserve">F:\images\20210330\plaque 2/@09  Anastrozole 4 µg_L Dopé/C9_01.tif </t>
  </si>
  <si>
    <t xml:space="preserve"> 63.5882 </t>
  </si>
  <si>
    <t xml:space="preserve">F:\images\20210330\plaque 2/@09  Anastrozole 4 µg_L Dopé/C9_02.tif </t>
  </si>
  <si>
    <t xml:space="preserve">F:\images\20210330\plaque 2/@09  Anastrozole 4 µg_L Dopé/C9_03.tif </t>
  </si>
  <si>
    <t xml:space="preserve"> 64.05 </t>
  </si>
  <si>
    <t xml:space="preserve">F:\images\20210330\plaque 2/@09  Anastrozole 4 µg_L Dopé/D9_01.tif </t>
  </si>
  <si>
    <t xml:space="preserve">F:\images\20210330\plaque 2/@09  Anastrozole 4 µg_L Dopé/D9_02.tif </t>
  </si>
  <si>
    <t xml:space="preserve"> 63.25 </t>
  </si>
  <si>
    <t xml:space="preserve">F:\images\20210330\plaque 2/@09  Anastrozole 4 µg_L Dopé/D9_03.tif </t>
  </si>
  <si>
    <t xml:space="preserve"> 65.7817 </t>
  </si>
  <si>
    <t>F:\images\20210330\plaque 2/@09  Anastrozole 4 µg_L Dopé/E9_01- exclu.tif</t>
  </si>
  <si>
    <t xml:space="preserve">F:\images\20210330\plaque 2/@09  Anastrozole 4 µg_L Dopé/E9_02.tif </t>
  </si>
  <si>
    <t xml:space="preserve">F:\images\20210330\plaque 2/@09  Anastrozole 4 µg_L Dopé/E9_03.tif </t>
  </si>
  <si>
    <t xml:space="preserve"> 66.4286 </t>
  </si>
  <si>
    <t xml:space="preserve">F:\images\20210330\plaque 2/@09  Anastrozole 4 µg_L Dopé/F9_01.tif </t>
  </si>
  <si>
    <t xml:space="preserve"> 64.2471 </t>
  </si>
  <si>
    <t xml:space="preserve">F:\images\20210330\plaque 2/@09  Anastrozole 4 µg_L Dopé/F9_02.tif </t>
  </si>
  <si>
    <t xml:space="preserve"> 4780.2067 </t>
  </si>
  <si>
    <t xml:space="preserve"> 71.1719 </t>
  </si>
  <si>
    <t xml:space="preserve">F:\images\20210330\plaque 2/@09  Anastrozole 4 µg_L Dopé/F9_03.tif </t>
  </si>
  <si>
    <t xml:space="preserve"> 3806.8615 </t>
  </si>
  <si>
    <t xml:space="preserve"> 70.0341 </t>
  </si>
  <si>
    <t xml:space="preserve">F:\images\20210330\plaque 2/@09  Anastrozole 4 µg_L Dopé/G9_01.tif </t>
  </si>
  <si>
    <t xml:space="preserve">F:\images\20210330\plaque 2/@09  Anastrozole 4 µg_L Dopé/G9_02.tif </t>
  </si>
  <si>
    <t xml:space="preserve"> 63.3636 </t>
  </si>
  <si>
    <t xml:space="preserve">F:\images\20210330\plaque 2/@09  Anastrozole 4 µg_L Dopé/G9_03.tif </t>
  </si>
  <si>
    <t xml:space="preserve"> 65.3974 </t>
  </si>
  <si>
    <t xml:space="preserve">F:\images\20210330\plaque 2/@09  Anastrozole 4 µg_L Dopé/H9_01.tif </t>
  </si>
  <si>
    <t xml:space="preserve"> 64.5063 </t>
  </si>
  <si>
    <t xml:space="preserve">F:\images\20210330\plaque 2/@09  Anastrozole 4 µg_L Dopé/H9_02.tif </t>
  </si>
  <si>
    <t xml:space="preserve"> 65.2297 </t>
  </si>
  <si>
    <t xml:space="preserve">F:\images\20210330\plaque 2/@09  Anastrozole 4 µg_L Dopé/H9_03.tif </t>
  </si>
  <si>
    <t xml:space="preserve"> 1016.605 </t>
  </si>
  <si>
    <t xml:space="preserve"> 63.5745 </t>
  </si>
  <si>
    <t xml:space="preserve">F:\images\20210330\plaque 2/@09  Anastrozole 4 µg_L Dopé/ </t>
  </si>
  <si>
    <t xml:space="preserve"> 65.6249 </t>
  </si>
  <si>
    <t xml:space="preserve"> 2.7961 </t>
  </si>
  <si>
    <t xml:space="preserve"> 140732.25 </t>
  </si>
  <si>
    <t xml:space="preserve"> 146860.598 </t>
  </si>
  <si>
    <t>08 Anastrozole 20 µg_L Dopé</t>
  </si>
  <si>
    <t>09  Anastrozole 4 µg_L Dopé</t>
  </si>
  <si>
    <t>ug/L</t>
  </si>
  <si>
    <t>Anastrozole 0,032 ug/L</t>
  </si>
  <si>
    <t>Anastrozole 0,16 ug/L</t>
  </si>
  <si>
    <t>Anastrozole 0,8 ug/L</t>
  </si>
  <si>
    <t>Anastrozole 4 ug/L</t>
  </si>
  <si>
    <t>Anastrozole 20 ug/L</t>
  </si>
  <si>
    <t>Anastrozole</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</si>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</sst>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b/>
      <sz val="11"/>
      <color theme="0"/>
      <name val="Calibri"/>
      <family val="2"/>
      <scheme val="minor"/>
    </font>
  </fonts>
  <fills count="2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
      <patternFill patternType="solid">
        <fgColor theme="4"/>
        <bgColor theme="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4">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164" fontId="7" fillId="12" borderId="6" xfId="0" applyNumberFormat="1" applyFont="1" applyFill="1" applyBorder="1" applyAlignment="1">
      <alignment horizontal="lef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9" fillId="21" borderId="0" xfId="0" applyFont="1" applyFill="1"/>
    <xf numFmtId="0" fontId="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ADBF-4EDB-9814-1495D28DC31B}"/>
              </c:ext>
            </c:extLst>
          </c:dPt>
          <c:dPt>
            <c:idx val="1"/>
            <c:invertIfNegative val="0"/>
            <c:bubble3D val="0"/>
            <c:spPr>
              <a:solidFill>
                <a:srgbClr val="FF0000"/>
              </a:solidFill>
            </c:spPr>
            <c:extLst>
              <c:ext xmlns:c16="http://schemas.microsoft.com/office/drawing/2014/chart" uri="{C3380CC4-5D6E-409C-BE32-E72D297353CC}">
                <c16:uniqueId val="{00000002-ADBF-4EDB-9814-1495D28DC31B}"/>
              </c:ext>
            </c:extLst>
          </c:dPt>
          <c:dPt>
            <c:idx val="2"/>
            <c:invertIfNegative val="0"/>
            <c:bubble3D val="0"/>
            <c:spPr>
              <a:solidFill>
                <a:srgbClr val="FF0000"/>
              </a:solidFill>
            </c:spPr>
            <c:extLst>
              <c:ext xmlns:c16="http://schemas.microsoft.com/office/drawing/2014/chart" uri="{C3380CC4-5D6E-409C-BE32-E72D297353CC}">
                <c16:uniqueId val="{00000003-ADBF-4EDB-9814-1495D28DC31B}"/>
              </c:ext>
            </c:extLst>
          </c:dPt>
          <c:dPt>
            <c:idx val="3"/>
            <c:invertIfNegative val="0"/>
            <c:bubble3D val="0"/>
            <c:spPr>
              <a:solidFill>
                <a:srgbClr val="FF0000"/>
              </a:solidFill>
            </c:spPr>
            <c:extLst>
              <c:ext xmlns:c16="http://schemas.microsoft.com/office/drawing/2014/chart" uri="{C3380CC4-5D6E-409C-BE32-E72D297353CC}">
                <c16:uniqueId val="{00000004-ADBF-4EDB-9814-1495D28DC31B}"/>
              </c:ext>
            </c:extLst>
          </c:dPt>
          <c:dPt>
            <c:idx val="4"/>
            <c:invertIfNegative val="0"/>
            <c:bubble3D val="0"/>
            <c:spPr>
              <a:solidFill>
                <a:srgbClr val="FF0000"/>
              </a:solidFill>
            </c:spPr>
            <c:extLst>
              <c:ext xmlns:c16="http://schemas.microsoft.com/office/drawing/2014/chart" uri="{C3380CC4-5D6E-409C-BE32-E72D297353CC}">
                <c16:uniqueId val="{00000005-ADBF-4EDB-9814-1495D28DC31B}"/>
              </c:ext>
            </c:extLst>
          </c:dPt>
          <c:dPt>
            <c:idx val="5"/>
            <c:invertIfNegative val="0"/>
            <c:bubble3D val="0"/>
            <c:spPr>
              <a:solidFill>
                <a:srgbClr val="FF0000"/>
              </a:solidFill>
            </c:spPr>
            <c:extLst>
              <c:ext xmlns:c16="http://schemas.microsoft.com/office/drawing/2014/chart" uri="{C3380CC4-5D6E-409C-BE32-E72D297353CC}">
                <c16:uniqueId val="{00000006-ADBF-4EDB-9814-1495D28DC31B}"/>
              </c:ext>
            </c:extLst>
          </c:dPt>
          <c:dPt>
            <c:idx val="6"/>
            <c:invertIfNegative val="0"/>
            <c:bubble3D val="0"/>
            <c:spPr>
              <a:solidFill>
                <a:srgbClr val="FF0000"/>
              </a:solidFill>
            </c:spPr>
            <c:extLst>
              <c:ext xmlns:c16="http://schemas.microsoft.com/office/drawing/2014/chart" uri="{C3380CC4-5D6E-409C-BE32-E72D297353CC}">
                <c16:uniqueId val="{00000007-ADBF-4EDB-9814-1495D28DC31B}"/>
              </c:ext>
            </c:extLst>
          </c:dPt>
          <c:dPt>
            <c:idx val="7"/>
            <c:invertIfNegative val="0"/>
            <c:bubble3D val="0"/>
            <c:spPr>
              <a:solidFill>
                <a:schemeClr val="bg2">
                  <a:lumMod val="90000"/>
                </a:schemeClr>
              </a:solidFill>
            </c:spPr>
            <c:extLst>
              <c:ext xmlns:c16="http://schemas.microsoft.com/office/drawing/2014/chart" uri="{C3380CC4-5D6E-409C-BE32-E72D297353CC}">
                <c16:uniqueId val="{00000008-ADBF-4EDB-9814-1495D28DC31B}"/>
              </c:ext>
            </c:extLst>
          </c:dPt>
          <c:dPt>
            <c:idx val="8"/>
            <c:invertIfNegative val="0"/>
            <c:bubble3D val="0"/>
            <c:spPr>
              <a:solidFill>
                <a:schemeClr val="bg2">
                  <a:lumMod val="90000"/>
                </a:schemeClr>
              </a:solidFill>
            </c:spPr>
            <c:extLst>
              <c:ext xmlns:c16="http://schemas.microsoft.com/office/drawing/2014/chart" uri="{C3380CC4-5D6E-409C-BE32-E72D297353CC}">
                <c16:uniqueId val="{00000009-ADBF-4EDB-9814-1495D28DC31B}"/>
              </c:ext>
            </c:extLst>
          </c:dPt>
          <c:dPt>
            <c:idx val="9"/>
            <c:invertIfNegative val="0"/>
            <c:bubble3D val="0"/>
            <c:spPr>
              <a:solidFill>
                <a:schemeClr val="bg2">
                  <a:lumMod val="90000"/>
                </a:schemeClr>
              </a:solidFill>
            </c:spPr>
            <c:extLst>
              <c:ext xmlns:c16="http://schemas.microsoft.com/office/drawing/2014/chart" uri="{C3380CC4-5D6E-409C-BE32-E72D297353CC}">
                <c16:uniqueId val="{0000000A-ADBF-4EDB-9814-1495D28DC31B}"/>
              </c:ext>
            </c:extLst>
          </c:dPt>
          <c:dPt>
            <c:idx val="10"/>
            <c:invertIfNegative val="0"/>
            <c:bubble3D val="0"/>
            <c:spPr>
              <a:solidFill>
                <a:schemeClr val="bg2">
                  <a:lumMod val="90000"/>
                </a:schemeClr>
              </a:solidFill>
            </c:spPr>
            <c:extLst>
              <c:ext xmlns:c16="http://schemas.microsoft.com/office/drawing/2014/chart" uri="{C3380CC4-5D6E-409C-BE32-E72D297353CC}">
                <c16:uniqueId val="{0000000B-ADBF-4EDB-9814-1495D28DC31B}"/>
              </c:ext>
            </c:extLst>
          </c:dPt>
          <c:dPt>
            <c:idx val="11"/>
            <c:invertIfNegative val="0"/>
            <c:bubble3D val="0"/>
            <c:spPr>
              <a:solidFill>
                <a:schemeClr val="bg2">
                  <a:lumMod val="90000"/>
                </a:schemeClr>
              </a:solidFill>
            </c:spPr>
            <c:extLst>
              <c:ext xmlns:c16="http://schemas.microsoft.com/office/drawing/2014/chart" uri="{C3380CC4-5D6E-409C-BE32-E72D297353CC}">
                <c16:uniqueId val="{0000000C-ADBF-4EDB-9814-1495D28DC31B}"/>
              </c:ext>
            </c:extLst>
          </c:dPt>
          <c:dPt>
            <c:idx val="13"/>
            <c:invertIfNegative val="0"/>
            <c:bubble3D val="0"/>
            <c:spPr>
              <a:solidFill>
                <a:srgbClr val="92D050"/>
              </a:solidFill>
            </c:spPr>
            <c:extLst>
              <c:ext xmlns:c16="http://schemas.microsoft.com/office/drawing/2014/chart" uri="{C3380CC4-5D6E-409C-BE32-E72D297353CC}">
                <c16:uniqueId val="{0000000E-ADBF-4EDB-9814-1495D28DC31B}"/>
              </c:ext>
            </c:extLst>
          </c:dPt>
          <c:dPt>
            <c:idx val="14"/>
            <c:invertIfNegative val="0"/>
            <c:bubble3D val="0"/>
            <c:spPr>
              <a:solidFill>
                <a:srgbClr val="92D050"/>
              </a:solidFill>
            </c:spPr>
            <c:extLst>
              <c:ext xmlns:c16="http://schemas.microsoft.com/office/drawing/2014/chart" uri="{C3380CC4-5D6E-409C-BE32-E72D297353CC}">
                <c16:uniqueId val="{0000000F-ADBF-4EDB-9814-1495D28DC31B}"/>
              </c:ext>
            </c:extLst>
          </c:dPt>
          <c:dPt>
            <c:idx val="15"/>
            <c:invertIfNegative val="0"/>
            <c:bubble3D val="0"/>
            <c:spPr>
              <a:solidFill>
                <a:schemeClr val="accent5">
                  <a:lumMod val="20000"/>
                  <a:lumOff val="80000"/>
                </a:schemeClr>
              </a:solidFill>
            </c:spPr>
            <c:extLst>
              <c:ext xmlns:c16="http://schemas.microsoft.com/office/drawing/2014/chart" uri="{C3380CC4-5D6E-409C-BE32-E72D297353CC}">
                <c16:uniqueId val="{00000010-ADBF-4EDB-9814-1495D28DC31B}"/>
              </c:ext>
            </c:extLst>
          </c:dPt>
          <c:dPt>
            <c:idx val="16"/>
            <c:invertIfNegative val="0"/>
            <c:bubble3D val="0"/>
            <c:spPr>
              <a:solidFill>
                <a:schemeClr val="accent5">
                  <a:lumMod val="20000"/>
                  <a:lumOff val="80000"/>
                </a:schemeClr>
              </a:solidFill>
            </c:spPr>
            <c:extLst>
              <c:ext xmlns:c16="http://schemas.microsoft.com/office/drawing/2014/chart" uri="{C3380CC4-5D6E-409C-BE32-E72D297353CC}">
                <c16:uniqueId val="{00000011-ADBF-4EDB-9814-1495D28DC31B}"/>
              </c:ext>
            </c:extLst>
          </c:dPt>
          <c:dPt>
            <c:idx val="17"/>
            <c:invertIfNegative val="0"/>
            <c:bubble3D val="0"/>
            <c:spPr>
              <a:solidFill>
                <a:schemeClr val="accent5">
                  <a:lumMod val="20000"/>
                  <a:lumOff val="80000"/>
                </a:schemeClr>
              </a:solidFill>
            </c:spPr>
            <c:extLst>
              <c:ext xmlns:c16="http://schemas.microsoft.com/office/drawing/2014/chart" uri="{C3380CC4-5D6E-409C-BE32-E72D297353CC}">
                <c16:uniqueId val="{00000012-ADBF-4EDB-9814-1495D28DC31B}"/>
              </c:ext>
            </c:extLst>
          </c:dPt>
          <c:dPt>
            <c:idx val="18"/>
            <c:invertIfNegative val="0"/>
            <c:bubble3D val="0"/>
            <c:spPr>
              <a:solidFill>
                <a:schemeClr val="accent5">
                  <a:lumMod val="20000"/>
                  <a:lumOff val="80000"/>
                </a:schemeClr>
              </a:solidFill>
            </c:spPr>
            <c:extLst>
              <c:ext xmlns:c16="http://schemas.microsoft.com/office/drawing/2014/chart" uri="{C3380CC4-5D6E-409C-BE32-E72D297353CC}">
                <c16:uniqueId val="{00000013-ADBF-4EDB-9814-1495D28DC31B}"/>
              </c:ext>
            </c:extLst>
          </c:dPt>
          <c:dPt>
            <c:idx val="19"/>
            <c:invertIfNegative val="0"/>
            <c:bubble3D val="0"/>
            <c:spPr>
              <a:solidFill>
                <a:schemeClr val="accent5">
                  <a:lumMod val="20000"/>
                  <a:lumOff val="80000"/>
                </a:schemeClr>
              </a:solidFill>
            </c:spPr>
            <c:extLst>
              <c:ext xmlns:c16="http://schemas.microsoft.com/office/drawing/2014/chart" uri="{C3380CC4-5D6E-409C-BE32-E72D297353CC}">
                <c16:uniqueId val="{00000014-ADBF-4EDB-9814-1495D28DC31B}"/>
              </c:ext>
            </c:extLst>
          </c:dPt>
          <c:dLbls>
            <c:dLbl>
              <c:idx val="0"/>
              <c:tx>
                <c:rich>
                  <a:bodyPr/>
                  <a:lstStyle/>
                  <a:p>
                    <a:fld id="{F716E17C-C664-45E9-A3A2-6A874ACF91A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DBF-4EDB-9814-1495D28DC31B}"/>
                </c:ext>
              </c:extLst>
            </c:dLbl>
            <c:dLbl>
              <c:idx val="1"/>
              <c:tx>
                <c:rich>
                  <a:bodyPr/>
                  <a:lstStyle/>
                  <a:p>
                    <a:fld id="{56838963-4A6F-4F60-ABCE-A58FA15F3E0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DBF-4EDB-9814-1495D28DC31B}"/>
                </c:ext>
              </c:extLst>
            </c:dLbl>
            <c:dLbl>
              <c:idx val="2"/>
              <c:tx>
                <c:rich>
                  <a:bodyPr/>
                  <a:lstStyle/>
                  <a:p>
                    <a:fld id="{AD9621B9-405A-4DD5-84A7-3A324321C6A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DBF-4EDB-9814-1495D28DC31B}"/>
                </c:ext>
              </c:extLst>
            </c:dLbl>
            <c:dLbl>
              <c:idx val="3"/>
              <c:tx>
                <c:rich>
                  <a:bodyPr/>
                  <a:lstStyle/>
                  <a:p>
                    <a:fld id="{C9B23084-3308-4CB4-B962-736423D0869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DBF-4EDB-9814-1495D28DC31B}"/>
                </c:ext>
              </c:extLst>
            </c:dLbl>
            <c:dLbl>
              <c:idx val="4"/>
              <c:tx>
                <c:rich>
                  <a:bodyPr/>
                  <a:lstStyle/>
                  <a:p>
                    <a:fld id="{19B6E2A4-3668-4AF6-B51E-E5E19157EFB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DBF-4EDB-9814-1495D28DC31B}"/>
                </c:ext>
              </c:extLst>
            </c:dLbl>
            <c:dLbl>
              <c:idx val="5"/>
              <c:tx>
                <c:rich>
                  <a:bodyPr/>
                  <a:lstStyle/>
                  <a:p>
                    <a:fld id="{08613D36-E7CC-40B4-9E3A-27D1D7E0EB9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DBF-4EDB-9814-1495D28DC31B}"/>
                </c:ext>
              </c:extLst>
            </c:dLbl>
            <c:dLbl>
              <c:idx val="6"/>
              <c:tx>
                <c:rich>
                  <a:bodyPr/>
                  <a:lstStyle/>
                  <a:p>
                    <a:fld id="{C966A633-ED90-4360-BF5E-F21836C4CE5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DBF-4EDB-9814-1495D28DC31B}"/>
                </c:ext>
              </c:extLst>
            </c:dLbl>
            <c:dLbl>
              <c:idx val="7"/>
              <c:tx>
                <c:rich>
                  <a:bodyPr/>
                  <a:lstStyle/>
                  <a:p>
                    <a:fld id="{378BD4DB-4503-4C83-87A5-D5B8D1F37BB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DBF-4EDB-9814-1495D28DC31B}"/>
                </c:ext>
              </c:extLst>
            </c:dLbl>
            <c:dLbl>
              <c:idx val="8"/>
              <c:tx>
                <c:rich>
                  <a:bodyPr/>
                  <a:lstStyle/>
                  <a:p>
                    <a:fld id="{6A694904-CEC0-4613-808B-1DE22D0C529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DBF-4EDB-9814-1495D28DC31B}"/>
                </c:ext>
              </c:extLst>
            </c:dLbl>
            <c:dLbl>
              <c:idx val="9"/>
              <c:tx>
                <c:rich>
                  <a:bodyPr/>
                  <a:lstStyle/>
                  <a:p>
                    <a:fld id="{17D6E18C-8FC8-4FCB-8905-E7D20B359E7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DBF-4EDB-9814-1495D28DC31B}"/>
                </c:ext>
              </c:extLst>
            </c:dLbl>
            <c:dLbl>
              <c:idx val="10"/>
              <c:tx>
                <c:rich>
                  <a:bodyPr/>
                  <a:lstStyle/>
                  <a:p>
                    <a:fld id="{6EC17B53-99FA-40BA-86C6-E873E82C47B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DBF-4EDB-9814-1495D28DC31B}"/>
                </c:ext>
              </c:extLst>
            </c:dLbl>
            <c:dLbl>
              <c:idx val="11"/>
              <c:tx>
                <c:rich>
                  <a:bodyPr/>
                  <a:lstStyle/>
                  <a:p>
                    <a:fld id="{9CCE1EA3-8EB8-4B22-8D84-388D761C9CA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DBF-4EDB-9814-1495D28DC31B}"/>
                </c:ext>
              </c:extLst>
            </c:dLbl>
            <c:dLbl>
              <c:idx val="12"/>
              <c:tx>
                <c:rich>
                  <a:bodyPr/>
                  <a:lstStyle/>
                  <a:p>
                    <a:fld id="{D7775A53-B99C-4450-AF6A-17D9E8966E8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DBF-4EDB-9814-1495D28DC31B}"/>
                </c:ext>
              </c:extLst>
            </c:dLbl>
            <c:dLbl>
              <c:idx val="13"/>
              <c:tx>
                <c:rich>
                  <a:bodyPr/>
                  <a:lstStyle/>
                  <a:p>
                    <a:fld id="{938557C9-E884-497E-8D55-30DFFEB5212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DBF-4EDB-9814-1495D28DC31B}"/>
                </c:ext>
              </c:extLst>
            </c:dLbl>
            <c:dLbl>
              <c:idx val="14"/>
              <c:tx>
                <c:rich>
                  <a:bodyPr/>
                  <a:lstStyle/>
                  <a:p>
                    <a:fld id="{EB38E197-8050-4DAB-B749-F459815ABE2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DBF-4EDB-9814-1495D28DC31B}"/>
                </c:ext>
              </c:extLst>
            </c:dLbl>
            <c:dLbl>
              <c:idx val="15"/>
              <c:tx>
                <c:rich>
                  <a:bodyPr/>
                  <a:lstStyle/>
                  <a:p>
                    <a:fld id="{57FC7F75-2318-43C6-9AEE-FF5EA4D678E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DBF-4EDB-9814-1495D28DC31B}"/>
                </c:ext>
              </c:extLst>
            </c:dLbl>
            <c:dLbl>
              <c:idx val="16"/>
              <c:tx>
                <c:rich>
                  <a:bodyPr/>
                  <a:lstStyle/>
                  <a:p>
                    <a:fld id="{329F4BC8-9389-474B-962D-D9147164859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DBF-4EDB-9814-1495D28DC31B}"/>
                </c:ext>
              </c:extLst>
            </c:dLbl>
            <c:dLbl>
              <c:idx val="17"/>
              <c:tx>
                <c:rich>
                  <a:bodyPr/>
                  <a:lstStyle/>
                  <a:p>
                    <a:fld id="{F97D798A-458A-449E-B10D-811F3C4571E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DBF-4EDB-9814-1495D28DC31B}"/>
                </c:ext>
              </c:extLst>
            </c:dLbl>
            <c:dLbl>
              <c:idx val="18"/>
              <c:tx>
                <c:rich>
                  <a:bodyPr/>
                  <a:lstStyle/>
                  <a:p>
                    <a:fld id="{70A7ADF1-9629-4408-8861-E180295BE52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DBF-4EDB-9814-1495D28DC31B}"/>
                </c:ext>
              </c:extLst>
            </c:dLbl>
            <c:dLbl>
              <c:idx val="19"/>
              <c:tx>
                <c:rich>
                  <a:bodyPr/>
                  <a:lstStyle/>
                  <a:p>
                    <a:fld id="{4FF5B95B-1252-4632-8D8D-1D7C2FB2FB3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ADBF-4EDB-9814-1495D28DC31B}"/>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'R1'!$N$48:$AK$48</c15:sqref>
                    </c15:fullRef>
                  </c:ext>
                </c:extLst>
                <c:f>('R1'!$N$48:$Y$48,'R1'!$AA$48:$AH$48)</c:f>
                <c:numCache>
                  <c:formatCode>General</c:formatCode>
                  <c:ptCount val="20"/>
                  <c:pt idx="0">
                    <c:v>0</c:v>
                  </c:pt>
                  <c:pt idx="1">
                    <c:v>0.1532669746300272</c:v>
                  </c:pt>
                  <c:pt idx="2">
                    <c:v>0.2477904581094193</c:v>
                  </c:pt>
                  <c:pt idx="3">
                    <c:v>2.7287796671040462E-2</c:v>
                  </c:pt>
                  <c:pt idx="4">
                    <c:v>6.643511617387475E-2</c:v>
                  </c:pt>
                  <c:pt idx="5">
                    <c:v>0.11197622603214526</c:v>
                  </c:pt>
                  <c:pt idx="6">
                    <c:v>1.7329110883936297E-2</c:v>
                  </c:pt>
                  <c:pt idx="7">
                    <c:v>3.4910277817332171E-2</c:v>
                  </c:pt>
                  <c:pt idx="8">
                    <c:v>2.5876987936757322E-2</c:v>
                  </c:pt>
                  <c:pt idx="9">
                    <c:v>0</c:v>
                  </c:pt>
                  <c:pt idx="10">
                    <c:v>0</c:v>
                  </c:pt>
                  <c:pt idx="11">
                    <c:v>0</c:v>
                  </c:pt>
                  <c:pt idx="12">
                    <c:v>0</c:v>
                  </c:pt>
                  <c:pt idx="13">
                    <c:v>0</c:v>
                  </c:pt>
                  <c:pt idx="14">
                    <c:v>0</c:v>
                  </c:pt>
                  <c:pt idx="15">
                    <c:v>0</c:v>
                  </c:pt>
                  <c:pt idx="16">
                    <c:v>0</c:v>
                  </c:pt>
                  <c:pt idx="17">
                    <c:v>0</c:v>
                  </c:pt>
                  <c:pt idx="18">
                    <c:v>0</c:v>
                  </c:pt>
                  <c:pt idx="19">
                    <c:v>0</c:v>
                  </c:pt>
                </c:numCache>
              </c:numRef>
            </c:plus>
            <c:minus>
              <c:numRef>
                <c:extLst>
                  <c:ext xmlns:c15="http://schemas.microsoft.com/office/drawing/2012/chart" uri="{02D57815-91ED-43cb-92C2-25804820EDAC}">
                    <c15:fullRef>
                      <c15:sqref>'R1'!$N$48:$AK$48</c15:sqref>
                    </c15:fullRef>
                  </c:ext>
                </c:extLst>
                <c:f>('R1'!$N$48:$Y$48,'R1'!$AA$48:$AH$48)</c:f>
                <c:numCache>
                  <c:formatCode>General</c:formatCode>
                  <c:ptCount val="20"/>
                  <c:pt idx="0">
                    <c:v>0</c:v>
                  </c:pt>
                  <c:pt idx="1">
                    <c:v>0.1532669746300272</c:v>
                  </c:pt>
                  <c:pt idx="2">
                    <c:v>0.2477904581094193</c:v>
                  </c:pt>
                  <c:pt idx="3">
                    <c:v>2.7287796671040462E-2</c:v>
                  </c:pt>
                  <c:pt idx="4">
                    <c:v>6.643511617387475E-2</c:v>
                  </c:pt>
                  <c:pt idx="5">
                    <c:v>0.11197622603214526</c:v>
                  </c:pt>
                  <c:pt idx="6">
                    <c:v>1.7329110883936297E-2</c:v>
                  </c:pt>
                  <c:pt idx="7">
                    <c:v>3.4910277817332171E-2</c:v>
                  </c:pt>
                  <c:pt idx="8">
                    <c:v>2.5876987936757322E-2</c:v>
                  </c:pt>
                  <c:pt idx="9">
                    <c:v>0</c:v>
                  </c:pt>
                  <c:pt idx="10">
                    <c:v>0</c:v>
                  </c:pt>
                  <c:pt idx="11">
                    <c:v>0</c:v>
                  </c:pt>
                  <c:pt idx="12">
                    <c:v>0</c:v>
                  </c:pt>
                  <c:pt idx="13">
                    <c:v>0</c:v>
                  </c:pt>
                  <c:pt idx="14">
                    <c:v>0</c:v>
                  </c:pt>
                  <c:pt idx="15">
                    <c:v>0</c:v>
                  </c:pt>
                  <c:pt idx="16">
                    <c:v>0</c:v>
                  </c:pt>
                  <c:pt idx="17">
                    <c:v>0</c:v>
                  </c:pt>
                  <c:pt idx="18">
                    <c:v>0</c:v>
                  </c:pt>
                  <c:pt idx="19">
                    <c:v>0</c:v>
                  </c:pt>
                </c:numCache>
              </c:numRef>
            </c:minus>
          </c:errBars>
          <c:cat>
            <c:strRef>
              <c:extLst>
                <c:ext xmlns:c15="http://schemas.microsoft.com/office/drawing/2012/chart" uri="{02D57815-91ED-43cb-92C2-25804820EDAC}">
                  <c15:fullRef>
                    <c15:sqref>'R1'!$B$52:$AK$52</c15:sqref>
                  </c15:fullRef>
                </c:ext>
              </c:extLst>
              <c:f>('R1'!$B$52:$M$52,'R1'!$O$52:$V$52)</c:f>
              <c:strCache>
                <c:ptCount val="20"/>
                <c:pt idx="0">
                  <c:v>Témoin solvant</c:v>
                </c:pt>
                <c:pt idx="1">
                  <c:v>EE2-33,8ng/L</c:v>
                </c:pt>
                <c:pt idx="2">
                  <c:v>EE2-50,6ng/L</c:v>
                </c:pt>
                <c:pt idx="3">
                  <c:v>EE2-76ng/L</c:v>
                </c:pt>
                <c:pt idx="4">
                  <c:v>EE2-114ng/L</c:v>
                </c:pt>
                <c:pt idx="5">
                  <c:v>EE2-170,9ng/L</c:v>
                </c:pt>
                <c:pt idx="6">
                  <c:v>EE2-488ng/L</c:v>
                </c:pt>
                <c:pt idx="7">
                  <c:v>Anastrozole 0,032 ug/L</c:v>
                </c:pt>
                <c:pt idx="8">
                  <c:v>Anastrozole 0,16 ug/L</c:v>
                </c:pt>
                <c:pt idx="9">
                  <c:v>Anastrozole 0,8 ug/L</c:v>
                </c:pt>
                <c:pt idx="10">
                  <c:v>Anastrozole 4 ug/L</c:v>
                </c:pt>
                <c:pt idx="11">
                  <c:v>Anastrozole 20 ug/L</c:v>
                </c:pt>
                <c:pt idx="12">
                  <c:v>Testo -30µg/L</c:v>
                </c:pt>
                <c:pt idx="13">
                  <c:v>Testo 30µg/L + EE2 -64ng/L</c:v>
                </c:pt>
                <c:pt idx="14">
                  <c:v>Testo 30µg/L + FAD-10mg/L</c:v>
                </c:pt>
                <c:pt idx="15">
                  <c:v>Anastrozole-0,032ug/L + Testostérone</c:v>
                </c:pt>
                <c:pt idx="16">
                  <c:v>Anastrozole-0,16ug/L + Testostérone</c:v>
                </c:pt>
                <c:pt idx="17">
                  <c:v>Anastrozole-0,8ug/L + Testostérone</c:v>
                </c:pt>
                <c:pt idx="18">
                  <c:v>Anastrozole-4ug/L + Testostérone</c:v>
                </c:pt>
                <c:pt idx="19">
                  <c:v>Anastrozole-20ug/L + Testostérone</c:v>
                </c:pt>
              </c:strCache>
            </c:strRef>
          </c:cat>
          <c:val>
            <c:numRef>
              <c:extLst>
                <c:ext xmlns:c15="http://schemas.microsoft.com/office/drawing/2012/chart" uri="{02D57815-91ED-43cb-92C2-25804820EDAC}">
                  <c15:fullRef>
                    <c15:sqref>'R1'!$B$53:$AK$53</c15:sqref>
                  </c15:fullRef>
                </c:ext>
              </c:extLst>
              <c:f>('R1'!$B$53:$M$53,'R1'!$O$53:$V$53)</c:f>
              <c:numCache>
                <c:formatCode>0.0000</c:formatCode>
                <c:ptCount val="20"/>
                <c:pt idx="0">
                  <c:v>0.1066495671966312</c:v>
                </c:pt>
                <c:pt idx="1">
                  <c:v>8.2703392590617125E-2</c:v>
                </c:pt>
                <c:pt idx="2">
                  <c:v>9.9590338151935243E-2</c:v>
                </c:pt>
                <c:pt idx="3">
                  <c:v>0.29836375520102354</c:v>
                </c:pt>
                <c:pt idx="4">
                  <c:v>0.72627289642753334</c:v>
                </c:pt>
                <c:pt idx="5">
                  <c:v>1.6068487811573171</c:v>
                </c:pt>
                <c:pt idx="6">
                  <c:v>2.8955704415286125</c:v>
                </c:pt>
                <c:pt idx="7">
                  <c:v>0.1164777018780412</c:v>
                </c:pt>
                <c:pt idx="8">
                  <c:v>0.11797618324675639</c:v>
                </c:pt>
                <c:pt idx="9">
                  <c:v>9.5827218238110634E-2</c:v>
                </c:pt>
                <c:pt idx="10">
                  <c:v>0.11482724254537757</c:v>
                </c:pt>
                <c:pt idx="11">
                  <c:v>0.11630358803495652</c:v>
                </c:pt>
                <c:pt idx="12">
                  <c:v>0.99999999999999989</c:v>
                </c:pt>
                <c:pt idx="13">
                  <c:v>1.6060676634003328</c:v>
                </c:pt>
                <c:pt idx="14">
                  <c:v>7.4667872809074803E-2</c:v>
                </c:pt>
                <c:pt idx="15">
                  <c:v>0.49321970988704006</c:v>
                </c:pt>
                <c:pt idx="16">
                  <c:v>0.36574211165248421</c:v>
                </c:pt>
                <c:pt idx="17">
                  <c:v>6.4585977319805851E-2</c:v>
                </c:pt>
                <c:pt idx="18">
                  <c:v>0.12353296794818817</c:v>
                </c:pt>
                <c:pt idx="19">
                  <c:v>0.10495768141656039</c:v>
                </c:pt>
              </c:numCache>
            </c:numRef>
          </c:val>
          <c:extLst>
            <c:ext xmlns:c15="http://schemas.microsoft.com/office/drawing/2012/chart" uri="{02D57815-91ED-43cb-92C2-25804820EDAC}">
              <c15:datalabelsRange>
                <c15:f>'R1'!$B$61:$V$61</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NS</c:v>
                  </c:pt>
                  <c:pt idx="15">
                    <c:v>***</c:v>
                  </c:pt>
                  <c:pt idx="16">
                    <c:v>**</c:v>
                  </c:pt>
                  <c:pt idx="17">
                    <c:v>**</c:v>
                  </c:pt>
                  <c:pt idx="18">
                    <c:v>***</c:v>
                  </c:pt>
                  <c:pt idx="19">
                    <c:v>***</c:v>
                  </c:pt>
                  <c:pt idx="20">
                    <c:v>***</c:v>
                  </c:pt>
                </c15:dlblRangeCache>
              </c15:datalabelsRange>
            </c:ext>
            <c:ext xmlns:c16="http://schemas.microsoft.com/office/drawing/2014/chart" uri="{C3380CC4-5D6E-409C-BE32-E72D297353CC}">
              <c16:uniqueId val="{00000000-4E48-433F-93CE-959A7E8575BB}"/>
            </c:ext>
          </c:extLst>
        </c:ser>
        <c:dLbls>
          <c:dLblPos val="outEnd"/>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AEC0-477C-9DDB-C56D8CC37D38}"/>
              </c:ext>
            </c:extLst>
          </c:dPt>
          <c:dPt>
            <c:idx val="1"/>
            <c:invertIfNegative val="0"/>
            <c:bubble3D val="0"/>
            <c:spPr>
              <a:solidFill>
                <a:srgbClr val="FF0000"/>
              </a:solidFill>
            </c:spPr>
            <c:extLst>
              <c:ext xmlns:c16="http://schemas.microsoft.com/office/drawing/2014/chart" uri="{C3380CC4-5D6E-409C-BE32-E72D297353CC}">
                <c16:uniqueId val="{00000018-AEC0-477C-9DDB-C56D8CC37D38}"/>
              </c:ext>
            </c:extLst>
          </c:dPt>
          <c:dPt>
            <c:idx val="2"/>
            <c:invertIfNegative val="0"/>
            <c:bubble3D val="0"/>
            <c:spPr>
              <a:solidFill>
                <a:srgbClr val="FF0000"/>
              </a:solidFill>
            </c:spPr>
            <c:extLst>
              <c:ext xmlns:c16="http://schemas.microsoft.com/office/drawing/2014/chart" uri="{C3380CC4-5D6E-409C-BE32-E72D297353CC}">
                <c16:uniqueId val="{00000019-AEC0-477C-9DDB-C56D8CC37D38}"/>
              </c:ext>
            </c:extLst>
          </c:dPt>
          <c:dPt>
            <c:idx val="3"/>
            <c:invertIfNegative val="0"/>
            <c:bubble3D val="0"/>
            <c:spPr>
              <a:solidFill>
                <a:srgbClr val="FF0000"/>
              </a:solidFill>
            </c:spPr>
            <c:extLst>
              <c:ext xmlns:c16="http://schemas.microsoft.com/office/drawing/2014/chart" uri="{C3380CC4-5D6E-409C-BE32-E72D297353CC}">
                <c16:uniqueId val="{0000001A-AEC0-477C-9DDB-C56D8CC37D38}"/>
              </c:ext>
            </c:extLst>
          </c:dPt>
          <c:dPt>
            <c:idx val="4"/>
            <c:invertIfNegative val="0"/>
            <c:bubble3D val="0"/>
            <c:spPr>
              <a:solidFill>
                <a:srgbClr val="FF0000"/>
              </a:solidFill>
            </c:spPr>
            <c:extLst>
              <c:ext xmlns:c16="http://schemas.microsoft.com/office/drawing/2014/chart" uri="{C3380CC4-5D6E-409C-BE32-E72D297353CC}">
                <c16:uniqueId val="{0000001B-AEC0-477C-9DDB-C56D8CC37D38}"/>
              </c:ext>
            </c:extLst>
          </c:dPt>
          <c:dPt>
            <c:idx val="5"/>
            <c:invertIfNegative val="0"/>
            <c:bubble3D val="0"/>
            <c:spPr>
              <a:solidFill>
                <a:srgbClr val="FF0000"/>
              </a:solidFill>
            </c:spPr>
            <c:extLst>
              <c:ext xmlns:c16="http://schemas.microsoft.com/office/drawing/2014/chart" uri="{C3380CC4-5D6E-409C-BE32-E72D297353CC}">
                <c16:uniqueId val="{0000001C-AEC0-477C-9DDB-C56D8CC37D38}"/>
              </c:ext>
            </c:extLst>
          </c:dPt>
          <c:dPt>
            <c:idx val="6"/>
            <c:invertIfNegative val="0"/>
            <c:bubble3D val="0"/>
            <c:spPr>
              <a:solidFill>
                <a:srgbClr val="FF0000"/>
              </a:solidFill>
            </c:spPr>
            <c:extLst>
              <c:ext xmlns:c16="http://schemas.microsoft.com/office/drawing/2014/chart" uri="{C3380CC4-5D6E-409C-BE32-E72D297353CC}">
                <c16:uniqueId val="{0000001D-AEC0-477C-9DDB-C56D8CC37D38}"/>
              </c:ext>
            </c:extLst>
          </c:dPt>
          <c:dPt>
            <c:idx val="7"/>
            <c:invertIfNegative val="0"/>
            <c:bubble3D val="0"/>
            <c:spPr>
              <a:solidFill>
                <a:schemeClr val="bg2">
                  <a:lumMod val="90000"/>
                </a:schemeClr>
              </a:solidFill>
            </c:spPr>
            <c:extLst>
              <c:ext xmlns:c16="http://schemas.microsoft.com/office/drawing/2014/chart" uri="{C3380CC4-5D6E-409C-BE32-E72D297353CC}">
                <c16:uniqueId val="{0000001E-AEC0-477C-9DDB-C56D8CC37D38}"/>
              </c:ext>
            </c:extLst>
          </c:dPt>
          <c:dPt>
            <c:idx val="8"/>
            <c:invertIfNegative val="0"/>
            <c:bubble3D val="0"/>
            <c:spPr>
              <a:solidFill>
                <a:schemeClr val="bg2">
                  <a:lumMod val="90000"/>
                </a:schemeClr>
              </a:solidFill>
            </c:spPr>
            <c:extLst>
              <c:ext xmlns:c16="http://schemas.microsoft.com/office/drawing/2014/chart" uri="{C3380CC4-5D6E-409C-BE32-E72D297353CC}">
                <c16:uniqueId val="{0000001F-AEC0-477C-9DDB-C56D8CC37D38}"/>
              </c:ext>
            </c:extLst>
          </c:dPt>
          <c:dPt>
            <c:idx val="9"/>
            <c:invertIfNegative val="0"/>
            <c:bubble3D val="0"/>
            <c:spPr>
              <a:solidFill>
                <a:schemeClr val="bg2">
                  <a:lumMod val="9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2">
                  <a:lumMod val="90000"/>
                </a:schemeClr>
              </a:solidFill>
            </c:spPr>
            <c:extLst>
              <c:ext xmlns:c16="http://schemas.microsoft.com/office/drawing/2014/chart" uri="{C3380CC4-5D6E-409C-BE32-E72D297353CC}">
                <c16:uniqueId val="{00000020-AEC0-477C-9DDB-C56D8CC37D38}"/>
              </c:ext>
            </c:extLst>
          </c:dPt>
          <c:dPt>
            <c:idx val="11"/>
            <c:invertIfNegative val="0"/>
            <c:bubble3D val="0"/>
            <c:spPr>
              <a:solidFill>
                <a:schemeClr val="bg2">
                  <a:lumMod val="90000"/>
                </a:schemeClr>
              </a:solidFill>
            </c:spPr>
            <c:extLst>
              <c:ext xmlns:c16="http://schemas.microsoft.com/office/drawing/2014/chart" uri="{C3380CC4-5D6E-409C-BE32-E72D297353CC}">
                <c16:uniqueId val="{00000003-EED2-4ACE-91AA-7F8713196E92}"/>
              </c:ext>
            </c:extLst>
          </c:dPt>
          <c:dPt>
            <c:idx val="12"/>
            <c:invertIfNegative val="0"/>
            <c:bubble3D val="0"/>
            <c:spPr>
              <a:solidFill>
                <a:srgbClr val="00B050"/>
              </a:solidFill>
            </c:spPr>
            <c:extLst>
              <c:ext xmlns:c16="http://schemas.microsoft.com/office/drawing/2014/chart" uri="{C3380CC4-5D6E-409C-BE32-E72D297353CC}">
                <c16:uniqueId val="{00000005-EED2-4ACE-91AA-7F8713196E92}"/>
              </c:ext>
            </c:extLst>
          </c:dPt>
          <c:dPt>
            <c:idx val="13"/>
            <c:invertIfNegative val="0"/>
            <c:bubble3D val="0"/>
            <c:spPr>
              <a:solidFill>
                <a:srgbClr val="92D050"/>
              </a:solidFill>
            </c:spPr>
            <c:extLst>
              <c:ext xmlns:c16="http://schemas.microsoft.com/office/drawing/2014/chart" uri="{C3380CC4-5D6E-409C-BE32-E72D297353CC}">
                <c16:uniqueId val="{00000021-AEC0-477C-9DDB-C56D8CC37D38}"/>
              </c:ext>
            </c:extLst>
          </c:dPt>
          <c:dPt>
            <c:idx val="14"/>
            <c:invertIfNegative val="0"/>
            <c:bubble3D val="0"/>
            <c:spPr>
              <a:solidFill>
                <a:srgbClr val="92D050"/>
              </a:solidFill>
            </c:spPr>
            <c:extLst>
              <c:ext xmlns:c16="http://schemas.microsoft.com/office/drawing/2014/chart" uri="{C3380CC4-5D6E-409C-BE32-E72D297353CC}">
                <c16:uniqueId val="{00000007-EED2-4ACE-91AA-7F8713196E92}"/>
              </c:ext>
            </c:extLst>
          </c:dPt>
          <c:dPt>
            <c:idx val="15"/>
            <c:invertIfNegative val="0"/>
            <c:bubble3D val="0"/>
            <c:spPr>
              <a:solidFill>
                <a:schemeClr val="accent5">
                  <a:lumMod val="20000"/>
                  <a:lumOff val="80000"/>
                </a:schemeClr>
              </a:solidFill>
            </c:spPr>
            <c:extLst>
              <c:ext xmlns:c16="http://schemas.microsoft.com/office/drawing/2014/chart" uri="{C3380CC4-5D6E-409C-BE32-E72D297353CC}">
                <c16:uniqueId val="{00000022-AEC0-477C-9DDB-C56D8CC37D38}"/>
              </c:ext>
            </c:extLst>
          </c:dPt>
          <c:dPt>
            <c:idx val="16"/>
            <c:invertIfNegative val="0"/>
            <c:bubble3D val="0"/>
            <c:spPr>
              <a:solidFill>
                <a:schemeClr val="accent5">
                  <a:lumMod val="20000"/>
                  <a:lumOff val="80000"/>
                </a:schemeClr>
              </a:solidFill>
            </c:spPr>
            <c:extLst>
              <c:ext xmlns:c16="http://schemas.microsoft.com/office/drawing/2014/chart" uri="{C3380CC4-5D6E-409C-BE32-E72D297353CC}">
                <c16:uniqueId val="{00000023-AEC0-477C-9DDB-C56D8CC37D38}"/>
              </c:ext>
            </c:extLst>
          </c:dPt>
          <c:dPt>
            <c:idx val="17"/>
            <c:invertIfNegative val="0"/>
            <c:bubble3D val="0"/>
            <c:spPr>
              <a:solidFill>
                <a:schemeClr val="accent5">
                  <a:lumMod val="20000"/>
                  <a:lumOff val="80000"/>
                </a:schemeClr>
              </a:solidFill>
            </c:spPr>
            <c:extLst>
              <c:ext xmlns:c16="http://schemas.microsoft.com/office/drawing/2014/chart" uri="{C3380CC4-5D6E-409C-BE32-E72D297353CC}">
                <c16:uniqueId val="{00000024-AEC0-477C-9DDB-C56D8CC37D38}"/>
              </c:ext>
            </c:extLst>
          </c:dPt>
          <c:dPt>
            <c:idx val="18"/>
            <c:invertIfNegative val="0"/>
            <c:bubble3D val="0"/>
            <c:spPr>
              <a:solidFill>
                <a:schemeClr val="accent5">
                  <a:lumMod val="20000"/>
                  <a:lumOff val="80000"/>
                </a:schemeClr>
              </a:solidFill>
            </c:spPr>
            <c:extLst>
              <c:ext xmlns:c16="http://schemas.microsoft.com/office/drawing/2014/chart" uri="{C3380CC4-5D6E-409C-BE32-E72D297353CC}">
                <c16:uniqueId val="{00000025-AEC0-477C-9DDB-C56D8CC37D38}"/>
              </c:ext>
            </c:extLst>
          </c:dPt>
          <c:dPt>
            <c:idx val="19"/>
            <c:invertIfNegative val="0"/>
            <c:bubble3D val="0"/>
            <c:spPr>
              <a:solidFill>
                <a:schemeClr val="accent5">
                  <a:lumMod val="20000"/>
                  <a:lumOff val="80000"/>
                </a:schemeClr>
              </a:solidFill>
            </c:spPr>
            <c:extLst>
              <c:ext xmlns:c16="http://schemas.microsoft.com/office/drawing/2014/chart" uri="{C3380CC4-5D6E-409C-BE32-E72D297353CC}">
                <c16:uniqueId val="{00000026-AEC0-477C-9DDB-C56D8CC37D38}"/>
              </c:ext>
            </c:extLst>
          </c:dPt>
          <c:dLbls>
            <c:dLbl>
              <c:idx val="0"/>
              <c:tx>
                <c:rich>
                  <a:bodyPr/>
                  <a:lstStyle/>
                  <a:p>
                    <a:fld id="{EE73E934-FEFA-447F-ABC5-B9492F6FEAC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EC0-477C-9DDB-C56D8CC37D38}"/>
                </c:ext>
              </c:extLst>
            </c:dLbl>
            <c:dLbl>
              <c:idx val="1"/>
              <c:tx>
                <c:rich>
                  <a:bodyPr/>
                  <a:lstStyle/>
                  <a:p>
                    <a:fld id="{94830B7D-F5DD-41E5-A7CA-3D4ADA198A3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AEC0-477C-9DDB-C56D8CC37D38}"/>
                </c:ext>
              </c:extLst>
            </c:dLbl>
            <c:dLbl>
              <c:idx val="2"/>
              <c:tx>
                <c:rich>
                  <a:bodyPr/>
                  <a:lstStyle/>
                  <a:p>
                    <a:fld id="{8B32F2EE-BEF6-4A05-9640-92A0597F378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AEC0-477C-9DDB-C56D8CC37D38}"/>
                </c:ext>
              </c:extLst>
            </c:dLbl>
            <c:dLbl>
              <c:idx val="3"/>
              <c:tx>
                <c:rich>
                  <a:bodyPr/>
                  <a:lstStyle/>
                  <a:p>
                    <a:fld id="{8CB26202-E029-4472-9D29-7F8E9FD7C34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AEC0-477C-9DDB-C56D8CC37D38}"/>
                </c:ext>
              </c:extLst>
            </c:dLbl>
            <c:dLbl>
              <c:idx val="4"/>
              <c:tx>
                <c:rich>
                  <a:bodyPr/>
                  <a:lstStyle/>
                  <a:p>
                    <a:fld id="{C5E2F91D-3DFB-490D-9353-A2766B5BD9B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AEC0-477C-9DDB-C56D8CC37D38}"/>
                </c:ext>
              </c:extLst>
            </c:dLbl>
            <c:dLbl>
              <c:idx val="5"/>
              <c:tx>
                <c:rich>
                  <a:bodyPr/>
                  <a:lstStyle/>
                  <a:p>
                    <a:fld id="{162F6CBC-E34E-4281-B22D-3167F3F5F24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AEC0-477C-9DDB-C56D8CC37D38}"/>
                </c:ext>
              </c:extLst>
            </c:dLbl>
            <c:dLbl>
              <c:idx val="6"/>
              <c:tx>
                <c:rich>
                  <a:bodyPr/>
                  <a:lstStyle/>
                  <a:p>
                    <a:fld id="{F28BEC74-F674-4C43-8D2B-712F333DA3C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AEC0-477C-9DDB-C56D8CC37D38}"/>
                </c:ext>
              </c:extLst>
            </c:dLbl>
            <c:dLbl>
              <c:idx val="7"/>
              <c:tx>
                <c:rich>
                  <a:bodyPr/>
                  <a:lstStyle/>
                  <a:p>
                    <a:fld id="{1036076F-8ABB-4E93-8AAD-75E83A3949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AEC0-477C-9DDB-C56D8CC37D38}"/>
                </c:ext>
              </c:extLst>
            </c:dLbl>
            <c:dLbl>
              <c:idx val="8"/>
              <c:tx>
                <c:rich>
                  <a:bodyPr/>
                  <a:lstStyle/>
                  <a:p>
                    <a:fld id="{5D13355D-FF61-4F45-A012-00FBCF9C4E7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AEC0-477C-9DDB-C56D8CC37D38}"/>
                </c:ext>
              </c:extLst>
            </c:dLbl>
            <c:dLbl>
              <c:idx val="9"/>
              <c:tx>
                <c:rich>
                  <a:bodyPr/>
                  <a:lstStyle/>
                  <a:p>
                    <a:fld id="{C874068D-2A19-4A0F-93BB-B6063484142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26DEB487-81FA-46AB-A4A4-320532A7FF3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AEC0-477C-9DDB-C56D8CC37D38}"/>
                </c:ext>
              </c:extLst>
            </c:dLbl>
            <c:dLbl>
              <c:idx val="11"/>
              <c:tx>
                <c:rich>
                  <a:bodyPr/>
                  <a:lstStyle/>
                  <a:p>
                    <a:fld id="{6D925F46-7039-4538-A2BF-9C3D8AFBB67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fld id="{2DA3CF18-2DE3-44A2-8881-6590189051D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3"/>
              <c:tx>
                <c:rich>
                  <a:bodyPr/>
                  <a:lstStyle/>
                  <a:p>
                    <a:fld id="{E01A2DBE-DF8B-44DB-A508-59B947A186F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AEC0-477C-9DDB-C56D8CC37D38}"/>
                </c:ext>
              </c:extLst>
            </c:dLbl>
            <c:dLbl>
              <c:idx val="14"/>
              <c:tx>
                <c:rich>
                  <a:bodyPr/>
                  <a:lstStyle/>
                  <a:p>
                    <a:fld id="{9CB12856-7CD9-4EA5-BCED-67827F0E72B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5"/>
              <c:tx>
                <c:rich>
                  <a:bodyPr/>
                  <a:lstStyle/>
                  <a:p>
                    <a:fld id="{8C8B4498-E519-4491-A7F3-D9721914763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AEC0-477C-9DDB-C56D8CC37D38}"/>
                </c:ext>
              </c:extLst>
            </c:dLbl>
            <c:dLbl>
              <c:idx val="16"/>
              <c:tx>
                <c:rich>
                  <a:bodyPr/>
                  <a:lstStyle/>
                  <a:p>
                    <a:fld id="{63986135-568D-4901-A389-0C7ED4559F5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AEC0-477C-9DDB-C56D8CC37D38}"/>
                </c:ext>
              </c:extLst>
            </c:dLbl>
            <c:dLbl>
              <c:idx val="17"/>
              <c:tx>
                <c:rich>
                  <a:bodyPr/>
                  <a:lstStyle/>
                  <a:p>
                    <a:fld id="{61F87640-D394-47A9-9566-12A942E17C4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AEC0-477C-9DDB-C56D8CC37D38}"/>
                </c:ext>
              </c:extLst>
            </c:dLbl>
            <c:dLbl>
              <c:idx val="18"/>
              <c:tx>
                <c:rich>
                  <a:bodyPr/>
                  <a:lstStyle/>
                  <a:p>
                    <a:fld id="{5A322E12-7C32-4307-A509-4B3DFE5707C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AEC0-477C-9DDB-C56D8CC37D38}"/>
                </c:ext>
              </c:extLst>
            </c:dLbl>
            <c:dLbl>
              <c:idx val="19"/>
              <c:tx>
                <c:rich>
                  <a:bodyPr/>
                  <a:lstStyle/>
                  <a:p>
                    <a:fld id="{D1E8589A-3BE2-40C4-BAA0-5D831D11D3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AEC0-477C-9DDB-C56D8CC37D3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'R2'!$B$54:$X$54</c15:sqref>
                    </c15:fullRef>
                  </c:ext>
                </c:extLst>
                <c:f>('R2'!$B$54:$M$54,'R2'!$O$54:$V$54)</c:f>
                <c:numCache>
                  <c:formatCode>General</c:formatCode>
                  <c:ptCount val="20"/>
                  <c:pt idx="0">
                    <c:v>6.6082283541151875E-3</c:v>
                  </c:pt>
                  <c:pt idx="1">
                    <c:v>1.4646536643335303E-2</c:v>
                  </c:pt>
                  <c:pt idx="2">
                    <c:v>3.3243423312036405E-2</c:v>
                  </c:pt>
                  <c:pt idx="3">
                    <c:v>3.6899380182950685E-2</c:v>
                  </c:pt>
                  <c:pt idx="4">
                    <c:v>0.13202307282008738</c:v>
                  </c:pt>
                  <c:pt idx="5">
                    <c:v>0.17396304428706397</c:v>
                  </c:pt>
                  <c:pt idx="6">
                    <c:v>0.19821727350736479</c:v>
                  </c:pt>
                  <c:pt idx="7">
                    <c:v>7.7002403452185392E-3</c:v>
                  </c:pt>
                  <c:pt idx="8">
                    <c:v>1.3365339866903126E-2</c:v>
                  </c:pt>
                  <c:pt idx="9">
                    <c:v>2.8467284777131261E-2</c:v>
                  </c:pt>
                  <c:pt idx="10">
                    <c:v>8.3248493466391762E-3</c:v>
                  </c:pt>
                  <c:pt idx="11">
                    <c:v>1.1428985143089321E-2</c:v>
                  </c:pt>
                  <c:pt idx="12">
                    <c:v>0.13693151373545681</c:v>
                  </c:pt>
                  <c:pt idx="13">
                    <c:v>0.19100514724814535</c:v>
                  </c:pt>
                  <c:pt idx="14">
                    <c:v>2.371489754270081E-2</c:v>
                  </c:pt>
                  <c:pt idx="15">
                    <c:v>0.14810713473178055</c:v>
                  </c:pt>
                  <c:pt idx="16">
                    <c:v>0.15529398733310193</c:v>
                  </c:pt>
                  <c:pt idx="17">
                    <c:v>6.1687662000815789E-2</c:v>
                  </c:pt>
                  <c:pt idx="18">
                    <c:v>2.1889370301195619E-2</c:v>
                  </c:pt>
                  <c:pt idx="19">
                    <c:v>7.10190151606961E-2</c:v>
                  </c:pt>
                </c:numCache>
              </c:numRef>
            </c:plus>
            <c:minus>
              <c:numRef>
                <c:extLst>
                  <c:ext xmlns:c15="http://schemas.microsoft.com/office/drawing/2012/chart" uri="{02D57815-91ED-43cb-92C2-25804820EDAC}">
                    <c15:fullRef>
                      <c15:sqref>'R1'!$N$48:$AK$48</c15:sqref>
                    </c15:fullRef>
                  </c:ext>
                </c:extLst>
                <c:f>('R1'!$N$48:$Y$48,'R1'!$AA$48:$AH$48)</c:f>
                <c:numCache>
                  <c:formatCode>General</c:formatCode>
                  <c:ptCount val="20"/>
                  <c:pt idx="0">
                    <c:v>0</c:v>
                  </c:pt>
                  <c:pt idx="1">
                    <c:v>0.1532669746300272</c:v>
                  </c:pt>
                  <c:pt idx="2">
                    <c:v>0.2477904581094193</c:v>
                  </c:pt>
                  <c:pt idx="3">
                    <c:v>2.7287796671040462E-2</c:v>
                  </c:pt>
                  <c:pt idx="4">
                    <c:v>6.643511617387475E-2</c:v>
                  </c:pt>
                  <c:pt idx="5">
                    <c:v>0.11197622603214526</c:v>
                  </c:pt>
                  <c:pt idx="6">
                    <c:v>1.7329110883936297E-2</c:v>
                  </c:pt>
                  <c:pt idx="7">
                    <c:v>3.4910277817332171E-2</c:v>
                  </c:pt>
                  <c:pt idx="8">
                    <c:v>2.5876987936757322E-2</c:v>
                  </c:pt>
                  <c:pt idx="9">
                    <c:v>0</c:v>
                  </c:pt>
                  <c:pt idx="10">
                    <c:v>0</c:v>
                  </c:pt>
                  <c:pt idx="11">
                    <c:v>0</c:v>
                  </c:pt>
                  <c:pt idx="12">
                    <c:v>0</c:v>
                  </c:pt>
                  <c:pt idx="13">
                    <c:v>0</c:v>
                  </c:pt>
                  <c:pt idx="14">
                    <c:v>0</c:v>
                  </c:pt>
                  <c:pt idx="15">
                    <c:v>0</c:v>
                  </c:pt>
                  <c:pt idx="16">
                    <c:v>0</c:v>
                  </c:pt>
                  <c:pt idx="17">
                    <c:v>0</c:v>
                  </c:pt>
                  <c:pt idx="18">
                    <c:v>0</c:v>
                  </c:pt>
                  <c:pt idx="19">
                    <c:v>0</c:v>
                  </c:pt>
                </c:numCache>
              </c:numRef>
            </c:minus>
          </c:errBars>
          <c:cat>
            <c:strRef>
              <c:extLst>
                <c:ext xmlns:c15="http://schemas.microsoft.com/office/drawing/2012/chart" uri="{02D57815-91ED-43cb-92C2-25804820EDAC}">
                  <c15:fullRef>
                    <c15:sqref>'R2'!$B$52:$AK$52</c15:sqref>
                  </c15:fullRef>
                </c:ext>
              </c:extLst>
              <c:f>('R2'!$B$52:$M$52,'R2'!$O$52:$V$52)</c:f>
              <c:strCache>
                <c:ptCount val="20"/>
                <c:pt idx="0">
                  <c:v>Témoin solvant</c:v>
                </c:pt>
                <c:pt idx="1">
                  <c:v>EE2-33,8ng/L</c:v>
                </c:pt>
                <c:pt idx="2">
                  <c:v>EE2-50,6ng/L</c:v>
                </c:pt>
                <c:pt idx="3">
                  <c:v>EE2-76ng/L</c:v>
                </c:pt>
                <c:pt idx="4">
                  <c:v>EE2-114ng/L</c:v>
                </c:pt>
                <c:pt idx="5">
                  <c:v>EE2-170,9ng/L</c:v>
                </c:pt>
                <c:pt idx="6">
                  <c:v>EE2-488ng/L</c:v>
                </c:pt>
                <c:pt idx="7">
                  <c:v>Anastrozole 0,032 ug/L</c:v>
                </c:pt>
                <c:pt idx="8">
                  <c:v>Anastrozole 0,16 ug/L</c:v>
                </c:pt>
                <c:pt idx="9">
                  <c:v>Anastrozole 0,8 ug/L</c:v>
                </c:pt>
                <c:pt idx="10">
                  <c:v>Anastrozole 4 ug/L</c:v>
                </c:pt>
                <c:pt idx="11">
                  <c:v>Anastrozole 20 ug/L</c:v>
                </c:pt>
                <c:pt idx="12">
                  <c:v>Testo -30µg/L</c:v>
                </c:pt>
                <c:pt idx="13">
                  <c:v>Testo 30µg/L + EE2 -64ng/L</c:v>
                </c:pt>
                <c:pt idx="14">
                  <c:v>Testo 30µg/L + FAD-10mg/L</c:v>
                </c:pt>
                <c:pt idx="15">
                  <c:v>Anastrozole-0,032ug/L + Testostérone</c:v>
                </c:pt>
                <c:pt idx="16">
                  <c:v>Anastrozole-0,16ug/L + Testostérone</c:v>
                </c:pt>
                <c:pt idx="17">
                  <c:v>Anastrozole-0,8ug/L + Testostérone</c:v>
                </c:pt>
                <c:pt idx="18">
                  <c:v>Anastrozole-4ug/L + Testostérone</c:v>
                </c:pt>
                <c:pt idx="19">
                  <c:v>Anastrozole-20ug/L + Testostérone</c:v>
                </c:pt>
              </c:strCache>
            </c:strRef>
          </c:cat>
          <c:val>
            <c:numRef>
              <c:extLst>
                <c:ext xmlns:c15="http://schemas.microsoft.com/office/drawing/2012/chart" uri="{02D57815-91ED-43cb-92C2-25804820EDAC}">
                  <c15:fullRef>
                    <c15:sqref>'R2'!$B$53:$AK$53</c15:sqref>
                  </c15:fullRef>
                </c:ext>
              </c:extLst>
              <c:f>('R2'!$B$53:$M$53,'R2'!$O$53:$V$53)</c:f>
              <c:numCache>
                <c:formatCode>0.0000</c:formatCode>
                <c:ptCount val="20"/>
                <c:pt idx="0">
                  <c:v>4.0907070771282729E-2</c:v>
                </c:pt>
                <c:pt idx="1">
                  <c:v>4.8686267281179349E-2</c:v>
                </c:pt>
                <c:pt idx="2">
                  <c:v>7.7554734042469195E-2</c:v>
                </c:pt>
                <c:pt idx="3">
                  <c:v>0.16197920433918336</c:v>
                </c:pt>
                <c:pt idx="4">
                  <c:v>0.63743118140337141</c:v>
                </c:pt>
                <c:pt idx="5">
                  <c:v>1.4496870358223231</c:v>
                </c:pt>
                <c:pt idx="6">
                  <c:v>1.8498086889671457</c:v>
                </c:pt>
                <c:pt idx="7">
                  <c:v>4.6448556404700268E-2</c:v>
                </c:pt>
                <c:pt idx="8">
                  <c:v>5.6811730613303316E-2</c:v>
                </c:pt>
                <c:pt idx="9">
                  <c:v>0.10530840625457952</c:v>
                </c:pt>
                <c:pt idx="10">
                  <c:v>4.4279382295251649E-2</c:v>
                </c:pt>
                <c:pt idx="11">
                  <c:v>4.2688229358891432E-2</c:v>
                </c:pt>
                <c:pt idx="12">
                  <c:v>0.99999999999999978</c:v>
                </c:pt>
                <c:pt idx="13">
                  <c:v>1.40663121805692</c:v>
                </c:pt>
                <c:pt idx="14">
                  <c:v>0.10523113308147501</c:v>
                </c:pt>
                <c:pt idx="15">
                  <c:v>0.67171065761147419</c:v>
                </c:pt>
                <c:pt idx="16">
                  <c:v>0.48276875101323757</c:v>
                </c:pt>
                <c:pt idx="17">
                  <c:v>0.12526129969869895</c:v>
                </c:pt>
                <c:pt idx="18">
                  <c:v>5.7401926786694979E-2</c:v>
                </c:pt>
                <c:pt idx="19">
                  <c:v>0.12565258386566644</c:v>
                </c:pt>
              </c:numCache>
            </c:numRef>
          </c:val>
          <c:extLst>
            <c:ext xmlns:c15="http://schemas.microsoft.com/office/drawing/2012/chart" uri="{02D57815-91ED-43cb-92C2-25804820EDAC}">
              <c15:datalabelsRange>
                <c15:f>'R2'!$B$61:$V$61</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NS</c:v>
                  </c:pt>
                  <c:pt idx="15">
                    <c:v>***</c:v>
                  </c:pt>
                  <c:pt idx="16">
                    <c:v>NS</c:v>
                  </c:pt>
                  <c:pt idx="17">
                    <c:v>*</c:v>
                  </c:pt>
                  <c:pt idx="18">
                    <c:v>**</c:v>
                  </c:pt>
                  <c:pt idx="19">
                    <c:v>***</c:v>
                  </c:pt>
                  <c:pt idx="20">
                    <c:v>**</c:v>
                  </c:pt>
                </c15:dlblRangeCache>
              </c15:datalabelsRange>
            </c:ext>
            <c:ext xmlns:c15="http://schemas.microsoft.com/office/drawing/2012/chart" uri="{02D57815-91ED-43cb-92C2-25804820EDAC}">
              <c15:categoryFilterExceptions>
                <c15:categoryFilterException>
                  <c15:sqref>'R2'!$AA$53</c15:sqref>
                  <c15:spPr xmlns:c15="http://schemas.microsoft.com/office/drawing/2012/chart">
                    <a:solidFill>
                      <a:srgbClr val="00B050"/>
                    </a:solidFill>
                  </c15:spPr>
                  <c15:invertIfNegative val="0"/>
                  <c15:bubble3D val="0"/>
                </c15:categoryFilterException>
                <c15:categoryFilterException>
                  <c15:sqref>'R2'!$AB$53</c15:sqref>
                  <c15:spPr xmlns:c15="http://schemas.microsoft.com/office/drawing/2012/chart">
                    <a:solidFill>
                      <a:srgbClr val="FF0000"/>
                    </a:solidFill>
                  </c15:spPr>
                  <c15:invertIfNegative val="0"/>
                  <c15:bubble3D val="0"/>
                </c15:categoryFilterException>
                <c15:categoryFilterException>
                  <c15:sqref>'R2'!$AC$53</c15:sqref>
                  <c15:spPr xmlns:c15="http://schemas.microsoft.com/office/drawing/2012/chart">
                    <a:solidFill>
                      <a:srgbClr val="0070C0"/>
                    </a:solidFill>
                  </c15:spPr>
                  <c15:invertIfNegative val="0"/>
                  <c15:bubble3D val="0"/>
                </c15:categoryFilterException>
                <c15:categoryFilterException>
                  <c15:sqref>'R2'!$AD$53</c15:sqref>
                  <c15:spPr xmlns:c15="http://schemas.microsoft.com/office/drawing/2012/chart">
                    <a:solidFill>
                      <a:schemeClr val="bg1">
                        <a:lumMod val="65000"/>
                      </a:schemeClr>
                    </a:solidFill>
                  </c15:spPr>
                  <c15:invertIfNegative val="0"/>
                  <c15:bubble3D val="0"/>
                </c15:categoryFilterException>
                <c15:categoryFilterException>
                  <c15:sqref>'R2'!$AF$53</c15:sqref>
                  <c15:spPr xmlns:c15="http://schemas.microsoft.com/office/drawing/2012/chart">
                    <a:solidFill>
                      <a:schemeClr val="bg1">
                        <a:lumMod val="65000"/>
                      </a:schemeClr>
                    </a:solidFill>
                  </c15:spPr>
                  <c15:invertIfNegative val="0"/>
                  <c15:bubble3D val="0"/>
                </c15:categoryFilterException>
                <c15:categoryFilterException>
                  <c15:sqref>'R2'!$AH$53</c15:sqref>
                  <c15:spPr xmlns:c15="http://schemas.microsoft.com/office/drawing/2012/chart">
                    <a:solidFill>
                      <a:schemeClr val="bg1">
                        <a:lumMod val="65000"/>
                      </a:schemeClr>
                    </a:solidFill>
                  </c15:spPr>
                  <c15:invertIfNegative val="0"/>
                  <c15:bubble3D val="0"/>
                </c15:categoryFilterException>
                <c15:categoryFilterException>
                  <c15:sqref>'R2'!$AJ$53</c15:sqref>
                  <c15:spPr xmlns:c15="http://schemas.microsoft.com/office/drawing/2012/chart">
                    <a:solidFill>
                      <a:schemeClr val="bg1">
                        <a:lumMod val="65000"/>
                      </a:schemeClr>
                    </a:solidFill>
                  </c15:spPr>
                  <c15:invertIfNegative val="0"/>
                  <c15:bubble3D val="0"/>
                </c15:categoryFilterException>
              </c15:categoryFilterExceptions>
            </c:ext>
            <c:ext xmlns:c16="http://schemas.microsoft.com/office/drawing/2014/chart" uri="{C3380CC4-5D6E-409C-BE32-E72D297353CC}">
              <c16:uniqueId val="{00000016-EED2-4ACE-91AA-7F8713196E92}"/>
            </c:ext>
          </c:extLst>
        </c:ser>
        <c:dLbls>
          <c:dLblPos val="outEnd"/>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BF88-4C8E-B762-92410A1EDAC9}"/>
              </c:ext>
            </c:extLst>
          </c:dPt>
          <c:dPt>
            <c:idx val="1"/>
            <c:invertIfNegative val="0"/>
            <c:bubble3D val="0"/>
            <c:spPr>
              <a:solidFill>
                <a:srgbClr val="FF0000"/>
              </a:solidFill>
            </c:spPr>
            <c:extLst>
              <c:ext xmlns:c16="http://schemas.microsoft.com/office/drawing/2014/chart" uri="{C3380CC4-5D6E-409C-BE32-E72D297353CC}">
                <c16:uniqueId val="{0000001D-BF88-4C8E-B762-92410A1EDAC9}"/>
              </c:ext>
            </c:extLst>
          </c:dPt>
          <c:dPt>
            <c:idx val="2"/>
            <c:invertIfNegative val="0"/>
            <c:bubble3D val="0"/>
            <c:spPr>
              <a:solidFill>
                <a:srgbClr val="FF0000"/>
              </a:solidFill>
            </c:spPr>
            <c:extLst>
              <c:ext xmlns:c16="http://schemas.microsoft.com/office/drawing/2014/chart" uri="{C3380CC4-5D6E-409C-BE32-E72D297353CC}">
                <c16:uniqueId val="{0000001C-BF88-4C8E-B762-92410A1EDAC9}"/>
              </c:ext>
            </c:extLst>
          </c:dPt>
          <c:dPt>
            <c:idx val="3"/>
            <c:invertIfNegative val="0"/>
            <c:bubble3D val="0"/>
            <c:spPr>
              <a:solidFill>
                <a:srgbClr val="FF0000"/>
              </a:solidFill>
            </c:spPr>
            <c:extLst>
              <c:ext xmlns:c16="http://schemas.microsoft.com/office/drawing/2014/chart" uri="{C3380CC4-5D6E-409C-BE32-E72D297353CC}">
                <c16:uniqueId val="{0000001B-BF88-4C8E-B762-92410A1EDAC9}"/>
              </c:ext>
            </c:extLst>
          </c:dPt>
          <c:dPt>
            <c:idx val="4"/>
            <c:invertIfNegative val="0"/>
            <c:bubble3D val="0"/>
            <c:spPr>
              <a:solidFill>
                <a:srgbClr val="FF0000"/>
              </a:solidFill>
            </c:spPr>
            <c:extLst>
              <c:ext xmlns:c16="http://schemas.microsoft.com/office/drawing/2014/chart" uri="{C3380CC4-5D6E-409C-BE32-E72D297353CC}">
                <c16:uniqueId val="{0000001A-BF88-4C8E-B762-92410A1EDAC9}"/>
              </c:ext>
            </c:extLst>
          </c:dPt>
          <c:dPt>
            <c:idx val="5"/>
            <c:invertIfNegative val="0"/>
            <c:bubble3D val="0"/>
            <c:spPr>
              <a:solidFill>
                <a:srgbClr val="FF0000"/>
              </a:solidFill>
            </c:spPr>
            <c:extLst>
              <c:ext xmlns:c16="http://schemas.microsoft.com/office/drawing/2014/chart" uri="{C3380CC4-5D6E-409C-BE32-E72D297353CC}">
                <c16:uniqueId val="{00000019-BF88-4C8E-B762-92410A1EDAC9}"/>
              </c:ext>
            </c:extLst>
          </c:dPt>
          <c:dPt>
            <c:idx val="6"/>
            <c:invertIfNegative val="0"/>
            <c:bubble3D val="0"/>
            <c:spPr>
              <a:solidFill>
                <a:srgbClr val="FF0000"/>
              </a:solidFill>
            </c:spPr>
            <c:extLst>
              <c:ext xmlns:c16="http://schemas.microsoft.com/office/drawing/2014/chart" uri="{C3380CC4-5D6E-409C-BE32-E72D297353CC}">
                <c16:uniqueId val="{00000018-BF88-4C8E-B762-92410A1EDAC9}"/>
              </c:ext>
            </c:extLst>
          </c:dPt>
          <c:dPt>
            <c:idx val="7"/>
            <c:invertIfNegative val="0"/>
            <c:bubble3D val="0"/>
            <c:spPr>
              <a:solidFill>
                <a:schemeClr val="bg2">
                  <a:lumMod val="90000"/>
                </a:schemeClr>
              </a:solidFill>
            </c:spPr>
            <c:extLst>
              <c:ext xmlns:c16="http://schemas.microsoft.com/office/drawing/2014/chart" uri="{C3380CC4-5D6E-409C-BE32-E72D297353CC}">
                <c16:uniqueId val="{0000001E-BF88-4C8E-B762-92410A1EDAC9}"/>
              </c:ext>
            </c:extLst>
          </c:dPt>
          <c:dPt>
            <c:idx val="8"/>
            <c:invertIfNegative val="0"/>
            <c:bubble3D val="0"/>
            <c:spPr>
              <a:solidFill>
                <a:schemeClr val="bg2">
                  <a:lumMod val="90000"/>
                </a:schemeClr>
              </a:solidFill>
            </c:spPr>
            <c:extLst>
              <c:ext xmlns:c16="http://schemas.microsoft.com/office/drawing/2014/chart" uri="{C3380CC4-5D6E-409C-BE32-E72D297353CC}">
                <c16:uniqueId val="{0000001F-BF88-4C8E-B762-92410A1EDAC9}"/>
              </c:ext>
            </c:extLst>
          </c:dPt>
          <c:dPt>
            <c:idx val="9"/>
            <c:invertIfNegative val="0"/>
            <c:bubble3D val="0"/>
            <c:spPr>
              <a:solidFill>
                <a:schemeClr val="bg2">
                  <a:lumMod val="9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2">
                  <a:lumMod val="90000"/>
                </a:schemeClr>
              </a:solidFill>
            </c:spPr>
            <c:extLst>
              <c:ext xmlns:c16="http://schemas.microsoft.com/office/drawing/2014/chart" uri="{C3380CC4-5D6E-409C-BE32-E72D297353CC}">
                <c16:uniqueId val="{00000020-BF88-4C8E-B762-92410A1EDAC9}"/>
              </c:ext>
            </c:extLst>
          </c:dPt>
          <c:dPt>
            <c:idx val="11"/>
            <c:invertIfNegative val="0"/>
            <c:bubble3D val="0"/>
            <c:spPr>
              <a:solidFill>
                <a:schemeClr val="bg2">
                  <a:lumMod val="90000"/>
                </a:schemeClr>
              </a:solidFill>
            </c:spPr>
            <c:extLst>
              <c:ext xmlns:c16="http://schemas.microsoft.com/office/drawing/2014/chart" uri="{C3380CC4-5D6E-409C-BE32-E72D297353CC}">
                <c16:uniqueId val="{00000003-EED2-4ACE-91AA-7F8713196E92}"/>
              </c:ext>
            </c:extLst>
          </c:dPt>
          <c:dPt>
            <c:idx val="12"/>
            <c:invertIfNegative val="0"/>
            <c:bubble3D val="0"/>
            <c:spPr>
              <a:solidFill>
                <a:srgbClr val="00B050"/>
              </a:solidFill>
            </c:spPr>
            <c:extLst>
              <c:ext xmlns:c16="http://schemas.microsoft.com/office/drawing/2014/chart" uri="{C3380CC4-5D6E-409C-BE32-E72D297353CC}">
                <c16:uniqueId val="{00000005-EED2-4ACE-91AA-7F8713196E92}"/>
              </c:ext>
            </c:extLst>
          </c:dPt>
          <c:dPt>
            <c:idx val="13"/>
            <c:invertIfNegative val="0"/>
            <c:bubble3D val="0"/>
            <c:spPr>
              <a:solidFill>
                <a:srgbClr val="92D050"/>
              </a:solidFill>
            </c:spPr>
            <c:extLst>
              <c:ext xmlns:c16="http://schemas.microsoft.com/office/drawing/2014/chart" uri="{C3380CC4-5D6E-409C-BE32-E72D297353CC}">
                <c16:uniqueId val="{00000021-BF88-4C8E-B762-92410A1EDAC9}"/>
              </c:ext>
            </c:extLst>
          </c:dPt>
          <c:dPt>
            <c:idx val="14"/>
            <c:invertIfNegative val="0"/>
            <c:bubble3D val="0"/>
            <c:spPr>
              <a:solidFill>
                <a:srgbClr val="92D050"/>
              </a:solidFill>
            </c:spPr>
            <c:extLst>
              <c:ext xmlns:c16="http://schemas.microsoft.com/office/drawing/2014/chart" uri="{C3380CC4-5D6E-409C-BE32-E72D297353CC}">
                <c16:uniqueId val="{00000007-EED2-4ACE-91AA-7F8713196E92}"/>
              </c:ext>
            </c:extLst>
          </c:dPt>
          <c:dPt>
            <c:idx val="15"/>
            <c:invertIfNegative val="0"/>
            <c:bubble3D val="0"/>
            <c:spPr>
              <a:solidFill>
                <a:schemeClr val="accent5">
                  <a:lumMod val="20000"/>
                  <a:lumOff val="80000"/>
                </a:schemeClr>
              </a:solidFill>
            </c:spPr>
            <c:extLst>
              <c:ext xmlns:c16="http://schemas.microsoft.com/office/drawing/2014/chart" uri="{C3380CC4-5D6E-409C-BE32-E72D297353CC}">
                <c16:uniqueId val="{00000022-BF88-4C8E-B762-92410A1EDAC9}"/>
              </c:ext>
            </c:extLst>
          </c:dPt>
          <c:dPt>
            <c:idx val="16"/>
            <c:invertIfNegative val="0"/>
            <c:bubble3D val="0"/>
            <c:spPr>
              <a:solidFill>
                <a:schemeClr val="accent5">
                  <a:lumMod val="20000"/>
                  <a:lumOff val="80000"/>
                </a:schemeClr>
              </a:solidFill>
            </c:spPr>
            <c:extLst>
              <c:ext xmlns:c16="http://schemas.microsoft.com/office/drawing/2014/chart" uri="{C3380CC4-5D6E-409C-BE32-E72D297353CC}">
                <c16:uniqueId val="{00000023-BF88-4C8E-B762-92410A1EDAC9}"/>
              </c:ext>
            </c:extLst>
          </c:dPt>
          <c:dPt>
            <c:idx val="17"/>
            <c:invertIfNegative val="0"/>
            <c:bubble3D val="0"/>
            <c:spPr>
              <a:solidFill>
                <a:schemeClr val="accent5">
                  <a:lumMod val="20000"/>
                  <a:lumOff val="80000"/>
                </a:schemeClr>
              </a:solidFill>
            </c:spPr>
            <c:extLst>
              <c:ext xmlns:c16="http://schemas.microsoft.com/office/drawing/2014/chart" uri="{C3380CC4-5D6E-409C-BE32-E72D297353CC}">
                <c16:uniqueId val="{00000024-BF88-4C8E-B762-92410A1EDAC9}"/>
              </c:ext>
            </c:extLst>
          </c:dPt>
          <c:dPt>
            <c:idx val="18"/>
            <c:invertIfNegative val="0"/>
            <c:bubble3D val="0"/>
            <c:spPr>
              <a:solidFill>
                <a:schemeClr val="accent5">
                  <a:lumMod val="20000"/>
                  <a:lumOff val="80000"/>
                </a:schemeClr>
              </a:solidFill>
            </c:spPr>
            <c:extLst>
              <c:ext xmlns:c16="http://schemas.microsoft.com/office/drawing/2014/chart" uri="{C3380CC4-5D6E-409C-BE32-E72D297353CC}">
                <c16:uniqueId val="{00000025-BF88-4C8E-B762-92410A1EDAC9}"/>
              </c:ext>
            </c:extLst>
          </c:dPt>
          <c:dPt>
            <c:idx val="19"/>
            <c:invertIfNegative val="0"/>
            <c:bubble3D val="0"/>
            <c:spPr>
              <a:solidFill>
                <a:schemeClr val="accent5">
                  <a:lumMod val="20000"/>
                  <a:lumOff val="80000"/>
                </a:schemeClr>
              </a:solidFill>
            </c:spPr>
            <c:extLst>
              <c:ext xmlns:c16="http://schemas.microsoft.com/office/drawing/2014/chart" uri="{C3380CC4-5D6E-409C-BE32-E72D297353CC}">
                <c16:uniqueId val="{00000026-BF88-4C8E-B762-92410A1EDAC9}"/>
              </c:ext>
            </c:extLst>
          </c:dPt>
          <c:dLbls>
            <c:dLbl>
              <c:idx val="0"/>
              <c:tx>
                <c:rich>
                  <a:bodyPr/>
                  <a:lstStyle/>
                  <a:p>
                    <a:fld id="{AEB1681A-BBC5-4C37-92DE-032FC5D4AE0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BF88-4C8E-B762-92410A1EDAC9}"/>
                </c:ext>
              </c:extLst>
            </c:dLbl>
            <c:dLbl>
              <c:idx val="1"/>
              <c:tx>
                <c:rich>
                  <a:bodyPr/>
                  <a:lstStyle/>
                  <a:p>
                    <a:fld id="{816C1E5A-2515-4724-82E5-1CCFDA7A667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BF88-4C8E-B762-92410A1EDAC9}"/>
                </c:ext>
              </c:extLst>
            </c:dLbl>
            <c:dLbl>
              <c:idx val="2"/>
              <c:tx>
                <c:rich>
                  <a:bodyPr/>
                  <a:lstStyle/>
                  <a:p>
                    <a:fld id="{4F5F69A6-CB3F-45A2-BDEB-3C7CC4FA999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BF88-4C8E-B762-92410A1EDAC9}"/>
                </c:ext>
              </c:extLst>
            </c:dLbl>
            <c:dLbl>
              <c:idx val="3"/>
              <c:tx>
                <c:rich>
                  <a:bodyPr/>
                  <a:lstStyle/>
                  <a:p>
                    <a:fld id="{C0CE6C2E-3868-46DA-A0BF-B5D7C1E4BEC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BF88-4C8E-B762-92410A1EDAC9}"/>
                </c:ext>
              </c:extLst>
            </c:dLbl>
            <c:dLbl>
              <c:idx val="4"/>
              <c:tx>
                <c:rich>
                  <a:bodyPr/>
                  <a:lstStyle/>
                  <a:p>
                    <a:fld id="{4F5BED21-A1B2-4C55-A052-C1E9455DF86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BF88-4C8E-B762-92410A1EDAC9}"/>
                </c:ext>
              </c:extLst>
            </c:dLbl>
            <c:dLbl>
              <c:idx val="5"/>
              <c:tx>
                <c:rich>
                  <a:bodyPr/>
                  <a:lstStyle/>
                  <a:p>
                    <a:fld id="{9B1EBE02-407F-4611-8D25-F9BBE52387A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BF88-4C8E-B762-92410A1EDAC9}"/>
                </c:ext>
              </c:extLst>
            </c:dLbl>
            <c:dLbl>
              <c:idx val="6"/>
              <c:tx>
                <c:rich>
                  <a:bodyPr/>
                  <a:lstStyle/>
                  <a:p>
                    <a:fld id="{6F415F56-78CA-47C0-95A1-B320CB27F2E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BF88-4C8E-B762-92410A1EDAC9}"/>
                </c:ext>
              </c:extLst>
            </c:dLbl>
            <c:dLbl>
              <c:idx val="7"/>
              <c:tx>
                <c:rich>
                  <a:bodyPr/>
                  <a:lstStyle/>
                  <a:p>
                    <a:fld id="{8F10A4EB-E4D0-4B91-912A-4A26357B124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BF88-4C8E-B762-92410A1EDAC9}"/>
                </c:ext>
              </c:extLst>
            </c:dLbl>
            <c:dLbl>
              <c:idx val="8"/>
              <c:tx>
                <c:rich>
                  <a:bodyPr/>
                  <a:lstStyle/>
                  <a:p>
                    <a:fld id="{0CF4AF5A-0F0A-4E58-8C5D-7DF05E58C5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BF88-4C8E-B762-92410A1EDAC9}"/>
                </c:ext>
              </c:extLst>
            </c:dLbl>
            <c:dLbl>
              <c:idx val="9"/>
              <c:tx>
                <c:rich>
                  <a:bodyPr/>
                  <a:lstStyle/>
                  <a:p>
                    <a:fld id="{752C64E8-405F-4A3D-8407-E2EAAA03366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7F6D295B-525B-412E-A134-6D9F6C33FA2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BF88-4C8E-B762-92410A1EDAC9}"/>
                </c:ext>
              </c:extLst>
            </c:dLbl>
            <c:dLbl>
              <c:idx val="11"/>
              <c:tx>
                <c:rich>
                  <a:bodyPr/>
                  <a:lstStyle/>
                  <a:p>
                    <a:fld id="{02E723CC-2F56-4760-ACB9-069A317FEC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fld id="{750E1C90-F12E-40A3-8338-E0BA53895E92}"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3"/>
              <c:tx>
                <c:rich>
                  <a:bodyPr/>
                  <a:lstStyle/>
                  <a:p>
                    <a:fld id="{FFA37542-A9CB-4CCE-AEE6-DB7E67C89A0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BF88-4C8E-B762-92410A1EDAC9}"/>
                </c:ext>
              </c:extLst>
            </c:dLbl>
            <c:dLbl>
              <c:idx val="14"/>
              <c:tx>
                <c:rich>
                  <a:bodyPr/>
                  <a:lstStyle/>
                  <a:p>
                    <a:fld id="{EB6FA0EF-B614-4F38-8803-B7F4B5C3454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5"/>
              <c:tx>
                <c:rich>
                  <a:bodyPr/>
                  <a:lstStyle/>
                  <a:p>
                    <a:fld id="{546F710A-034E-4141-9187-16B62891473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BF88-4C8E-B762-92410A1EDAC9}"/>
                </c:ext>
              </c:extLst>
            </c:dLbl>
            <c:dLbl>
              <c:idx val="16"/>
              <c:tx>
                <c:rich>
                  <a:bodyPr/>
                  <a:lstStyle/>
                  <a:p>
                    <a:fld id="{AE8C976B-6C50-4D52-9671-C3119B781192}"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BF88-4C8E-B762-92410A1EDAC9}"/>
                </c:ext>
              </c:extLst>
            </c:dLbl>
            <c:dLbl>
              <c:idx val="17"/>
              <c:tx>
                <c:rich>
                  <a:bodyPr/>
                  <a:lstStyle/>
                  <a:p>
                    <a:fld id="{5B69186C-5530-4B3D-B075-A44AB263C99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BF88-4C8E-B762-92410A1EDAC9}"/>
                </c:ext>
              </c:extLst>
            </c:dLbl>
            <c:dLbl>
              <c:idx val="18"/>
              <c:tx>
                <c:rich>
                  <a:bodyPr/>
                  <a:lstStyle/>
                  <a:p>
                    <a:fld id="{F6669E43-BA21-4C78-BC79-520396141F8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BF88-4C8E-B762-92410A1EDAC9}"/>
                </c:ext>
              </c:extLst>
            </c:dLbl>
            <c:dLbl>
              <c:idx val="19"/>
              <c:tx>
                <c:rich>
                  <a:bodyPr/>
                  <a:lstStyle/>
                  <a:p>
                    <a:fld id="{673DEA0F-06D2-4FDB-8ABD-5048EBEF2CA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BF88-4C8E-B762-92410A1EDAC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'R3'!$B$54:$X$54</c15:sqref>
                    </c15:fullRef>
                  </c:ext>
                </c:extLst>
                <c:f>('R3'!$B$54:$M$54,'R3'!$O$54:$V$54)</c:f>
                <c:numCache>
                  <c:formatCode>General</c:formatCode>
                  <c:ptCount val="20"/>
                  <c:pt idx="0">
                    <c:v>2.7170549639941258E-2</c:v>
                  </c:pt>
                  <c:pt idx="1">
                    <c:v>1.4097425741572906E-2</c:v>
                  </c:pt>
                  <c:pt idx="2">
                    <c:v>6.1497140397847642E-2</c:v>
                  </c:pt>
                  <c:pt idx="3">
                    <c:v>0.12698341567077562</c:v>
                  </c:pt>
                  <c:pt idx="4">
                    <c:v>0.29417264708087154</c:v>
                  </c:pt>
                  <c:pt idx="5">
                    <c:v>0.11729545351785935</c:v>
                  </c:pt>
                  <c:pt idx="6">
                    <c:v>0.46008621908700409</c:v>
                  </c:pt>
                  <c:pt idx="7">
                    <c:v>2.5792800415930451E-2</c:v>
                  </c:pt>
                  <c:pt idx="8">
                    <c:v>2.5764318459317335E-2</c:v>
                  </c:pt>
                  <c:pt idx="9">
                    <c:v>4.264719570091189E-2</c:v>
                  </c:pt>
                  <c:pt idx="10">
                    <c:v>2.5932743931978773E-2</c:v>
                  </c:pt>
                  <c:pt idx="11">
                    <c:v>7.9915977914265066E-2</c:v>
                  </c:pt>
                  <c:pt idx="12">
                    <c:v>0.19378639120667876</c:v>
                  </c:pt>
                  <c:pt idx="13">
                    <c:v>0.23432703702331772</c:v>
                  </c:pt>
                  <c:pt idx="14">
                    <c:v>3.0024139255153535E-2</c:v>
                  </c:pt>
                  <c:pt idx="15">
                    <c:v>0.26604118895335965</c:v>
                  </c:pt>
                  <c:pt idx="16">
                    <c:v>0.13845143850293076</c:v>
                  </c:pt>
                  <c:pt idx="17">
                    <c:v>2.6419223985794531E-2</c:v>
                  </c:pt>
                  <c:pt idx="18">
                    <c:v>2.2342232040493848E-2</c:v>
                  </c:pt>
                  <c:pt idx="19">
                    <c:v>2.9810593345112626E-2</c:v>
                  </c:pt>
                </c:numCache>
              </c:numRef>
            </c:plus>
            <c:minus>
              <c:numRef>
                <c:extLst>
                  <c:ext xmlns:c15="http://schemas.microsoft.com/office/drawing/2012/chart" uri="{02D57815-91ED-43cb-92C2-25804820EDAC}">
                    <c15:fullRef>
                      <c15:sqref>'R1'!$N$48:$AK$48</c15:sqref>
                    </c15:fullRef>
                  </c:ext>
                </c:extLst>
                <c:f>('R1'!$N$48:$Y$48,'R1'!$AA$48:$AH$48)</c:f>
                <c:numCache>
                  <c:formatCode>General</c:formatCode>
                  <c:ptCount val="20"/>
                  <c:pt idx="0">
                    <c:v>0</c:v>
                  </c:pt>
                  <c:pt idx="1">
                    <c:v>0.1532669746300272</c:v>
                  </c:pt>
                  <c:pt idx="2">
                    <c:v>0.2477904581094193</c:v>
                  </c:pt>
                  <c:pt idx="3">
                    <c:v>2.7287796671040462E-2</c:v>
                  </c:pt>
                  <c:pt idx="4">
                    <c:v>6.643511617387475E-2</c:v>
                  </c:pt>
                  <c:pt idx="5">
                    <c:v>0.11197622603214526</c:v>
                  </c:pt>
                  <c:pt idx="6">
                    <c:v>1.7329110883936297E-2</c:v>
                  </c:pt>
                  <c:pt idx="7">
                    <c:v>3.4910277817332171E-2</c:v>
                  </c:pt>
                  <c:pt idx="8">
                    <c:v>2.5876987936757322E-2</c:v>
                  </c:pt>
                  <c:pt idx="9">
                    <c:v>0</c:v>
                  </c:pt>
                  <c:pt idx="10">
                    <c:v>0</c:v>
                  </c:pt>
                  <c:pt idx="11">
                    <c:v>0</c:v>
                  </c:pt>
                  <c:pt idx="12">
                    <c:v>0</c:v>
                  </c:pt>
                  <c:pt idx="13">
                    <c:v>0</c:v>
                  </c:pt>
                  <c:pt idx="14">
                    <c:v>0</c:v>
                  </c:pt>
                  <c:pt idx="15">
                    <c:v>0</c:v>
                  </c:pt>
                  <c:pt idx="16">
                    <c:v>0</c:v>
                  </c:pt>
                  <c:pt idx="17">
                    <c:v>0</c:v>
                  </c:pt>
                  <c:pt idx="18">
                    <c:v>0</c:v>
                  </c:pt>
                  <c:pt idx="19">
                    <c:v>0</c:v>
                  </c:pt>
                </c:numCache>
              </c:numRef>
            </c:minus>
          </c:errBars>
          <c:cat>
            <c:strRef>
              <c:extLst>
                <c:ext xmlns:c15="http://schemas.microsoft.com/office/drawing/2012/chart" uri="{02D57815-91ED-43cb-92C2-25804820EDAC}">
                  <c15:fullRef>
                    <c15:sqref>'R3'!$B$52:$AK$52</c15:sqref>
                  </c15:fullRef>
                </c:ext>
              </c:extLst>
              <c:f>('R3'!$B$52:$M$52,'R3'!$O$52:$V$52)</c:f>
              <c:strCache>
                <c:ptCount val="20"/>
                <c:pt idx="0">
                  <c:v>Témoin solvant</c:v>
                </c:pt>
                <c:pt idx="1">
                  <c:v>EE2-33,8ng/L</c:v>
                </c:pt>
                <c:pt idx="2">
                  <c:v>EE2-50,6ng/L</c:v>
                </c:pt>
                <c:pt idx="3">
                  <c:v>EE2-76ng/L</c:v>
                </c:pt>
                <c:pt idx="4">
                  <c:v>EE2-114ng/L</c:v>
                </c:pt>
                <c:pt idx="5">
                  <c:v>EE2-170,9ng/L</c:v>
                </c:pt>
                <c:pt idx="6">
                  <c:v>EE2-488ng/L</c:v>
                </c:pt>
                <c:pt idx="7">
                  <c:v>Anastrozole 0,032 ug/L</c:v>
                </c:pt>
                <c:pt idx="8">
                  <c:v>Anastrozole 0,16 ug/L</c:v>
                </c:pt>
                <c:pt idx="9">
                  <c:v>Anastrozole 0,8 ug/L</c:v>
                </c:pt>
                <c:pt idx="10">
                  <c:v>Anastrozole 4 ug/L</c:v>
                </c:pt>
                <c:pt idx="11">
                  <c:v>Anastrozole 20 ug/L</c:v>
                </c:pt>
                <c:pt idx="12">
                  <c:v>Testo -30µg/L</c:v>
                </c:pt>
                <c:pt idx="13">
                  <c:v>Testo 30µg/L + EE2 -64ng/L</c:v>
                </c:pt>
                <c:pt idx="14">
                  <c:v>Testo 30µg/L + FAD-10mg/L</c:v>
                </c:pt>
                <c:pt idx="15">
                  <c:v>Anastrozole-0,032ug/L + Testostérone</c:v>
                </c:pt>
                <c:pt idx="16">
                  <c:v>Anastrozole-0,16ug/L + Testostérone</c:v>
                </c:pt>
                <c:pt idx="17">
                  <c:v>Anastrozole-0,8ug/L + Testostérone</c:v>
                </c:pt>
                <c:pt idx="18">
                  <c:v>Anastrozole-4ug/L + Testostérone</c:v>
                </c:pt>
                <c:pt idx="19">
                  <c:v>Anastrozole-20ug/L + Testostérone</c:v>
                </c:pt>
              </c:strCache>
            </c:strRef>
          </c:cat>
          <c:val>
            <c:numRef>
              <c:extLst>
                <c:ext xmlns:c15="http://schemas.microsoft.com/office/drawing/2012/chart" uri="{02D57815-91ED-43cb-92C2-25804820EDAC}">
                  <c15:fullRef>
                    <c15:sqref>'R3'!$B$53:$AK$53</c15:sqref>
                  </c15:fullRef>
                </c:ext>
              </c:extLst>
              <c:f>('R3'!$B$53:$M$53,'R3'!$O$53:$V$53)</c:f>
              <c:numCache>
                <c:formatCode>0.0000</c:formatCode>
                <c:ptCount val="20"/>
                <c:pt idx="0">
                  <c:v>8.3226869738850281E-2</c:v>
                </c:pt>
                <c:pt idx="1">
                  <c:v>5.1858534242058524E-2</c:v>
                </c:pt>
                <c:pt idx="2">
                  <c:v>0.12903810803799259</c:v>
                </c:pt>
                <c:pt idx="3">
                  <c:v>0.31771150081394245</c:v>
                </c:pt>
                <c:pt idx="4">
                  <c:v>1.2061590255620431</c:v>
                </c:pt>
                <c:pt idx="5">
                  <c:v>1.6144306772691999</c:v>
                </c:pt>
                <c:pt idx="6">
                  <c:v>2.4569163201342539</c:v>
                </c:pt>
                <c:pt idx="7">
                  <c:v>8.2540605615854495E-2</c:v>
                </c:pt>
                <c:pt idx="8">
                  <c:v>8.2083010980045695E-2</c:v>
                </c:pt>
                <c:pt idx="9">
                  <c:v>0.12622324941888075</c:v>
                </c:pt>
                <c:pt idx="10">
                  <c:v>6.7576407509039871E-2</c:v>
                </c:pt>
                <c:pt idx="11">
                  <c:v>0.22417490999709599</c:v>
                </c:pt>
                <c:pt idx="12">
                  <c:v>1.0000000000000002</c:v>
                </c:pt>
                <c:pt idx="13">
                  <c:v>1.3599702480888418</c:v>
                </c:pt>
                <c:pt idx="14">
                  <c:v>8.196869262500571E-2</c:v>
                </c:pt>
                <c:pt idx="15">
                  <c:v>1.1355434591350715</c:v>
                </c:pt>
                <c:pt idx="16">
                  <c:v>0.576435661297096</c:v>
                </c:pt>
                <c:pt idx="17">
                  <c:v>0.11054191443195985</c:v>
                </c:pt>
                <c:pt idx="18">
                  <c:v>9.0630375845023758E-2</c:v>
                </c:pt>
                <c:pt idx="19">
                  <c:v>8.8592950872108528E-2</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c:v>
                  </c:pt>
                  <c:pt idx="19">
                    <c:v>***</c:v>
                  </c:pt>
                  <c:pt idx="20">
                    <c:v>***</c:v>
                  </c:pt>
                </c15:dlblRangeCache>
              </c15:datalabelsRange>
            </c:ext>
            <c:ext xmlns:c15="http://schemas.microsoft.com/office/drawing/2012/chart" uri="{02D57815-91ED-43cb-92C2-25804820EDAC}">
              <c15:categoryFilterExceptions>
                <c15:categoryFilterException>
                  <c15:sqref>'R3'!$AA$53</c15:sqref>
                  <c15:spPr xmlns:c15="http://schemas.microsoft.com/office/drawing/2012/chart">
                    <a:solidFill>
                      <a:srgbClr val="00B050"/>
                    </a:solidFill>
                  </c15:spPr>
                  <c15:invertIfNegative val="0"/>
                  <c15:bubble3D val="0"/>
                </c15:categoryFilterException>
                <c15:categoryFilterException>
                  <c15:sqref>'R3'!$AB$53</c15:sqref>
                  <c15:spPr xmlns:c15="http://schemas.microsoft.com/office/drawing/2012/chart">
                    <a:solidFill>
                      <a:srgbClr val="FF0000"/>
                    </a:solidFill>
                  </c15:spPr>
                  <c15:invertIfNegative val="0"/>
                  <c15:bubble3D val="0"/>
                </c15:categoryFilterException>
                <c15:categoryFilterException>
                  <c15:sqref>'R3'!$AC$53</c15:sqref>
                  <c15:spPr xmlns:c15="http://schemas.microsoft.com/office/drawing/2012/chart">
                    <a:solidFill>
                      <a:srgbClr val="0070C0"/>
                    </a:solidFill>
                  </c15:spPr>
                  <c15:invertIfNegative val="0"/>
                  <c15:bubble3D val="0"/>
                </c15:categoryFilterException>
                <c15:categoryFilterException>
                  <c15:sqref>'R3'!$AD$53</c15:sqref>
                  <c15:spPr xmlns:c15="http://schemas.microsoft.com/office/drawing/2012/chart">
                    <a:solidFill>
                      <a:schemeClr val="bg1">
                        <a:lumMod val="65000"/>
                      </a:schemeClr>
                    </a:solidFill>
                  </c15:spPr>
                  <c15:invertIfNegative val="0"/>
                  <c15:bubble3D val="0"/>
                </c15:categoryFilterException>
                <c15:categoryFilterException>
                  <c15:sqref>'R3'!$AF$53</c15:sqref>
                  <c15:spPr xmlns:c15="http://schemas.microsoft.com/office/drawing/2012/chart">
                    <a:solidFill>
                      <a:schemeClr val="bg1">
                        <a:lumMod val="65000"/>
                      </a:schemeClr>
                    </a:solidFill>
                  </c15:spPr>
                  <c15:invertIfNegative val="0"/>
                  <c15:bubble3D val="0"/>
                </c15:categoryFilterException>
                <c15:categoryFilterException>
                  <c15:sqref>'R3'!$AH$53</c15:sqref>
                  <c15:spPr xmlns:c15="http://schemas.microsoft.com/office/drawing/2012/chart">
                    <a:solidFill>
                      <a:schemeClr val="bg1">
                        <a:lumMod val="65000"/>
                      </a:schemeClr>
                    </a:solidFill>
                  </c15:spPr>
                  <c15:invertIfNegative val="0"/>
                  <c15:bubble3D val="0"/>
                </c15:categoryFilterException>
                <c15:categoryFilterException>
                  <c15:sqref>'R3'!$AJ$53</c15:sqref>
                  <c15:spPr xmlns:c15="http://schemas.microsoft.com/office/drawing/2012/chart">
                    <a:solidFill>
                      <a:schemeClr val="bg1">
                        <a:lumMod val="65000"/>
                      </a:schemeClr>
                    </a:solidFill>
                  </c15:spPr>
                  <c15:invertIfNegative val="0"/>
                  <c15:bubble3D val="0"/>
                </c15:categoryFilterException>
              </c15:categoryFilterExceptions>
            </c:ext>
            <c:ext xmlns:c16="http://schemas.microsoft.com/office/drawing/2014/chart" uri="{C3380CC4-5D6E-409C-BE32-E72D297353CC}">
              <c16:uniqueId val="{00000016-EED2-4ACE-91AA-7F8713196E92}"/>
            </c:ext>
          </c:extLst>
        </c:ser>
        <c:dLbls>
          <c:dLblPos val="outEnd"/>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2">
                  <a:lumMod val="9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2">
                  <a:lumMod val="90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2">
                  <a:lumMod val="90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2">
                  <a:lumMod val="90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2">
                  <a:lumMod val="90000"/>
                </a:schemeClr>
              </a:solidFill>
            </c:spPr>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9-033C-4530-84A9-991A3866ABD4}"/>
              </c:ext>
            </c:extLst>
          </c:dPt>
          <c:dPt>
            <c:idx val="13"/>
            <c:invertIfNegative val="0"/>
            <c:bubble3D val="0"/>
            <c:spPr>
              <a:solidFill>
                <a:srgbClr val="92D050"/>
              </a:solidFill>
            </c:spPr>
            <c:extLst>
              <c:ext xmlns:c16="http://schemas.microsoft.com/office/drawing/2014/chart" uri="{C3380CC4-5D6E-409C-BE32-E72D297353CC}">
                <c16:uniqueId val="{0000001B-033C-4530-84A9-991A3866ABD4}"/>
              </c:ext>
            </c:extLst>
          </c:dPt>
          <c:dPt>
            <c:idx val="14"/>
            <c:invertIfNegative val="0"/>
            <c:bubble3D val="0"/>
            <c:spPr>
              <a:solidFill>
                <a:srgbClr val="92D050"/>
              </a:solidFill>
            </c:spPr>
            <c:extLst>
              <c:ext xmlns:c16="http://schemas.microsoft.com/office/drawing/2014/chart" uri="{C3380CC4-5D6E-409C-BE32-E72D297353CC}">
                <c16:uniqueId val="{0000001D-033C-4530-84A9-991A3866ABD4}"/>
              </c:ext>
            </c:extLst>
          </c:dPt>
          <c:dPt>
            <c:idx val="15"/>
            <c:invertIfNegative val="0"/>
            <c:bubble3D val="0"/>
            <c:spPr>
              <a:solidFill>
                <a:schemeClr val="accent5">
                  <a:lumMod val="20000"/>
                  <a:lumOff val="80000"/>
                </a:schemeClr>
              </a:solidFill>
            </c:spPr>
            <c:extLst>
              <c:ext xmlns:c16="http://schemas.microsoft.com/office/drawing/2014/chart" uri="{C3380CC4-5D6E-409C-BE32-E72D297353CC}">
                <c16:uniqueId val="{0000001F-033C-4530-84A9-991A3866ABD4}"/>
              </c:ext>
            </c:extLst>
          </c:dPt>
          <c:dPt>
            <c:idx val="16"/>
            <c:invertIfNegative val="0"/>
            <c:bubble3D val="0"/>
            <c:spPr>
              <a:solidFill>
                <a:schemeClr val="accent5">
                  <a:lumMod val="20000"/>
                  <a:lumOff val="80000"/>
                </a:schemeClr>
              </a:solidFill>
            </c:spPr>
            <c:extLst>
              <c:ext xmlns:c16="http://schemas.microsoft.com/office/drawing/2014/chart" uri="{C3380CC4-5D6E-409C-BE32-E72D297353CC}">
                <c16:uniqueId val="{00000021-033C-4530-84A9-991A3866ABD4}"/>
              </c:ext>
            </c:extLst>
          </c:dPt>
          <c:dPt>
            <c:idx val="17"/>
            <c:invertIfNegative val="0"/>
            <c:bubble3D val="0"/>
            <c:spPr>
              <a:solidFill>
                <a:schemeClr val="accent5">
                  <a:lumMod val="20000"/>
                  <a:lumOff val="80000"/>
                </a:schemeClr>
              </a:solidFill>
            </c:spPr>
            <c:extLst>
              <c:ext xmlns:c16="http://schemas.microsoft.com/office/drawing/2014/chart" uri="{C3380CC4-5D6E-409C-BE32-E72D297353CC}">
                <c16:uniqueId val="{00000023-033C-4530-84A9-991A3866ABD4}"/>
              </c:ext>
            </c:extLst>
          </c:dPt>
          <c:dPt>
            <c:idx val="18"/>
            <c:invertIfNegative val="0"/>
            <c:bubble3D val="0"/>
            <c:spPr>
              <a:solidFill>
                <a:schemeClr val="accent5">
                  <a:lumMod val="20000"/>
                  <a:lumOff val="80000"/>
                </a:schemeClr>
              </a:solidFill>
            </c:spPr>
            <c:extLst>
              <c:ext xmlns:c16="http://schemas.microsoft.com/office/drawing/2014/chart" uri="{C3380CC4-5D6E-409C-BE32-E72D297353CC}">
                <c16:uniqueId val="{00000025-033C-4530-84A9-991A3866ABD4}"/>
              </c:ext>
            </c:extLst>
          </c:dPt>
          <c:dPt>
            <c:idx val="19"/>
            <c:invertIfNegative val="0"/>
            <c:bubble3D val="0"/>
            <c:spPr>
              <a:solidFill>
                <a:schemeClr val="accent5">
                  <a:lumMod val="20000"/>
                  <a:lumOff val="80000"/>
                </a:schemeClr>
              </a:solidFill>
            </c:spPr>
            <c:extLst>
              <c:ext xmlns:c16="http://schemas.microsoft.com/office/drawing/2014/chart" uri="{C3380CC4-5D6E-409C-BE32-E72D297353CC}">
                <c16:uniqueId val="{00000027-033C-4530-84A9-991A3866ABD4}"/>
              </c:ext>
            </c:extLst>
          </c:dPt>
          <c:dLbls>
            <c:dLbl>
              <c:idx val="0"/>
              <c:tx>
                <c:rich>
                  <a:bodyPr/>
                  <a:lstStyle/>
                  <a:p>
                    <a:fld id="{D0407C88-781B-4FCB-A683-0FBD1E1CD80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5DD758A-8497-4524-8BB9-F809689090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489DC90C-EB1A-43EF-9A96-9EC1F3A7F6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A6DD5A66-3AB2-42AC-ACEA-1A141D5F95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741A7009-8E77-44B8-9C5C-E98197B887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6352BB92-9176-4D36-9218-2545D12406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169AFA57-0E29-4E67-9AD3-1AE9141674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ED4A33A5-65D6-460F-B653-8F0B28AA81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8CDF7D92-444D-4121-9CAC-4D2BA24F27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E667335F-8862-4131-8304-B9A04AC156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FD6FA5A9-D2BE-432A-9F11-5F935E5800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9D106D45-CC60-4E41-AFDA-7F6705325E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fld id="{9152470D-4A49-4853-B7C1-11EDFB8E3F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3"/>
              <c:tx>
                <c:rich>
                  <a:bodyPr/>
                  <a:lstStyle/>
                  <a:p>
                    <a:fld id="{5A205144-CB06-435B-8C40-28BA2C853A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4"/>
              <c:tx>
                <c:rich>
                  <a:bodyPr/>
                  <a:lstStyle/>
                  <a:p>
                    <a:fld id="{0DBCA244-5B22-48E1-87F4-90A422ACA7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5"/>
              <c:tx>
                <c:rich>
                  <a:bodyPr/>
                  <a:lstStyle/>
                  <a:p>
                    <a:fld id="{0D4AB2DF-384F-4A41-B66E-D77290299C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6"/>
              <c:tx>
                <c:rich>
                  <a:bodyPr/>
                  <a:lstStyle/>
                  <a:p>
                    <a:fld id="{A8CE1A86-4CE6-42FF-AF1F-933BADBA6F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7"/>
              <c:tx>
                <c:rich>
                  <a:bodyPr/>
                  <a:lstStyle/>
                  <a:p>
                    <a:fld id="{4C08B46C-374D-44EA-98A7-678D3BAAF4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8"/>
              <c:tx>
                <c:rich>
                  <a:bodyPr/>
                  <a:lstStyle/>
                  <a:p>
                    <a:fld id="{9D8B517F-5502-4732-8AA1-AF0F4306A0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19"/>
              <c:tx>
                <c:rich>
                  <a:bodyPr/>
                  <a:lstStyle/>
                  <a:p>
                    <a:fld id="{DBF73AEF-FC8A-47D5-BD50-F1967D367D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extLst>
                  <c:ext xmlns:c15="http://schemas.microsoft.com/office/drawing/2012/chart" uri="{02D57815-91ED-43cb-92C2-25804820EDAC}">
                    <c15:fullRef>
                      <c15:sqref>'pooled normalised values'!$B$76:$AK$76</c15:sqref>
                    </c15:fullRef>
                  </c:ext>
                </c:extLst>
                <c:f>('pooled normalised values'!$B$76:$M$76,'pooled normalised values'!$O$76:$V$76)</c:f>
                <c:numCache>
                  <c:formatCode>General</c:formatCode>
                  <c:ptCount val="20"/>
                  <c:pt idx="0">
                    <c:v>1.7422163347949843E-2</c:v>
                  </c:pt>
                  <c:pt idx="1">
                    <c:v>1.6474634270057822E-2</c:v>
                  </c:pt>
                  <c:pt idx="2">
                    <c:v>2.3845438266708624E-2</c:v>
                  </c:pt>
                  <c:pt idx="3">
                    <c:v>4.8627922512233746E-2</c:v>
                  </c:pt>
                  <c:pt idx="4">
                    <c:v>0.12582148953211453</c:v>
                  </c:pt>
                  <c:pt idx="5">
                    <c:v>9.3374793302659923E-2</c:v>
                  </c:pt>
                  <c:pt idx="6">
                    <c:v>0.20131286910547658</c:v>
                  </c:pt>
                  <c:pt idx="7">
                    <c:v>1.2579706148195582E-2</c:v>
                  </c:pt>
                  <c:pt idx="8">
                    <c:v>1.3876690767118042E-2</c:v>
                  </c:pt>
                  <c:pt idx="9">
                    <c:v>1.7685554064054178E-2</c:v>
                  </c:pt>
                  <c:pt idx="10">
                    <c:v>1.8889212022809625E-2</c:v>
                  </c:pt>
                  <c:pt idx="11">
                    <c:v>3.3315542372522995E-2</c:v>
                  </c:pt>
                  <c:pt idx="12">
                    <c:v>9.2134366715737021E-2</c:v>
                  </c:pt>
                  <c:pt idx="13">
                    <c:v>0.12647493251978165</c:v>
                  </c:pt>
                  <c:pt idx="14">
                    <c:v>1.5212886754956724E-2</c:v>
                  </c:pt>
                  <c:pt idx="15">
                    <c:v>0.11419223118114009</c:v>
                  </c:pt>
                  <c:pt idx="16">
                    <c:v>7.7370997987415799E-2</c:v>
                  </c:pt>
                  <c:pt idx="17">
                    <c:v>2.1370838305290477E-2</c:v>
                  </c:pt>
                  <c:pt idx="18">
                    <c:v>1.6192725966909037E-2</c:v>
                  </c:pt>
                  <c:pt idx="19">
                    <c:v>2.6072298233234953E-2</c:v>
                  </c:pt>
                </c:numCache>
              </c:numRef>
            </c:plus>
            <c:minus>
              <c:numRef>
                <c:extLst>
                  <c:ext xmlns:c15="http://schemas.microsoft.com/office/drawing/2012/chart" uri="{02D57815-91ED-43cb-92C2-25804820EDAC}">
                    <c15:fullRef>
                      <c15:sqref>'pooled normalised values'!$B$76:$AK$76</c15:sqref>
                    </c15:fullRef>
                  </c:ext>
                </c:extLst>
                <c:f>('pooled normalised values'!$B$76:$M$76,'pooled normalised values'!$O$76:$V$76)</c:f>
                <c:numCache>
                  <c:formatCode>General</c:formatCode>
                  <c:ptCount val="20"/>
                  <c:pt idx="0">
                    <c:v>1.7422163347949843E-2</c:v>
                  </c:pt>
                  <c:pt idx="1">
                    <c:v>1.6474634270057822E-2</c:v>
                  </c:pt>
                  <c:pt idx="2">
                    <c:v>2.3845438266708624E-2</c:v>
                  </c:pt>
                  <c:pt idx="3">
                    <c:v>4.8627922512233746E-2</c:v>
                  </c:pt>
                  <c:pt idx="4">
                    <c:v>0.12582148953211453</c:v>
                  </c:pt>
                  <c:pt idx="5">
                    <c:v>9.3374793302659923E-2</c:v>
                  </c:pt>
                  <c:pt idx="6">
                    <c:v>0.20131286910547658</c:v>
                  </c:pt>
                  <c:pt idx="7">
                    <c:v>1.2579706148195582E-2</c:v>
                  </c:pt>
                  <c:pt idx="8">
                    <c:v>1.3876690767118042E-2</c:v>
                  </c:pt>
                  <c:pt idx="9">
                    <c:v>1.7685554064054178E-2</c:v>
                  </c:pt>
                  <c:pt idx="10">
                    <c:v>1.8889212022809625E-2</c:v>
                  </c:pt>
                  <c:pt idx="11">
                    <c:v>3.3315542372522995E-2</c:v>
                  </c:pt>
                  <c:pt idx="12">
                    <c:v>9.2134366715737021E-2</c:v>
                  </c:pt>
                  <c:pt idx="13">
                    <c:v>0.12647493251978165</c:v>
                  </c:pt>
                  <c:pt idx="14">
                    <c:v>1.5212886754956724E-2</c:v>
                  </c:pt>
                  <c:pt idx="15">
                    <c:v>0.11419223118114009</c:v>
                  </c:pt>
                  <c:pt idx="16">
                    <c:v>7.7370997987415799E-2</c:v>
                  </c:pt>
                  <c:pt idx="17">
                    <c:v>2.1370838305290477E-2</c:v>
                  </c:pt>
                  <c:pt idx="18">
                    <c:v>1.6192725966909037E-2</c:v>
                  </c:pt>
                  <c:pt idx="19">
                    <c:v>2.6072298233234953E-2</c:v>
                  </c:pt>
                </c:numCache>
              </c:numRef>
            </c:minus>
          </c:errBars>
          <c:cat>
            <c:strRef>
              <c:extLst>
                <c:ext xmlns:c15="http://schemas.microsoft.com/office/drawing/2012/chart" uri="{02D57815-91ED-43cb-92C2-25804820EDAC}">
                  <c15:fullRef>
                    <c15:sqref>'pooled normalised values'!$B$74:$AK$74</c15:sqref>
                  </c15:fullRef>
                </c:ext>
              </c:extLst>
              <c:f>('pooled normalised values'!$B$74:$M$74,'pooled normalised values'!$O$74:$V$74)</c:f>
              <c:strCache>
                <c:ptCount val="20"/>
                <c:pt idx="0">
                  <c:v>Témoin solvant</c:v>
                </c:pt>
                <c:pt idx="1">
                  <c:v>EE2-33,8ng/L</c:v>
                </c:pt>
                <c:pt idx="2">
                  <c:v>EE2-50,6ng/L</c:v>
                </c:pt>
                <c:pt idx="3">
                  <c:v>EE2-76ng/L</c:v>
                </c:pt>
                <c:pt idx="4">
                  <c:v>EE2-114ng/L</c:v>
                </c:pt>
                <c:pt idx="5">
                  <c:v>EE2-170,9ng/L</c:v>
                </c:pt>
                <c:pt idx="6">
                  <c:v>EE2-488ng/L</c:v>
                </c:pt>
                <c:pt idx="7">
                  <c:v>Anastrozole 0,032 ug/L</c:v>
                </c:pt>
                <c:pt idx="8">
                  <c:v>Anastrozole 0,16 ug/L</c:v>
                </c:pt>
                <c:pt idx="9">
                  <c:v>Anastrozole 0,8 ug/L</c:v>
                </c:pt>
                <c:pt idx="10">
                  <c:v>Anastrozole 4 ug/L</c:v>
                </c:pt>
                <c:pt idx="11">
                  <c:v>Anastrozole 20 ug/L</c:v>
                </c:pt>
                <c:pt idx="12">
                  <c:v>Testo -30µg/L</c:v>
                </c:pt>
                <c:pt idx="13">
                  <c:v>Testo 30µg/L + EE2 -64ng/L</c:v>
                </c:pt>
                <c:pt idx="14">
                  <c:v>Testo 30µg/L + FAD-10mg/L</c:v>
                </c:pt>
                <c:pt idx="15">
                  <c:v>Anastrozole-0,032ug/L + Testostérone</c:v>
                </c:pt>
                <c:pt idx="16">
                  <c:v>Anastrozole-0,16ug/L + Testostérone</c:v>
                </c:pt>
                <c:pt idx="17">
                  <c:v>Anastrozole-0,8ug/L + Testostérone</c:v>
                </c:pt>
                <c:pt idx="18">
                  <c:v>Anastrozole-4ug/L + Testostérone</c:v>
                </c:pt>
                <c:pt idx="19">
                  <c:v>Anastrozole-20ug/L + Testostérone</c:v>
                </c:pt>
              </c:strCache>
            </c:strRef>
          </c:cat>
          <c:val>
            <c:numRef>
              <c:extLst>
                <c:ext xmlns:c15="http://schemas.microsoft.com/office/drawing/2012/chart" uri="{02D57815-91ED-43cb-92C2-25804820EDAC}">
                  <c15:fullRef>
                    <c15:sqref>'pooled normalised values'!$B$75:$AK$75</c15:sqref>
                  </c15:fullRef>
                </c:ext>
              </c:extLst>
              <c:f>('pooled normalised values'!$B$75:$M$75,'pooled normalised values'!$O$75:$V$75)</c:f>
              <c:numCache>
                <c:formatCode>0.0000</c:formatCode>
                <c:ptCount val="20"/>
                <c:pt idx="0">
                  <c:v>7.6653964865881011E-2</c:v>
                </c:pt>
                <c:pt idx="1">
                  <c:v>6.1082731371285004E-2</c:v>
                </c:pt>
                <c:pt idx="2">
                  <c:v>0.10206106007746568</c:v>
                </c:pt>
                <c:pt idx="3">
                  <c:v>0.2568140948704023</c:v>
                </c:pt>
                <c:pt idx="4">
                  <c:v>0.85662103446431637</c:v>
                </c:pt>
                <c:pt idx="5">
                  <c:v>1.5548210075144957</c:v>
                </c:pt>
                <c:pt idx="6">
                  <c:v>2.4007651502100038</c:v>
                </c:pt>
                <c:pt idx="7">
                  <c:v>8.0315530839596805E-2</c:v>
                </c:pt>
                <c:pt idx="8">
                  <c:v>8.5623641613368481E-2</c:v>
                </c:pt>
                <c:pt idx="9">
                  <c:v>0.10928532978426031</c:v>
                </c:pt>
                <c:pt idx="10">
                  <c:v>7.5198074270760182E-2</c:v>
                </c:pt>
                <c:pt idx="11">
                  <c:v>0.13141937346820257</c:v>
                </c:pt>
                <c:pt idx="12">
                  <c:v>0.99999999999999967</c:v>
                </c:pt>
                <c:pt idx="13">
                  <c:v>1.4575563765153647</c:v>
                </c:pt>
                <c:pt idx="14">
                  <c:v>8.7289232838518527E-2</c:v>
                </c:pt>
                <c:pt idx="15">
                  <c:v>0.76682460887786197</c:v>
                </c:pt>
                <c:pt idx="16">
                  <c:v>0.47498217465427256</c:v>
                </c:pt>
                <c:pt idx="17">
                  <c:v>9.9037053561087746E-2</c:v>
                </c:pt>
                <c:pt idx="18">
                  <c:v>9.1961749471850457E-2</c:v>
                </c:pt>
                <c:pt idx="19">
                  <c:v>0.10640107205144513</c:v>
                </c:pt>
              </c:numCache>
            </c:numRef>
          </c:val>
          <c:extLst>
            <c:ext xmlns:c15="http://schemas.microsoft.com/office/drawing/2012/chart" uri="{02D57815-91ED-43cb-92C2-25804820EDAC}">
              <c15:datalabelsRange>
                <c15:f>'pooled normalised values'!$B$83:$AK$83</c15:f>
                <c15:dlblRangeCache>
                  <c:ptCount val="36"/>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c:v>
                  </c:pt>
                  <c:pt idx="18">
                    <c:v>***</c:v>
                  </c:pt>
                  <c:pt idx="19">
                    <c:v>***</c:v>
                  </c:pt>
                  <c:pt idx="20">
                    <c:v>***</c:v>
                  </c:pt>
                  <c:pt idx="21">
                    <c:v>#NOM?</c:v>
                  </c:pt>
                  <c:pt idx="22">
                    <c:v>#NOM?</c:v>
                  </c:pt>
                  <c:pt idx="23">
                    <c:v>#NOM?</c:v>
                  </c:pt>
                  <c:pt idx="24">
                    <c:v>#NOM?</c:v>
                  </c:pt>
                  <c:pt idx="25">
                    <c:v>#NOM?</c:v>
                  </c:pt>
                  <c:pt idx="26">
                    <c:v>#NOM?</c:v>
                  </c:pt>
                  <c:pt idx="27">
                    <c:v>#NOM?</c:v>
                  </c:pt>
                  <c:pt idx="28">
                    <c:v>#NOM?</c:v>
                  </c:pt>
                  <c:pt idx="29">
                    <c:v>#NOM?</c:v>
                  </c:pt>
                  <c:pt idx="30">
                    <c:v>#NOM?</c:v>
                  </c:pt>
                  <c:pt idx="31">
                    <c:v>#NOM?</c:v>
                  </c:pt>
                  <c:pt idx="32">
                    <c:v>#NOM?</c:v>
                  </c:pt>
                  <c:pt idx="33">
                    <c:v>#NOM?</c:v>
                  </c:pt>
                  <c:pt idx="34">
                    <c:v>#NOM?</c:v>
                  </c:pt>
                  <c:pt idx="35">
                    <c:v>#NOM?</c:v>
                  </c:pt>
                </c15:dlblRangeCache>
              </c15:datalabelsRange>
            </c:ext>
            <c:ext xmlns:c15="http://schemas.microsoft.com/office/drawing/2012/chart" uri="{02D57815-91ED-43cb-92C2-25804820EDAC}">
              <c15:categoryFilterExceptions>
                <c15:categoryFilterException>
                  <c15:sqref>'pooled normalised values'!$N$75</c15:sqref>
                  <c15:spPr xmlns:c15="http://schemas.microsoft.com/office/drawing/2012/chart">
                    <a:solidFill>
                      <a:schemeClr val="tx2">
                        <a:lumMod val="40000"/>
                        <a:lumOff val="60000"/>
                      </a:schemeClr>
                    </a:solidFill>
                  </c15:spPr>
                  <c15:invertIfNegative val="0"/>
                  <c15:bubble3D val="0"/>
                </c15:categoryFilterException>
                <c15:categoryFilterException>
                  <c15:sqref>'pooled normalised values'!$W$75</c15:sqref>
                  <c15:spPr xmlns:c15="http://schemas.microsoft.com/office/drawing/2012/chart">
                    <a:solidFill>
                      <a:schemeClr val="bg1">
                        <a:lumMod val="65000"/>
                      </a:schemeClr>
                    </a:solidFill>
                  </c15:spPr>
                  <c15:invertIfNegative val="0"/>
                  <c15:bubble3D val="0"/>
                </c15:categoryFilterException>
                <c15:categoryFilterException>
                  <c15:sqref>'pooled normalised values'!$X$75</c15:sqref>
                  <c15:spPr xmlns:c15="http://schemas.microsoft.com/office/drawing/2012/chart">
                    <a:solidFill>
                      <a:schemeClr val="bg1">
                        <a:lumMod val="65000"/>
                      </a:schemeClr>
                    </a:solidFill>
                  </c15:spPr>
                  <c15:invertIfNegative val="0"/>
                  <c15:bubble3D val="0"/>
                </c15:categoryFilterException>
                <c15:categoryFilterException>
                  <c15:sqref>'pooled normalised values'!$AE$75</c15:sqref>
                  <c15:dLbl>
                    <c:idx val="19"/>
                    <c:tx>
                      <c:rich>
                        <a:bodyPr/>
                        <a:lstStyle/>
                        <a:p>
                          <a:endParaRPr lang="en-US"/>
                        </a:p>
                      </c:rich>
                    </c:tx>
                    <c:dLblPos val="outEnd"/>
                    <c:showLegendKey val="0"/>
                    <c:showVal val="0"/>
                    <c:showCatName val="0"/>
                    <c:showSerName val="0"/>
                    <c:showPercent val="0"/>
                    <c:showBubbleSize val="0"/>
                    <c:extLst>
                      <c:ext uri="{CE6537A1-D6FC-4f65-9D91-7224C49458BB}">
                        <c15:showDataLabelsRange val="0"/>
                      </c:ext>
                      <c:ext xmlns:c16="http://schemas.microsoft.com/office/drawing/2014/chart" uri="{C3380CC4-5D6E-409C-BE32-E72D297353CC}">
                        <c16:uniqueId val="{0000002E-ABC3-4129-BD46-D9D4E1A48DAD}"/>
                      </c:ext>
                    </c:extLst>
                  </c15:dLbl>
                </c15:categoryFilterException>
              </c15:categoryFilterExceptions>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-0,032ug/L : 0%</c:v>
                  </c:pt>
                  <c:pt idx="1">
                    <c:v>-0,16ug/L : 0%</c:v>
                  </c:pt>
                  <c:pt idx="2">
                    <c:v>-0,8ug/L : 0%</c:v>
                  </c:pt>
                  <c:pt idx="3">
                    <c:v>-4ug/L : 0%</c:v>
                  </c:pt>
                  <c:pt idx="4">
                    <c:v>-20ug/L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Anastrozole-0,032ug/L : 0%</c:v>
                  </c:pt>
                  <c:pt idx="1">
                    <c:v>#NOMBRE!</c:v>
                  </c:pt>
                  <c:pt idx="2">
                    <c:v>#NOMBRE!</c:v>
                  </c:pt>
                  <c:pt idx="3">
                    <c:v>#NOMBRE!</c:v>
                  </c:pt>
                  <c:pt idx="4">
                    <c:v>#NOMBRE!</c:v>
                  </c:pt>
                  <c:pt idx="5">
                    <c:v>#NOM?</c:v>
                  </c:pt>
                  <c:pt idx="6">
                    <c:v>#NOM?</c:v>
                  </c:pt>
                  <c:pt idx="7">
                    <c:v>#NOM?</c:v>
                  </c:pt>
                  <c:pt idx="8">
                    <c:v>#NOM?</c:v>
                  </c:pt>
                  <c:pt idx="9">
                    <c:v>#NOM?</c:v>
                  </c:pt>
                  <c:pt idx="10">
                    <c:v>#NOM?</c:v>
                  </c:pt>
                  <c:pt idx="11">
                    <c:v>#NOM?</c:v>
                  </c:pt>
                  <c:pt idx="12">
                    <c:v>#NOM?</c:v>
                  </c:pt>
                  <c:pt idx="13">
                    <c:v>#NOM?</c:v>
                  </c:pt>
                  <c:pt idx="14">
                    <c:v>#NOM?</c:v>
                  </c:pt>
                  <c:pt idx="15">
                    <c:v>#NOM?</c:v>
                  </c:pt>
                  <c:pt idx="16">
                    <c:v>#NOM?</c:v>
                  </c:pt>
                  <c:pt idx="17">
                    <c:v>#NOM?</c:v>
                  </c:pt>
                  <c:pt idx="18">
                    <c:v>#NOM?</c:v>
                  </c:pt>
                  <c:pt idx="19">
                    <c:v>#NOM?</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-0,032ug/L : 0%</c:v>
                  </c:pt>
                  <c:pt idx="1">
                    <c:v>-0,16ug/L : 0%</c:v>
                  </c:pt>
                  <c:pt idx="2">
                    <c:v>-0,8ug/L : 0%</c:v>
                  </c:pt>
                  <c:pt idx="3">
                    <c:v>-4ug/L : 0%</c:v>
                  </c:pt>
                  <c:pt idx="4">
                    <c:v>-20ug/L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Anastrozole-0,032ug/L : 0%</c:v>
                  </c:pt>
                  <c:pt idx="1">
                    <c:v>#NOMBRE!</c:v>
                  </c:pt>
                  <c:pt idx="2">
                    <c:v>#NOMBRE!</c:v>
                  </c:pt>
                  <c:pt idx="3">
                    <c:v>#NOMBRE!</c:v>
                  </c:pt>
                  <c:pt idx="4">
                    <c:v>#NOMBRE!</c:v>
                  </c:pt>
                  <c:pt idx="5">
                    <c:v>#NOM?</c:v>
                  </c:pt>
                  <c:pt idx="6">
                    <c:v>#NOM?</c:v>
                  </c:pt>
                  <c:pt idx="7">
                    <c:v>#NOM?</c:v>
                  </c:pt>
                  <c:pt idx="8">
                    <c:v>#NOM?</c:v>
                  </c:pt>
                  <c:pt idx="9">
                    <c:v>#NOM?</c:v>
                  </c:pt>
                  <c:pt idx="10">
                    <c:v>#NOM?</c:v>
                  </c:pt>
                  <c:pt idx="11">
                    <c:v>#NOM?</c:v>
                  </c:pt>
                  <c:pt idx="12">
                    <c:v>#NOM?</c:v>
                  </c:pt>
                  <c:pt idx="13">
                    <c:v>#NOM?</c:v>
                  </c:pt>
                  <c:pt idx="14">
                    <c:v>#NOM?</c:v>
                  </c:pt>
                  <c:pt idx="15">
                    <c:v>#NOM?</c:v>
                  </c:pt>
                  <c:pt idx="16">
                    <c:v>#NOM?</c:v>
                  </c:pt>
                  <c:pt idx="17">
                    <c:v>#NOM?</c:v>
                  </c:pt>
                  <c:pt idx="18">
                    <c:v>#NOM?</c:v>
                  </c:pt>
                  <c:pt idx="19">
                    <c:v>#NOM?</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FDA8B58-AF52-4A8D-8AB2-0DA513AF66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942AAA4B-AB64-4A13-A989-8E7945D52E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4D633961-0BEE-4438-9145-B4D8D481D3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FBD91C9B-9B1E-4953-90B1-11F25ACBBF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070670C9-3FEB-46E0-B1D9-206A83D988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A9250C4F-8041-48B4-B352-114FAC0E50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E3DF732C-9C64-4BD6-92BB-D4520A0B7F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AC6786E-3F2D-4D1C-8998-554A6B45F4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0177501A-4F34-4798-AE82-DAE745D49A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538A0BD-2253-499A-92D3-CE47E1D0AE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58F530CC-8344-456B-9E0E-8FB74A8427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10867272-15C5-4A43-99D2-1C5F0803A6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AFFBA3BF-8547-436A-9C10-7A82C49612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7D1A40D7-87A5-42C7-A5AE-42A1BFE51E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1.3876690767118042E-2</c:v>
                  </c:pt>
                  <c:pt idx="2">
                    <c:v>1.7685554064054178E-2</c:v>
                  </c:pt>
                  <c:pt idx="3">
                    <c:v>1.8889212022809625E-2</c:v>
                  </c:pt>
                  <c:pt idx="4">
                    <c:v>3.3315542372522995E-2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1.3876690767118042E-2</c:v>
                  </c:pt>
                  <c:pt idx="2">
                    <c:v>1.7685554064054178E-2</c:v>
                  </c:pt>
                  <c:pt idx="3">
                    <c:v>1.8889212022809625E-2</c:v>
                  </c:pt>
                  <c:pt idx="4">
                    <c:v>3.3315542372522995E-2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8.5623641613368481E-2</c:v>
                </c:pt>
                <c:pt idx="2">
                  <c:v>0.10928532978426031</c:v>
                </c:pt>
                <c:pt idx="3">
                  <c:v>7.5198074270760182E-2</c:v>
                </c:pt>
                <c:pt idx="4">
                  <c:v>0.13141937346820257</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7.6653964865881011E-2</c:v>
                </c:pt>
                <c:pt idx="1">
                  <c:v>7.6653964865881011E-2</c:v>
                </c:pt>
                <c:pt idx="2">
                  <c:v>7.6653964865881011E-2</c:v>
                </c:pt>
                <c:pt idx="3">
                  <c:v>7.6653964865881011E-2</c:v>
                </c:pt>
                <c:pt idx="4">
                  <c:v>7.6653964865881011E-2</c:v>
                </c:pt>
                <c:pt idx="5">
                  <c:v>7.6653964865881011E-2</c:v>
                </c:pt>
                <c:pt idx="6">
                  <c:v>7.6653964865881011E-2</c:v>
                </c:pt>
                <c:pt idx="7">
                  <c:v>7.6653964865881011E-2</c:v>
                </c:pt>
                <c:pt idx="8">
                  <c:v>7.6653964865881011E-2</c:v>
                </c:pt>
                <c:pt idx="9">
                  <c:v>7.6653964865881011E-2</c:v>
                </c:pt>
                <c:pt idx="10">
                  <c:v>7.6653964865881011E-2</c:v>
                </c:pt>
                <c:pt idx="11">
                  <c:v>7.6653964865881011E-2</c:v>
                </c:pt>
                <c:pt idx="12">
                  <c:v>7.6653964865881011E-2</c:v>
                </c:pt>
                <c:pt idx="13">
                  <c:v>7.6653964865881011E-2</c:v>
                </c:pt>
                <c:pt idx="14">
                  <c:v>7.6653964865881011E-2</c:v>
                </c:pt>
                <c:pt idx="15">
                  <c:v>7.6653964865881011E-2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8.7289232838518527E-2</c:v>
                </c:pt>
                <c:pt idx="1">
                  <c:v>8.7289232838518527E-2</c:v>
                </c:pt>
                <c:pt idx="2">
                  <c:v>8.7289232838518527E-2</c:v>
                </c:pt>
                <c:pt idx="3">
                  <c:v>8.7289232838518527E-2</c:v>
                </c:pt>
                <c:pt idx="4">
                  <c:v>8.7289232838518527E-2</c:v>
                </c:pt>
                <c:pt idx="5">
                  <c:v>8.7289232838518527E-2</c:v>
                </c:pt>
                <c:pt idx="6">
                  <c:v>8.7289232838518527E-2</c:v>
                </c:pt>
                <c:pt idx="7">
                  <c:v>8.7289232838518527E-2</c:v>
                </c:pt>
                <c:pt idx="8">
                  <c:v>8.7289232838518527E-2</c:v>
                </c:pt>
                <c:pt idx="9">
                  <c:v>8.7289232838518527E-2</c:v>
                </c:pt>
                <c:pt idx="10">
                  <c:v>8.7289232838518527E-2</c:v>
                </c:pt>
                <c:pt idx="11">
                  <c:v>8.7289232838518527E-2</c:v>
                </c:pt>
                <c:pt idx="12">
                  <c:v>8.7289232838518527E-2</c:v>
                </c:pt>
                <c:pt idx="13">
                  <c:v>8.7289232838518527E-2</c:v>
                </c:pt>
                <c:pt idx="14">
                  <c:v>8.7289232838518527E-2</c:v>
                </c:pt>
                <c:pt idx="15">
                  <c:v>8.7289232838518527E-2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1.3702671436768461</c:v>
                </c:pt>
                <c:pt idx="1">
                  <c:v>1.3702671436768461</c:v>
                </c:pt>
                <c:pt idx="2">
                  <c:v>1.3702671436768461</c:v>
                </c:pt>
                <c:pt idx="3">
                  <c:v>1.3702671436768461</c:v>
                </c:pt>
                <c:pt idx="4">
                  <c:v>1.3702671436768461</c:v>
                </c:pt>
                <c:pt idx="5">
                  <c:v>1.3702671436768461</c:v>
                </c:pt>
                <c:pt idx="6">
                  <c:v>1.3702671436768461</c:v>
                </c:pt>
                <c:pt idx="7">
                  <c:v>1.3702671436768461</c:v>
                </c:pt>
                <c:pt idx="8">
                  <c:v>1.3702671436768461</c:v>
                </c:pt>
                <c:pt idx="9">
                  <c:v>1.3702671436768461</c:v>
                </c:pt>
                <c:pt idx="10">
                  <c:v>1.3702671436768461</c:v>
                </c:pt>
                <c:pt idx="11">
                  <c:v>1.3702671436768461</c:v>
                </c:pt>
                <c:pt idx="12">
                  <c:v>1.3702671436768461</c:v>
                </c:pt>
                <c:pt idx="13">
                  <c:v>1.3702671436768461</c:v>
                </c:pt>
                <c:pt idx="14">
                  <c:v>1.3702671436768461</c:v>
                </c:pt>
                <c:pt idx="15">
                  <c:v>1.3702671436768461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1.1297328563231539</c:v>
                </c:pt>
                <c:pt idx="1">
                  <c:v>1.1297328563231539</c:v>
                </c:pt>
                <c:pt idx="2">
                  <c:v>1.1297328563231539</c:v>
                </c:pt>
                <c:pt idx="3">
                  <c:v>1.1297328563231539</c:v>
                </c:pt>
                <c:pt idx="4">
                  <c:v>1.1297328563231539</c:v>
                </c:pt>
                <c:pt idx="5">
                  <c:v>1.1297328563231539</c:v>
                </c:pt>
                <c:pt idx="6">
                  <c:v>1.1297328563231539</c:v>
                </c:pt>
                <c:pt idx="7">
                  <c:v>1.1297328563231539</c:v>
                </c:pt>
                <c:pt idx="8">
                  <c:v>1.1297328563231539</c:v>
                </c:pt>
                <c:pt idx="9">
                  <c:v>1.1297328563231539</c:v>
                </c:pt>
                <c:pt idx="10">
                  <c:v>1.1297328563231539</c:v>
                </c:pt>
                <c:pt idx="11">
                  <c:v>1.1297328563231539</c:v>
                </c:pt>
                <c:pt idx="12">
                  <c:v>1.1297328563231539</c:v>
                </c:pt>
                <c:pt idx="13">
                  <c:v>1.1297328563231539</c:v>
                </c:pt>
                <c:pt idx="14">
                  <c:v>1.1297328563231539</c:v>
                </c:pt>
                <c:pt idx="15">
                  <c:v>1.1297328563231539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D3E96B61-71C1-4265-BC01-7D8E0CC12F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D352CFDE-2F1F-438C-8853-9B38869E94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5646211B-512B-4873-BA77-8B59149B61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437E924-5247-42BA-8CBE-6FB6445519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7AEF5173-9569-4AA3-BC13-92E12DB77C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A900BD52-0BD4-49B1-9AC9-681783D79B7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461FE994-6392-472F-8862-CC418A8F3D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5163DA64-3E10-4049-AD9C-060B5B2CC9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8FD5403-39F8-4BEE-AEA4-113780B1E4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D1C3D4C7-A813-4FB5-8B5C-C0DE3973DC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6712A665-02E8-4D25-A1B0-9E42986F8F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AB486974-DC69-4C7A-999D-04210C9CD1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691D8781-27E3-4CBE-9CCA-8CCDDF8F9D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D106275C-337D-4B9C-88C0-D2CD29F3B2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0.11419223118114009</c:v>
                  </c:pt>
                  <c:pt idx="2">
                    <c:v>7.7370997987415799E-2</c:v>
                  </c:pt>
                  <c:pt idx="3">
                    <c:v>2.1370838305290477E-2</c:v>
                  </c:pt>
                  <c:pt idx="4">
                    <c:v>1.6192725966909037E-2</c:v>
                  </c:pt>
                  <c:pt idx="5">
                    <c:v>2.6072298233234953E-2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0.11419223118114009</c:v>
                  </c:pt>
                  <c:pt idx="2">
                    <c:v>7.7370997987415799E-2</c:v>
                  </c:pt>
                  <c:pt idx="3">
                    <c:v>2.1370838305290477E-2</c:v>
                  </c:pt>
                  <c:pt idx="4">
                    <c:v>1.6192725966909037E-2</c:v>
                  </c:pt>
                  <c:pt idx="5">
                    <c:v>2.6072298233234953E-2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0.76682460887786197</c:v>
                </c:pt>
                <c:pt idx="2">
                  <c:v>0.47498217465427256</c:v>
                </c:pt>
                <c:pt idx="3">
                  <c:v>9.9037053561087746E-2</c:v>
                </c:pt>
                <c:pt idx="4">
                  <c:v>9.1961749471850457E-2</c:v>
                </c:pt>
                <c:pt idx="5">
                  <c:v>0.10640107205144513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#NOM?</c:v>
                  </c:pt>
                  <c:pt idx="7">
                    <c:v>#NOM?</c:v>
                  </c:pt>
                  <c:pt idx="8">
                    <c:v>#NOM?</c:v>
                  </c:pt>
                  <c:pt idx="9">
                    <c:v>#NOM?</c:v>
                  </c:pt>
                  <c:pt idx="10">
                    <c:v>#NOM?</c:v>
                  </c:pt>
                  <c:pt idx="11">
                    <c:v>#NOM?</c:v>
                  </c:pt>
                  <c:pt idx="12">
                    <c:v>#NOM?</c:v>
                  </c:pt>
                  <c:pt idx="13">
                    <c:v>#NOM?</c:v>
                  </c:pt>
                  <c:pt idx="14">
                    <c:v>#NOM?</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47F18DF-F62F-4C52-A01C-3FB15E6986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2E50FDCD-382C-4616-8011-E631A57096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015CFEC7-B024-4ED6-B5CD-D7F6919FFE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722F8B3B-DEE5-4718-A385-99B14DF299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2B25153B-49E4-44AE-B72E-8BD56411C4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245979D1-EB55-4F96-8864-1F26F3428D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9C4308E1-D346-4881-828E-9F972012AA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2C8FCDDF-3D0F-4A4C-99C7-8478835687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CD3F0900-E003-488D-B5FC-DAB1748953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62F0F05D-1F2B-4696-87BA-B32755652A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75AC4368-513A-40DE-87CA-6E3B2D87E8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67085E39-7C1C-46B4-9CF5-1F16F42A6B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143971EE-DA8D-4AA6-8651-17C2CF380A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A2AE50D2-FD09-4956-A8E9-237C59D133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1.3876690767118042E-2</c:v>
                  </c:pt>
                  <c:pt idx="2">
                    <c:v>1.7685554064054178E-2</c:v>
                  </c:pt>
                  <c:pt idx="3">
                    <c:v>1.8889212022809625E-2</c:v>
                  </c:pt>
                  <c:pt idx="4">
                    <c:v>3.3315542372522995E-2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1.3876690767118042E-2</c:v>
                  </c:pt>
                  <c:pt idx="2">
                    <c:v>1.7685554064054178E-2</c:v>
                  </c:pt>
                  <c:pt idx="3">
                    <c:v>1.8889212022809625E-2</c:v>
                  </c:pt>
                  <c:pt idx="4">
                    <c:v>3.3315542372522995E-2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Anastrozole 0,16 ug/L</c:v>
                </c:pt>
                <c:pt idx="2">
                  <c:v>Anastrozole 0,8 ug/L</c:v>
                </c:pt>
                <c:pt idx="3">
                  <c:v>Anastrozole 4 ug/L</c:v>
                </c:pt>
                <c:pt idx="4">
                  <c:v>Anastrozole 20 ug/L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8.5623641613368481E-2</c:v>
                </c:pt>
                <c:pt idx="2">
                  <c:v>0.10928532978426031</c:v>
                </c:pt>
                <c:pt idx="3">
                  <c:v>7.5198074270760182E-2</c:v>
                </c:pt>
                <c:pt idx="4">
                  <c:v>0.13141937346820257</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7.6653964865881011E-2</c:v>
                </c:pt>
                <c:pt idx="1">
                  <c:v>7.6653964865881011E-2</c:v>
                </c:pt>
                <c:pt idx="2">
                  <c:v>7.6653964865881011E-2</c:v>
                </c:pt>
                <c:pt idx="3">
                  <c:v>7.6653964865881011E-2</c:v>
                </c:pt>
                <c:pt idx="4">
                  <c:v>7.6653964865881011E-2</c:v>
                </c:pt>
                <c:pt idx="5">
                  <c:v>7.6653964865881011E-2</c:v>
                </c:pt>
                <c:pt idx="6">
                  <c:v>7.6653964865881011E-2</c:v>
                </c:pt>
                <c:pt idx="7">
                  <c:v>7.6653964865881011E-2</c:v>
                </c:pt>
                <c:pt idx="8">
                  <c:v>7.6653964865881011E-2</c:v>
                </c:pt>
                <c:pt idx="9">
                  <c:v>7.6653964865881011E-2</c:v>
                </c:pt>
                <c:pt idx="10">
                  <c:v>7.6653964865881011E-2</c:v>
                </c:pt>
                <c:pt idx="11">
                  <c:v>7.6653964865881011E-2</c:v>
                </c:pt>
                <c:pt idx="12">
                  <c:v>7.6653964865881011E-2</c:v>
                </c:pt>
                <c:pt idx="13">
                  <c:v>7.6653964865881011E-2</c:v>
                </c:pt>
                <c:pt idx="14">
                  <c:v>7.6653964865881011E-2</c:v>
                </c:pt>
                <c:pt idx="15">
                  <c:v>7.6653964865881011E-2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CHG'!$U$8:$AJ$8</c:f>
              <c:numCache>
                <c:formatCode>General</c:formatCode>
                <c:ptCount val="16"/>
                <c:pt idx="0">
                  <c:v>8.7289232838518527E-2</c:v>
                </c:pt>
                <c:pt idx="1">
                  <c:v>8.7289232838518527E-2</c:v>
                </c:pt>
                <c:pt idx="2">
                  <c:v>8.7289232838518527E-2</c:v>
                </c:pt>
                <c:pt idx="3">
                  <c:v>8.7289232838518527E-2</c:v>
                </c:pt>
                <c:pt idx="4">
                  <c:v>8.7289232838518527E-2</c:v>
                </c:pt>
                <c:pt idx="5">
                  <c:v>8.7289232838518527E-2</c:v>
                </c:pt>
                <c:pt idx="6">
                  <c:v>8.7289232838518527E-2</c:v>
                </c:pt>
                <c:pt idx="7">
                  <c:v>8.7289232838518527E-2</c:v>
                </c:pt>
                <c:pt idx="8">
                  <c:v>8.7289232838518527E-2</c:v>
                </c:pt>
                <c:pt idx="9">
                  <c:v>8.7289232838518527E-2</c:v>
                </c:pt>
                <c:pt idx="10">
                  <c:v>8.7289232838518527E-2</c:v>
                </c:pt>
                <c:pt idx="11">
                  <c:v>8.7289232838518527E-2</c:v>
                </c:pt>
                <c:pt idx="12">
                  <c:v>8.7289232838518527E-2</c:v>
                </c:pt>
                <c:pt idx="13">
                  <c:v>8.7289232838518527E-2</c:v>
                </c:pt>
                <c:pt idx="14">
                  <c:v>8.7289232838518527E-2</c:v>
                </c:pt>
                <c:pt idx="15">
                  <c:v>8.7289232838518527E-2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CHG'!$U$9:$AJ$9</c:f>
              <c:numCache>
                <c:formatCode>General</c:formatCode>
                <c:ptCount val="16"/>
                <c:pt idx="0">
                  <c:v>1.3702671436768461</c:v>
                </c:pt>
                <c:pt idx="1">
                  <c:v>1.3702671436768461</c:v>
                </c:pt>
                <c:pt idx="2">
                  <c:v>1.3702671436768461</c:v>
                </c:pt>
                <c:pt idx="3">
                  <c:v>1.3702671436768461</c:v>
                </c:pt>
                <c:pt idx="4">
                  <c:v>1.3702671436768461</c:v>
                </c:pt>
                <c:pt idx="5">
                  <c:v>1.3702671436768461</c:v>
                </c:pt>
                <c:pt idx="6">
                  <c:v>1.3702671436768461</c:v>
                </c:pt>
                <c:pt idx="7">
                  <c:v>1.3702671436768461</c:v>
                </c:pt>
                <c:pt idx="8">
                  <c:v>1.3702671436768461</c:v>
                </c:pt>
                <c:pt idx="9">
                  <c:v>1.3702671436768461</c:v>
                </c:pt>
                <c:pt idx="10">
                  <c:v>1.3702671436768461</c:v>
                </c:pt>
                <c:pt idx="11">
                  <c:v>1.3702671436768461</c:v>
                </c:pt>
                <c:pt idx="12">
                  <c:v>1.3702671436768461</c:v>
                </c:pt>
                <c:pt idx="13">
                  <c:v>1.3702671436768461</c:v>
                </c:pt>
                <c:pt idx="14">
                  <c:v>1.3702671436768461</c:v>
                </c:pt>
                <c:pt idx="15">
                  <c:v>1.3702671436768461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CHG'!$U$10:$AJ$10</c:f>
              <c:numCache>
                <c:formatCode>General</c:formatCode>
                <c:ptCount val="16"/>
                <c:pt idx="0">
                  <c:v>1.1297328563231539</c:v>
                </c:pt>
                <c:pt idx="1">
                  <c:v>1.1297328563231539</c:v>
                </c:pt>
                <c:pt idx="2">
                  <c:v>1.1297328563231539</c:v>
                </c:pt>
                <c:pt idx="3">
                  <c:v>1.1297328563231539</c:v>
                </c:pt>
                <c:pt idx="4">
                  <c:v>1.1297328563231539</c:v>
                </c:pt>
                <c:pt idx="5">
                  <c:v>1.1297328563231539</c:v>
                </c:pt>
                <c:pt idx="6">
                  <c:v>1.1297328563231539</c:v>
                </c:pt>
                <c:pt idx="7">
                  <c:v>1.1297328563231539</c:v>
                </c:pt>
                <c:pt idx="8">
                  <c:v>1.1297328563231539</c:v>
                </c:pt>
                <c:pt idx="9">
                  <c:v>1.1297328563231539</c:v>
                </c:pt>
                <c:pt idx="10">
                  <c:v>1.1297328563231539</c:v>
                </c:pt>
                <c:pt idx="11">
                  <c:v>1.1297328563231539</c:v>
                </c:pt>
                <c:pt idx="12">
                  <c:v>1.1297328563231539</c:v>
                </c:pt>
                <c:pt idx="13">
                  <c:v>1.1297328563231539</c:v>
                </c:pt>
                <c:pt idx="14">
                  <c:v>1.1297328563231539</c:v>
                </c:pt>
                <c:pt idx="15">
                  <c:v>1.1297328563231539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5777331B-CE94-4F92-9866-6F2D8DE6D6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6C61FBA2-6772-40A0-858E-469566F050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132CE25C-8F80-4023-B127-B75C6B0976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12583B5F-677F-46D4-8DFB-739BB6C278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62558C78-D118-4842-B9D9-60BC823CFDB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49EE71C-4331-4955-AF69-F9A912EDD3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198B143A-167C-4D3B-A490-44A408B57D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4277861C-D880-4545-BB20-A8EE66BBC8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A9CDB161-F1CC-4011-8563-A1D83E5BE84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38ED39CE-8E9F-4377-8833-41BE3E6F2B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38243A58-58DF-4C22-B2A8-4E8EEDFD70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0485457-EC8D-4EDC-9BC7-9326989192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8B694F8E-F9D0-49C2-B936-AF716A01E7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ACF58B6-F735-4230-AB04-423A2076A1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0.11419223118114009</c:v>
                  </c:pt>
                  <c:pt idx="2">
                    <c:v>7.7370997987415799E-2</c:v>
                  </c:pt>
                  <c:pt idx="3">
                    <c:v>2.1370838305290477E-2</c:v>
                  </c:pt>
                  <c:pt idx="4">
                    <c:v>1.6192725966909037E-2</c:v>
                  </c:pt>
                  <c:pt idx="5">
                    <c:v>2.6072298233234953E-2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0.11419223118114009</c:v>
                  </c:pt>
                  <c:pt idx="2">
                    <c:v>7.7370997987415799E-2</c:v>
                  </c:pt>
                  <c:pt idx="3">
                    <c:v>2.1370838305290477E-2</c:v>
                  </c:pt>
                  <c:pt idx="4">
                    <c:v>1.6192725966909037E-2</c:v>
                  </c:pt>
                  <c:pt idx="5">
                    <c:v>2.6072298233234953E-2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CHG'!$U$3:$AJ$3</c:f>
              <c:numCache>
                <c:formatCode>General</c:formatCode>
                <c:ptCount val="16"/>
                <c:pt idx="1">
                  <c:v>0.76682460887786197</c:v>
                </c:pt>
                <c:pt idx="2">
                  <c:v>0.47498217465427256</c:v>
                </c:pt>
                <c:pt idx="3">
                  <c:v>9.9037053561087746E-2</c:v>
                </c:pt>
                <c:pt idx="4">
                  <c:v>9.1961749471850457E-2</c:v>
                </c:pt>
                <c:pt idx="5">
                  <c:v>0.10640107205144513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#NOM?</c:v>
                  </c:pt>
                  <c:pt idx="7">
                    <c:v>#NOM?</c:v>
                  </c:pt>
                  <c:pt idx="8">
                    <c:v>#NOM?</c:v>
                  </c:pt>
                  <c:pt idx="9">
                    <c:v>#NOM?</c:v>
                  </c:pt>
                  <c:pt idx="10">
                    <c:v>#NOM?</c:v>
                  </c:pt>
                  <c:pt idx="11">
                    <c:v>#NOM?</c:v>
                  </c:pt>
                  <c:pt idx="12">
                    <c:v>#NOM?</c:v>
                  </c:pt>
                  <c:pt idx="13">
                    <c:v>#NOM?</c:v>
                  </c:pt>
                  <c:pt idx="14">
                    <c:v>#NOM?</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Anastrozole-0,032ug/L + Testostérone</c:v>
                </c:pt>
                <c:pt idx="2">
                  <c:v>Anastrozole-0,16ug/L + Testostérone</c:v>
                </c:pt>
                <c:pt idx="3">
                  <c:v>Anastrozole-0,8ug/L + Testostérone</c:v>
                </c:pt>
                <c:pt idx="4">
                  <c:v>Anastrozole-4ug/L + Testostérone</c:v>
                </c:pt>
                <c:pt idx="5">
                  <c:v>Anastrozole-20ug/L + Testostérone</c:v>
                </c:pt>
                <c:pt idx="6">
                  <c:v>0-00 + Testostérone</c:v>
                </c:pt>
                <c:pt idx="7">
                  <c:v>0-00 + Testostérone</c:v>
                </c:pt>
                <c:pt idx="8">
                  <c:v>0-00 + Testostérone</c:v>
                </c:pt>
                <c:pt idx="9">
                  <c:v>0-00 + Testostérone</c:v>
                </c:pt>
                <c:pt idx="10">
                  <c:v>0-00 + Testostérone</c:v>
                </c:pt>
                <c:pt idx="11">
                  <c:v>0-00 + Testostérone</c:v>
                </c:pt>
                <c:pt idx="12">
                  <c:v>0-00 + Testostérone</c:v>
                </c:pt>
                <c:pt idx="13">
                  <c:v>0-00 + Testostérone</c:v>
                </c:pt>
                <c:pt idx="14">
                  <c:v>0-00 + Testostérone</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Anastrozole 0,16 ug/L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Anastrozole 0,16 ug/L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Anastrozole 0,16 ug/L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A647364-0EEB-4454-A953-D6F3709AAC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7AACF393-3764-4BF7-9B22-EE898AD853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1.3876690767118042E-2</c:v>
                  </c:pt>
                </c:numCache>
              </c:numRef>
            </c:plus>
            <c:minus>
              <c:numRef>
                <c:f>'Graph format rapport CHG 1éch'!$E$4:$G$4</c:f>
                <c:numCache>
                  <c:formatCode>General</c:formatCode>
                  <c:ptCount val="3"/>
                  <c:pt idx="1">
                    <c:v>1.3876690767118042E-2</c:v>
                  </c:pt>
                </c:numCache>
              </c:numRef>
            </c:minus>
          </c:errBars>
          <c:cat>
            <c:strRef>
              <c:f>'Graph format rapport CHG 1éch'!$E$2:$G$2</c:f>
              <c:strCache>
                <c:ptCount val="2"/>
                <c:pt idx="1">
                  <c:v>Anastrozole 0,16 ug/L</c:v>
                </c:pt>
              </c:strCache>
            </c:strRef>
          </c:cat>
          <c:val>
            <c:numRef>
              <c:f>'Graph format rapport CHG 1éch'!$E$3:$G$3</c:f>
              <c:numCache>
                <c:formatCode>General</c:formatCode>
                <c:ptCount val="3"/>
                <c:pt idx="1">
                  <c:v>8.5623641613368481E-2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7.6653964865881011E-2</c:v>
                </c:pt>
                <c:pt idx="1">
                  <c:v>7.6653964865881011E-2</c:v>
                </c:pt>
                <c:pt idx="2">
                  <c:v>7.6653964865881011E-2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Anastrozole-0,032ug/L + Testostérone</c:v>
                </c:pt>
              </c:strCache>
            </c:strRef>
          </c:cat>
          <c:val>
            <c:numRef>
              <c:f>'Graph format rapport CHG 1éch'!$H$8:$J$8</c:f>
              <c:numCache>
                <c:formatCode>General</c:formatCode>
                <c:ptCount val="3"/>
                <c:pt idx="0">
                  <c:v>8.7289232838518527E-2</c:v>
                </c:pt>
                <c:pt idx="1">
                  <c:v>8.7289232838518527E-2</c:v>
                </c:pt>
                <c:pt idx="2">
                  <c:v>8.7289232838518527E-2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Anastrozole-0,032ug/L + Testostérone</c:v>
                </c:pt>
              </c:strCache>
            </c:strRef>
          </c:cat>
          <c:val>
            <c:numRef>
              <c:f>'Graph format rapport CHG 1éch'!$H$9:$J$9</c:f>
              <c:numCache>
                <c:formatCode>General</c:formatCode>
                <c:ptCount val="3"/>
                <c:pt idx="0">
                  <c:v>1.3702671436768461</c:v>
                </c:pt>
                <c:pt idx="1">
                  <c:v>1.3702671436768461</c:v>
                </c:pt>
                <c:pt idx="2">
                  <c:v>1.3702671436768461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Anastrozole-0,032ug/L + Testostérone</c:v>
                </c:pt>
              </c:strCache>
            </c:strRef>
          </c:cat>
          <c:val>
            <c:numRef>
              <c:f>'Graph format rapport CHG 1éch'!$H$10:$J$10</c:f>
              <c:numCache>
                <c:formatCode>General</c:formatCode>
                <c:ptCount val="3"/>
                <c:pt idx="0">
                  <c:v>1.1297328563231539</c:v>
                </c:pt>
                <c:pt idx="1">
                  <c:v>1.1297328563231539</c:v>
                </c:pt>
                <c:pt idx="2">
                  <c:v>1.1297328563231539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0B36F07-63C9-41E8-9620-8B32605C47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59C3850E-0949-43ED-B0FF-94C53643CE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0.11419223118114009</c:v>
                  </c:pt>
                </c:numCache>
              </c:numRef>
            </c:plus>
            <c:minus>
              <c:numRef>
                <c:f>'Graph format rapport CHG 1éch'!$H$4:$J$4</c:f>
                <c:numCache>
                  <c:formatCode>General</c:formatCode>
                  <c:ptCount val="3"/>
                  <c:pt idx="1">
                    <c:v>0.11419223118114009</c:v>
                  </c:pt>
                </c:numCache>
              </c:numRef>
            </c:minus>
          </c:errBars>
          <c:cat>
            <c:strRef>
              <c:f>'Graph format rapport CHG 1éch'!$H$2:$J$2</c:f>
              <c:strCache>
                <c:ptCount val="2"/>
                <c:pt idx="1">
                  <c:v>Anastrozole-0,032ug/L + Testostérone</c:v>
                </c:pt>
              </c:strCache>
            </c:strRef>
          </c:cat>
          <c:val>
            <c:numRef>
              <c:f>'Graph format rapport CHG 1éch'!$H$3:$J$3</c:f>
              <c:numCache>
                <c:formatCode>General</c:formatCode>
                <c:ptCount val="3"/>
                <c:pt idx="1">
                  <c:v>0.76682460887786197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Anastrozole-0,032ug/L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Anastrozole 0,16 ug/L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Anastrozole 0,16 ug/L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Anastrozole 0,16 ug/L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B2692F4-301C-4AC2-B575-951E61DB15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535A486A-D188-4F37-87D9-3BB6DD4171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1.3876690767118042E-2</c:v>
                  </c:pt>
                </c:numCache>
              </c:numRef>
            </c:plus>
            <c:minus>
              <c:numRef>
                <c:f>'Graph format rapport CHG 1éch'!$E$4:$G$4</c:f>
                <c:numCache>
                  <c:formatCode>General</c:formatCode>
                  <c:ptCount val="3"/>
                  <c:pt idx="1">
                    <c:v>1.3876690767118042E-2</c:v>
                  </c:pt>
                </c:numCache>
              </c:numRef>
            </c:minus>
          </c:errBars>
          <c:cat>
            <c:strRef>
              <c:f>'Graph format rapport CHG 1éch'!$E$2:$G$2</c:f>
              <c:strCache>
                <c:ptCount val="2"/>
                <c:pt idx="1">
                  <c:v>Anastrozole 0,16 ug/L</c:v>
                </c:pt>
              </c:strCache>
            </c:strRef>
          </c:cat>
          <c:val>
            <c:numRef>
              <c:f>'Graph format rapport CHG 1éch'!$E$3:$G$3</c:f>
              <c:numCache>
                <c:formatCode>General</c:formatCode>
                <c:ptCount val="3"/>
                <c:pt idx="1">
                  <c:v>8.5623641613368481E-2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7.6653964865881011E-2</c:v>
                </c:pt>
                <c:pt idx="1">
                  <c:v>7.6653964865881011E-2</c:v>
                </c:pt>
                <c:pt idx="2">
                  <c:v>7.6653964865881011E-2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Anastrozole-0,032ug/L + Testostérone</c:v>
                </c:pt>
              </c:strCache>
            </c:strRef>
          </c:cat>
          <c:val>
            <c:numRef>
              <c:f>'Graph format rapport CHG 1éch'!$H$8:$J$8</c:f>
              <c:numCache>
                <c:formatCode>General</c:formatCode>
                <c:ptCount val="3"/>
                <c:pt idx="0">
                  <c:v>8.7289232838518527E-2</c:v>
                </c:pt>
                <c:pt idx="1">
                  <c:v>8.7289232838518527E-2</c:v>
                </c:pt>
                <c:pt idx="2">
                  <c:v>8.7289232838518527E-2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Anastrozole-0,032ug/L + Testostérone</c:v>
                </c:pt>
              </c:strCache>
            </c:strRef>
          </c:cat>
          <c:val>
            <c:numRef>
              <c:f>'Graph format rapport CHG 1éch'!$H$9:$J$9</c:f>
              <c:numCache>
                <c:formatCode>General</c:formatCode>
                <c:ptCount val="3"/>
                <c:pt idx="0">
                  <c:v>1.3702671436768461</c:v>
                </c:pt>
                <c:pt idx="1">
                  <c:v>1.3702671436768461</c:v>
                </c:pt>
                <c:pt idx="2">
                  <c:v>1.3702671436768461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Anastrozole-0,032ug/L + Testostérone</c:v>
                </c:pt>
              </c:strCache>
            </c:strRef>
          </c:cat>
          <c:val>
            <c:numRef>
              <c:f>'Graph format rapport CHG 1éch'!$H$10:$J$10</c:f>
              <c:numCache>
                <c:formatCode>General</c:formatCode>
                <c:ptCount val="3"/>
                <c:pt idx="0">
                  <c:v>1.1297328563231539</c:v>
                </c:pt>
                <c:pt idx="1">
                  <c:v>1.1297328563231539</c:v>
                </c:pt>
                <c:pt idx="2">
                  <c:v>1.1297328563231539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7E73D5BB-4894-4C0F-87A0-F8ACD8B127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85123855-066C-4F8E-B430-EA67D78CF6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0.11419223118114009</c:v>
                  </c:pt>
                </c:numCache>
              </c:numRef>
            </c:plus>
            <c:minus>
              <c:numRef>
                <c:f>'Graph format rapport CHG 1éch'!$H$4:$J$4</c:f>
                <c:numCache>
                  <c:formatCode>General</c:formatCode>
                  <c:ptCount val="3"/>
                  <c:pt idx="1">
                    <c:v>0.11419223118114009</c:v>
                  </c:pt>
                </c:numCache>
              </c:numRef>
            </c:minus>
          </c:errBars>
          <c:cat>
            <c:strRef>
              <c:f>'Graph format rapport CHG 1éch'!$H$2:$J$2</c:f>
              <c:strCache>
                <c:ptCount val="2"/>
                <c:pt idx="1">
                  <c:v>Anastrozole-0,032ug/L + Testostérone</c:v>
                </c:pt>
              </c:strCache>
            </c:strRef>
          </c:cat>
          <c:val>
            <c:numRef>
              <c:f>'Graph format rapport CHG 1éch'!$H$3:$J$3</c:f>
              <c:numCache>
                <c:formatCode>General</c:formatCode>
                <c:ptCount val="3"/>
                <c:pt idx="1">
                  <c:v>0.76682460887786197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Anastrozole-0,032ug/L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274"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244" workbookViewId="0"/>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2.602579398146" createdVersion="5" refreshedVersion="7" minRefreshableVersion="3" recordCount="1556" xr:uid="{00000000-000A-0000-FFFF-FFFF0C000000}">
  <cacheSource type="worksheet">
    <worksheetSource name="Tableau4"/>
  </cacheSource>
  <cacheFields count="10">
    <cacheField name="Nom groupe" numFmtId="0">
      <sharedItems containsBlank="1" count="23">
        <s v="01 ts"/>
        <s v=""/>
        <s v="02 ee2 33"/>
        <s v="03 ee2 50"/>
        <s v="04 ee2 76"/>
        <s v="05 ee2 114"/>
        <s v="06 ee2 170"/>
        <s v="07 ee2 488"/>
        <s v="08 Anastrozole 0.032"/>
        <s v="09 Anastrozole 0.16"/>
        <s v="10 Anastrozole 0.8"/>
        <s v="11 Anastrozole 4"/>
        <s v="12 Anastrozole 20"/>
        <s v="01 TESTO"/>
        <s v="02 TESTO"/>
        <s v="03  TESTO + EE2"/>
        <s v="04  TESTO + FAD"/>
        <s v="05 Anastrozole 0.032"/>
        <s v="06Anastrozole 0.16"/>
        <s v="07 Anastrozole 0.8"/>
        <s v="08 Anastrozole 4"/>
        <s v="09 Anastrozole 2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4"/>
    </cacheField>
    <cacheField name=" " numFmtId="0">
      <sharedItems containsBlank="1" count="24">
        <s v=" "/>
        <m/>
        <s v=" SD mean fluo "/>
        <s v=" 2.8199 "/>
        <s v=" 7.9703 "/>
        <s v=" 2.823 "/>
        <s v=" 2.3353 "/>
        <s v=" 3.2216 "/>
        <s v=" 6.5617 "/>
        <s v=" 13.0885 "/>
        <s v=" 4.6986 "/>
        <s v=" 4.5716 "/>
        <s v=" 2.5558 "/>
        <s v=" 6.3582 "/>
        <s v=" 4.3307 "/>
        <s v=" 5.4189 "/>
        <s v=" 4.7621 "/>
        <s v=" 6.7191 "/>
        <s v=" 4.2836 "/>
        <s v=" 2.9906 "/>
        <s v=" 3.0157 "/>
        <s v=" 1.766 "/>
        <s v=" 3.9848 "/>
        <s v=" 4.9622 "/>
      </sharedItems>
    </cacheField>
    <cacheField name=" total fluorescence" numFmtId="0">
      <sharedItems containsBlank="1" containsMixedTypes="1" containsNumber="1" containsInteger="1" minValue="8593" maxValue="8977166"/>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2.602579629631" createdVersion="5" refreshedVersion="7"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Anastrozole 0.032 µg_L"/>
        <s v="09 Anastrozole 0.16 µg_L"/>
        <s v="10 Anastrozole 0.8 µg_L"/>
        <s v="11 Anastrozole 4µg_L"/>
        <s v="12 Anastrozole 20 µg_L"/>
        <s v="01 Testo 30"/>
        <s v="02 Testo 30"/>
        <s v="03 Testo+ EE2 64"/>
        <s v="04 Testo+ FAD"/>
        <s v="05 Anastrozole 0.032 µg_L Dopé"/>
        <s v="06 Anastrozole 0.16 µg_L Dopé"/>
        <s v="07  Anastrozole 0.8 µg_L Dopé"/>
        <s v="08 Anastrozole 4 µg_L Dopé"/>
        <s v="09  Anastrozole 20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4" maxValue="66"/>
    </cacheField>
    <cacheField name=" " numFmtId="0">
      <sharedItems containsBlank="1" count="24">
        <s v=" "/>
        <m/>
        <s v=" SD mean fluo "/>
        <s v=" 2.007 "/>
        <s v=" 2.1792 "/>
        <s v=" 2.0502 "/>
        <s v=" 1.6584 "/>
        <s v=" 4.2953 "/>
        <s v=" 5.078 "/>
        <s v=" 11.2251 "/>
        <s v=" 1.6848 "/>
        <s v=" 1.5935 "/>
        <s v=" 1.9548 "/>
        <s v=" 1.3417 "/>
        <s v=" 4.339 "/>
        <s v=" 4.876 "/>
        <s v=" 3.7608 "/>
        <s v=" 4.6349 "/>
        <s v=" 3.4803 "/>
        <s v=" 3.5259 "/>
        <s v=" 3.3726 "/>
        <s v=" 1.9707 "/>
        <s v=" 9.0337 "/>
        <s v=" 7.6672 "/>
      </sharedItems>
    </cacheField>
    <cacheField name=" total fluorescence" numFmtId="0">
      <sharedItems containsBlank="1" containsMixedTypes="1" containsNumber="1" containsInteger="1" minValue="6727" maxValue="5971754"/>
    </cacheField>
    <cacheField name="         " numFmtId="0">
      <sharedItems containsBlank="1" containsMixedTypes="1" containsNumber="1" containsInteger="1" minValue="360673" maxValue="360673"/>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2.602579745369" createdVersion="5" refreshedVersion="7"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Anastrozole 0.032 µg_L"/>
        <s v="09 Anastrozole 0.16 µg_L"/>
        <s v="10 Anastrozole 0.8 µg_L"/>
        <s v="11 Anastrozole 4µg_L"/>
        <s v="12 Anastrozole 20 µg_L"/>
        <s v="01 Testo 30"/>
        <s v="02 Testo 30"/>
        <s v="03 Testo+ EE2 64"/>
        <s v="04 Testo+ FAD"/>
        <s v="05 Anastrozole 0.032 µg_L Dopé"/>
        <s v="06 Anastrozole 0.16 µg_L Dopé"/>
        <s v="07  Anastrozole 0.8 µg_L Dopé"/>
        <s v="08 Anastrozole 20 µg_L Dopé"/>
        <s v="09  Anastrozole 4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72"/>
    </cacheField>
    <cacheField name=" " numFmtId="0">
      <sharedItems containsBlank="1" count="24">
        <s v=" "/>
        <m/>
        <s v=" SD mean fluo "/>
        <s v=" 2.282 "/>
        <s v=" 3.276 "/>
        <s v=" 2.1543 "/>
        <s v=" 4.3478 "/>
        <s v=" 5.6234 "/>
        <s v=" 3.8684 "/>
        <s v=" 7.3131 "/>
        <s v=" 3.633 "/>
        <s v=" 3.1997 "/>
        <s v=" 5.4201 "/>
        <s v=" 7.4269 "/>
        <s v=" 6.3622 "/>
        <s v=" 4.0374 "/>
        <s v=" 5.645 "/>
        <s v=" 4.2888 "/>
        <s v=" 3.0956 "/>
        <s v=" 3.4127 "/>
        <s v=" 2.1864 "/>
        <s v=" 2.9448 "/>
        <s v=" 3.2992 "/>
        <s v=" 2.7961 "/>
      </sharedItems>
    </cacheField>
    <cacheField name=" total fluorescence" numFmtId="0">
      <sharedItems containsBlank="1" containsMixedTypes="1" containsNumber="1" containsInteger="1" minValue="5451" maxValue="8777476"/>
    </cacheField>
    <cacheField name="         " numFmtId="0">
      <sharedItems containsBlank="1" containsMixedTypes="1" containsNumber="1" containsInteger="1" minValue="1185590" maxValue="1185590"/>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2.602580092593" createdVersion="6" refreshedVersion="7"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192.168.24.208\images\R&amp;D\2-Test oestrogénique\OECD and AOPs\REACTIV oecd interlaboratory validation\Results WF\Résultats CBA\2021-CHG-CBA-Anastrozole\plaque 1/@01 ts/A1_01.tif "/>
    <s v=" 6765.4178 "/>
    <s v=" 69.3601 "/>
    <x v="0"/>
    <n v="469250"/>
    <m/>
    <m/>
    <m/>
  </r>
  <r>
    <x v="0"/>
    <x v="0"/>
    <s v="\\192.168.24.208\images\R&amp;D\2-Test oestrogénique\OECD and AOPs\REACTIV oecd interlaboratory validation\Results WF\Résultats CBA\2021-CHG-CBA-Anastrozole\plaque 1/@01 ts/A1_02.tif "/>
    <s v=" 5590.715 "/>
    <s v=" 67.537 "/>
    <x v="0"/>
    <n v="377580"/>
    <m/>
    <m/>
    <m/>
  </r>
  <r>
    <x v="0"/>
    <x v="0"/>
    <s v="\\192.168.24.208\images\R&amp;D\2-Test oestrogénique\OECD and AOPs\REACTIV oecd interlaboratory validation\Results WF\Résultats CBA\2021-CHG-CBA-Anastrozole\plaque 1/@01 ts/A1_03.tif "/>
    <s v=" 2392.9131 "/>
    <s v=" 64.7545 "/>
    <x v="0"/>
    <n v="154952"/>
    <m/>
    <m/>
    <m/>
  </r>
  <r>
    <x v="0"/>
    <x v="1"/>
    <s v="\\192.168.24.208\images\R&amp;D\2-Test oestrogénique\OECD and AOPs\REACTIV oecd interlaboratory validation\Results WF\Résultats CBA\2021-CHG-CBA-Anastrozole\plaque 1/@01 ts/B1_01.tif "/>
    <s v=" 2740.9731 "/>
    <s v=" 65.5873 "/>
    <x v="0"/>
    <n v="179773"/>
    <m/>
    <m/>
    <m/>
  </r>
  <r>
    <x v="0"/>
    <x v="1"/>
    <s v="\\192.168.24.208\images\R&amp;D\2-Test oestrogénique\OECD and AOPs\REACTIV oecd interlaboratory validation\Results WF\Résultats CBA\2021-CHG-CBA-Anastrozole\plaque 1/@01 ts/B1_02.tif "/>
    <s v=" 369.8138 "/>
    <s v=" 61.8235 "/>
    <x v="0"/>
    <n v="22863"/>
    <m/>
    <m/>
    <m/>
  </r>
  <r>
    <x v="0"/>
    <x v="1"/>
    <s v="\\192.168.24.208\images\R&amp;D\2-Test oestrogénique\OECD and AOPs\REACTIV oecd interlaboratory validation\Results WF\Résultats CBA\2021-CHG-CBA-Anastrozole\plaque 1/@01 ts/B1_03.tif "/>
    <s v=" 739.6277 "/>
    <s v=" 62.8529 "/>
    <x v="0"/>
    <n v="46488"/>
    <m/>
    <m/>
    <m/>
  </r>
  <r>
    <x v="0"/>
    <x v="2"/>
    <s v="\\192.168.24.208\images\R&amp;D\2-Test oestrogénique\OECD and AOPs\REACTIV oecd interlaboratory validation\Results WF\Résultats CBA\2021-CHG-CBA-Anastrozole\plaque 1/@01 ts/C1_01.tif "/>
    <s v=" 11029.1538 "/>
    <s v=" 69.4536 "/>
    <x v="0"/>
    <n v="766015"/>
    <m/>
    <m/>
    <m/>
  </r>
  <r>
    <x v="0"/>
    <x v="2"/>
    <s v="\\192.168.24.208\images\R&amp;D\2-Test oestrogénique\OECD and AOPs\REACTIV oecd interlaboratory validation\Results WF\Résultats CBA\2021-CHG-CBA-Anastrozole\plaque 1/@01 ts/C1_02.tif "/>
    <s v=" 8701.502 "/>
    <s v=" 67.8025 "/>
    <x v="0"/>
    <n v="589984"/>
    <m/>
    <m/>
    <m/>
  </r>
  <r>
    <x v="0"/>
    <x v="2"/>
    <s v="\\192.168.24.208\images\R&amp;D\2-Test oestrogénique\OECD and AOPs\REACTIV oecd interlaboratory validation\Results WF\Résultats CBA\2021-CHG-CBA-Anastrozole\plaque 1/@01 ts/C1_03.tif "/>
    <s v=" 10942.1388 "/>
    <s v=" 67.7018 "/>
    <x v="0"/>
    <n v="740802"/>
    <m/>
    <m/>
    <m/>
  </r>
  <r>
    <x v="0"/>
    <x v="3"/>
    <s v="\\192.168.24.208\images\R&amp;D\2-Test oestrogénique\OECD and AOPs\REACTIV oecd interlaboratory validation\Results WF\Résultats CBA\2021-CHG-CBA-Anastrozole\plaque 1/@01 ts/D1_01.tif "/>
    <s v=" 10093.7423 "/>
    <s v=" 72.3664 "/>
    <x v="0"/>
    <n v="730448"/>
    <m/>
    <m/>
    <m/>
  </r>
  <r>
    <x v="0"/>
    <x v="3"/>
    <s v="\\192.168.24.208\images\R&amp;D\2-Test oestrogénique\OECD and AOPs\REACTIV oecd interlaboratory validation\Results WF\Résultats CBA\2021-CHG-CBA-Anastrozole\plaque 1/@01 ts/D1_02- exclu.tif"/>
    <m/>
    <m/>
    <x v="1"/>
    <m/>
    <m/>
    <m/>
    <m/>
  </r>
  <r>
    <x v="0"/>
    <x v="3"/>
    <s v="\\192.168.24.208\images\R&amp;D\2-Test oestrogénique\OECD and AOPs\REACTIV oecd interlaboratory validation\Results WF\Résultats CBA\2021-CHG-CBA-Anastrozole\plaque 1/@01 ts/D1_03.tif "/>
    <s v=" 8418.7032 "/>
    <s v=" 68.5116 "/>
    <x v="0"/>
    <n v="576779"/>
    <m/>
    <m/>
    <m/>
  </r>
  <r>
    <x v="0"/>
    <x v="4"/>
    <s v="\\192.168.24.208\images\R&amp;D\2-Test oestrogénique\OECD and AOPs\REACTIV oecd interlaboratory validation\Results WF\Résultats CBA\2021-CHG-CBA-Anastrozole\plaque 1/@01 ts/E1_01- exclu.tif"/>
    <m/>
    <m/>
    <x v="1"/>
    <m/>
    <m/>
    <m/>
    <m/>
  </r>
  <r>
    <x v="0"/>
    <x v="4"/>
    <s v="\\192.168.24.208\images\R&amp;D\2-Test oestrogénique\OECD and AOPs\REACTIV oecd interlaboratory validation\Results WF\Résultats CBA\2021-CHG-CBA-Anastrozole\plaque 1/@01 ts/E1_02.tif "/>
    <s v=" 1588.0241 "/>
    <s v=" 63.2603 "/>
    <x v="0"/>
    <n v="100459"/>
    <m/>
    <m/>
    <m/>
  </r>
  <r>
    <x v="0"/>
    <x v="4"/>
    <s v="\\192.168.24.208\images\R&amp;D\2-Test oestrogénique\OECD and AOPs\REACTIV oecd interlaboratory validation\Results WF\Résultats CBA\2021-CHG-CBA-Anastrozole\plaque 1/@01 ts/E1_03.tif "/>
    <s v=" 369.8138 "/>
    <s v=" 63.1765 "/>
    <x v="0"/>
    <n v="23364"/>
    <m/>
    <m/>
    <m/>
  </r>
  <r>
    <x v="0"/>
    <x v="5"/>
    <s v="\\192.168.24.208\images\R&amp;D\2-Test oestrogénique\OECD and AOPs\REACTIV oecd interlaboratory validation\Results WF\Résultats CBA\2021-CHG-CBA-Anastrozole\plaque 1/@01 ts/F1_01.tif "/>
    <s v=" 435.0751 "/>
    <s v=" 64.45 "/>
    <x v="0"/>
    <n v="28041"/>
    <m/>
    <m/>
    <m/>
  </r>
  <r>
    <x v="0"/>
    <x v="5"/>
    <s v="\\192.168.24.208\images\R&amp;D\2-Test oestrogénique\OECD and AOPs\REACTIV oecd interlaboratory validation\Results WF\Résultats CBA\2021-CHG-CBA-Anastrozole\plaque 1/@01 ts/F1_02.tif "/>
    <s v=" 326.3063 "/>
    <s v=" 62.7333 "/>
    <x v="0"/>
    <n v="20470"/>
    <m/>
    <m/>
    <m/>
  </r>
  <r>
    <x v="0"/>
    <x v="5"/>
    <s v="\\192.168.24.208\images\R&amp;D\2-Test oestrogénique\OECD and AOPs\REACTIV oecd interlaboratory validation\Results WF\Résultats CBA\2021-CHG-CBA-Anastrozole\plaque 1/@01 ts/F1_03.tif "/>
    <s v=" 304.5526 "/>
    <s v=" 62.7143 "/>
    <x v="0"/>
    <n v="19100"/>
    <m/>
    <m/>
    <m/>
  </r>
  <r>
    <x v="0"/>
    <x v="6"/>
    <s v="\\192.168.24.208\images\R&amp;D\2-Test oestrogénique\OECD and AOPs\REACTIV oecd interlaboratory validation\Results WF\Résultats CBA\2021-CHG-CBA-Anastrozole\plaque 1/@01 ts/G1_01- exclu.tif"/>
    <m/>
    <m/>
    <x v="1"/>
    <m/>
    <m/>
    <m/>
    <m/>
  </r>
  <r>
    <x v="0"/>
    <x v="6"/>
    <s v="\\192.168.24.208\images\R&amp;D\2-Test oestrogénique\OECD and AOPs\REACTIV oecd interlaboratory validation\Results WF\Résultats CBA\2021-CHG-CBA-Anastrozole\plaque 1/@01 ts/G1_02.tif "/>
    <s v=" 1218.2103 "/>
    <s v=" 63.4107 "/>
    <x v="0"/>
    <n v="77248"/>
    <m/>
    <m/>
    <m/>
  </r>
  <r>
    <x v="0"/>
    <x v="6"/>
    <s v="\\192.168.24.208\images\R&amp;D\2-Test oestrogénique\OECD and AOPs\REACTIV oecd interlaboratory validation\Results WF\Résultats CBA\2021-CHG-CBA-Anastrozole\plaque 1/@01 ts/G1_03.tif "/>
    <s v=" 1348.7328 "/>
    <s v=" 62.6613 "/>
    <x v="0"/>
    <n v="84513"/>
    <m/>
    <m/>
    <m/>
  </r>
  <r>
    <x v="0"/>
    <x v="7"/>
    <s v="\\192.168.24.208\images\R&amp;D\2-Test oestrogénique\OECD and AOPs\REACTIV oecd interlaboratory validation\Results WF\Résultats CBA\2021-CHG-CBA-Anastrozole\plaque 1/@01 ts/H1_01- exclu.tif"/>
    <m/>
    <m/>
    <x v="1"/>
    <m/>
    <m/>
    <m/>
    <m/>
  </r>
  <r>
    <x v="0"/>
    <x v="7"/>
    <s v="\\192.168.24.208\images\R&amp;D\2-Test oestrogénique\OECD and AOPs\REACTIV oecd interlaboratory validation\Results WF\Résultats CBA\2021-CHG-CBA-Anastrozole\plaque 1/@01 ts/H1_02- exclu.tif"/>
    <m/>
    <m/>
    <x v="1"/>
    <m/>
    <m/>
    <m/>
    <m/>
  </r>
  <r>
    <x v="0"/>
    <x v="7"/>
    <s v="\\192.168.24.208\images\R&amp;D\2-Test oestrogénique\OECD and AOPs\REACTIV oecd interlaboratory validation\Results WF\Résultats CBA\2021-CHG-CBA-Anastrozole\plaque 1/@01 ts/H1_03.tif "/>
    <s v=" 783.1352 "/>
    <s v=" 64.9167 "/>
    <x v="0"/>
    <n v="50839"/>
    <m/>
    <m/>
    <m/>
  </r>
  <r>
    <x v="1"/>
    <x v="8"/>
    <s v=" "/>
    <m/>
    <m/>
    <x v="1"/>
    <m/>
    <m/>
    <m/>
    <m/>
  </r>
  <r>
    <x v="1"/>
    <x v="8"/>
    <s v="group "/>
    <s v=" "/>
    <s v=" mean of mean fluo "/>
    <x v="2"/>
    <s v=" mean of total fluo "/>
    <s v=" SD total fluo "/>
    <s v=" n fluorescent "/>
    <s v=" n total"/>
  </r>
  <r>
    <x v="0"/>
    <x v="9"/>
    <s v="\\192.168.24.208\images\R&amp;D\2-Test oestrogénique\OECD and AOPs\REACTIV oecd interlaboratory validation\Results WF\Résultats CBA\2021-CHG-CBA-Anastrozole\plaque 1/@01 ts/ "/>
    <s v=" "/>
    <s v=" 65.1416 "/>
    <x v="3"/>
    <s v=" 222960.667 "/>
    <s v=" 266441.6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192.168.24.208\images\R&amp;D\2-Test oestrogénique\OECD and AOPs\REACTIV oecd interlaboratory validation\Results WF\Résultats CBA\2021-CHG-CBA-Anastrozole\plaque 1/@02 ee2 33/A2_01.tif "/>
    <s v=" 3806.9071 "/>
    <s v=" 69.0514 "/>
    <x v="0"/>
    <n v="262872"/>
    <m/>
    <m/>
    <m/>
  </r>
  <r>
    <x v="2"/>
    <x v="0"/>
    <s v="\\192.168.24.208\images\R&amp;D\2-Test oestrogénique\OECD and AOPs\REACTIV oecd interlaboratory validation\Results WF\Résultats CBA\2021-CHG-CBA-Anastrozole\plaque 1/@02 ee2 33/A2_02.tif "/>
    <s v=" 2697.4656 "/>
    <s v=" 65.1694 "/>
    <x v="0"/>
    <n v="175792"/>
    <m/>
    <m/>
    <m/>
  </r>
  <r>
    <x v="2"/>
    <x v="0"/>
    <s v="\\192.168.24.208\images\R&amp;D\2-Test oestrogénique\OECD and AOPs\REACTIV oecd interlaboratory validation\Results WF\Résultats CBA\2021-CHG-CBA-Anastrozole\plaque 1/@02 ee2 33/A2_03.tif "/>
    <s v=" 391.5676 "/>
    <s v=" 63.0556 "/>
    <x v="0"/>
    <n v="24691"/>
    <m/>
    <m/>
    <m/>
  </r>
  <r>
    <x v="2"/>
    <x v="1"/>
    <s v="\\192.168.24.208\images\R&amp;D\2-Test oestrogénique\OECD and AOPs\REACTIV oecd interlaboratory validation\Results WF\Résultats CBA\2021-CHG-CBA-Anastrozole\plaque 1/@02 ee2 33/B2_01.tif "/>
    <s v=" 522.0901 "/>
    <s v=" 62.7917 "/>
    <x v="0"/>
    <n v="32783"/>
    <m/>
    <m/>
    <m/>
  </r>
  <r>
    <x v="2"/>
    <x v="1"/>
    <s v="\\192.168.24.208\images\R&amp;D\2-Test oestrogénique\OECD and AOPs\REACTIV oecd interlaboratory validation\Results WF\Résultats CBA\2021-CHG-CBA-Anastrozole\plaque 1/@02 ee2 33/B2_02.tif "/>
    <s v=" 543.8439 "/>
    <s v=" 63.2 "/>
    <x v="0"/>
    <n v="34371"/>
    <m/>
    <m/>
    <m/>
  </r>
  <r>
    <x v="2"/>
    <x v="1"/>
    <s v="\\192.168.24.208\images\R&amp;D\2-Test oestrogénique\OECD and AOPs\REACTIV oecd interlaboratory validation\Results WF\Résultats CBA\2021-CHG-CBA-Anastrozole\plaque 1/@02 ee2 33/B2_03.tif "/>
    <s v=" 2001.3455 "/>
    <s v=" 64.3043 "/>
    <x v="0"/>
    <n v="128695"/>
    <m/>
    <m/>
    <m/>
  </r>
  <r>
    <x v="2"/>
    <x v="2"/>
    <s v="\\192.168.24.208\images\R&amp;D\2-Test oestrogénique\OECD and AOPs\REACTIV oecd interlaboratory validation\Results WF\Résultats CBA\2021-CHG-CBA-Anastrozole\plaque 1/@02 ee2 33/C2_01.tif "/>
    <s v=" 565.5976 "/>
    <s v=" 63.8077 "/>
    <x v="0"/>
    <n v="36089"/>
    <m/>
    <m/>
    <m/>
  </r>
  <r>
    <x v="2"/>
    <x v="2"/>
    <s v="\\192.168.24.208\images\R&amp;D\2-Test oestrogénique\OECD and AOPs\REACTIV oecd interlaboratory validation\Results WF\Résultats CBA\2021-CHG-CBA-Anastrozole\plaque 1/@02 ee2 33/C2_02.tif "/>
    <s v=" 478.5826 "/>
    <s v=" 63.7273 "/>
    <x v="0"/>
    <n v="30499"/>
    <m/>
    <m/>
    <m/>
  </r>
  <r>
    <x v="2"/>
    <x v="2"/>
    <s v="\\192.168.24.208\images\R&amp;D\2-Test oestrogénique\OECD and AOPs\REACTIV oecd interlaboratory validation\Results WF\Résultats CBA\2021-CHG-CBA-Anastrozole\plaque 1/@02 ee2 33/C2_03.tif "/>
    <s v=" 369.8138 "/>
    <s v=" 63.0588 "/>
    <x v="0"/>
    <n v="23320"/>
    <m/>
    <m/>
    <m/>
  </r>
  <r>
    <x v="2"/>
    <x v="3"/>
    <s v="\\192.168.24.208\images\R&amp;D\2-Test oestrogénique\OECD and AOPs\REACTIV oecd interlaboratory validation\Results WF\Résultats CBA\2021-CHG-CBA-Anastrozole\plaque 1/@02 ee2 33/D2_01.tif "/>
    <s v=" 522.0901 "/>
    <s v=" 63.4167 "/>
    <x v="0"/>
    <n v="33109"/>
    <m/>
    <m/>
    <m/>
  </r>
  <r>
    <x v="2"/>
    <x v="3"/>
    <s v="\\192.168.24.208\images\R&amp;D\2-Test oestrogénique\OECD and AOPs\REACTIV oecd interlaboratory validation\Results WF\Résultats CBA\2021-CHG-CBA-Anastrozole\plaque 1/@02 ee2 33/D2_02.tif "/>
    <s v=" 326.3063 "/>
    <s v=" 61.8667 "/>
    <x v="0"/>
    <n v="20187"/>
    <m/>
    <m/>
    <m/>
  </r>
  <r>
    <x v="2"/>
    <x v="3"/>
    <s v="\\192.168.24.208\images\R&amp;D\2-Test oestrogénique\OECD and AOPs\REACTIV oecd interlaboratory validation\Results WF\Résultats CBA\2021-CHG-CBA-Anastrozole\plaque 1/@02 ee2 33/D2_03.tif "/>
    <s v=" 435.0751 "/>
    <s v=" 63.5 "/>
    <x v="0"/>
    <n v="27627"/>
    <m/>
    <m/>
    <m/>
  </r>
  <r>
    <x v="2"/>
    <x v="4"/>
    <s v="\\192.168.24.208\images\R&amp;D\2-Test oestrogénique\OECD and AOPs\REACTIV oecd interlaboratory validation\Results WF\Résultats CBA\2021-CHG-CBA-Anastrozole\plaque 1/@02 ee2 33/E2_01- exclu.tif"/>
    <m/>
    <m/>
    <x v="1"/>
    <m/>
    <m/>
    <m/>
    <m/>
  </r>
  <r>
    <x v="2"/>
    <x v="4"/>
    <s v="\\192.168.24.208\images\R&amp;D\2-Test oestrogénique\OECD and AOPs\REACTIV oecd interlaboratory validation\Results WF\Résultats CBA\2021-CHG-CBA-Anastrozole\plaque 1/@02 ee2 33/E2_02.tif "/>
    <s v=" 804.8889 "/>
    <s v=" 62.9189 "/>
    <x v="0"/>
    <n v="50643"/>
    <m/>
    <m/>
    <m/>
  </r>
  <r>
    <x v="2"/>
    <x v="4"/>
    <s v="\\192.168.24.208\images\R&amp;D\2-Test oestrogénique\OECD and AOPs\REACTIV oecd interlaboratory validation\Results WF\Résultats CBA\2021-CHG-CBA-Anastrozole\plaque 1/@02 ee2 33/E2_03.tif "/>
    <s v=" 2175.3755 "/>
    <s v=" 65.45 "/>
    <x v="0"/>
    <n v="142378"/>
    <m/>
    <m/>
    <m/>
  </r>
  <r>
    <x v="2"/>
    <x v="5"/>
    <s v="\\192.168.24.208\images\R&amp;D\2-Test oestrogénique\OECD and AOPs\REACTIV oecd interlaboratory validation\Results WF\Résultats CBA\2021-CHG-CBA-Anastrozole\plaque 1/@02 ee2 33/F2_01.tif "/>
    <s v=" 6265.0814 "/>
    <s v=" 68.0382 "/>
    <x v="0"/>
    <n v="426265"/>
    <m/>
    <m/>
    <m/>
  </r>
  <r>
    <x v="2"/>
    <x v="5"/>
    <s v="\\192.168.24.208\images\R&amp;D\2-Test oestrogénique\OECD and AOPs\REACTIV oecd interlaboratory validation\Results WF\Résultats CBA\2021-CHG-CBA-Anastrozole\plaque 1/@02 ee2 33/F2_02.tif "/>
    <s v=" 15466.9198 "/>
    <s v=" 99.8256 "/>
    <x v="0"/>
    <n v="1543995"/>
    <m/>
    <m/>
    <m/>
  </r>
  <r>
    <x v="2"/>
    <x v="5"/>
    <s v="\\192.168.24.208\images\R&amp;D\2-Test oestrogénique\OECD and AOPs\REACTIV oecd interlaboratory validation\Results WF\Résultats CBA\2021-CHG-CBA-Anastrozole\plaque 1/@02 ee2 33/F2_03.tif "/>
    <s v=" 10528.8174 "/>
    <s v=" 78.6818 "/>
    <x v="0"/>
    <n v="828426"/>
    <m/>
    <m/>
    <m/>
  </r>
  <r>
    <x v="2"/>
    <x v="6"/>
    <s v="\\192.168.24.208\images\R&amp;D\2-Test oestrogénique\OECD and AOPs\REACTIV oecd interlaboratory validation\Results WF\Résultats CBA\2021-CHG-CBA-Anastrozole\plaque 1/@02 ee2 33/G2_01- exclu.tif"/>
    <m/>
    <m/>
    <x v="1"/>
    <m/>
    <m/>
    <m/>
    <m/>
  </r>
  <r>
    <x v="2"/>
    <x v="6"/>
    <s v="\\192.168.24.208\images\R&amp;D\2-Test oestrogénique\OECD and AOPs\REACTIV oecd interlaboratory validation\Results WF\Résultats CBA\2021-CHG-CBA-Anastrozole\plaque 1/@02 ee2 33/G2_02.tif "/>
    <s v=" 478.5826 "/>
    <s v=" 62.5 "/>
    <x v="0"/>
    <n v="29911"/>
    <m/>
    <m/>
    <m/>
  </r>
  <r>
    <x v="2"/>
    <x v="6"/>
    <s v="\\192.168.24.208\images\R&amp;D\2-Test oestrogénique\OECD and AOPs\REACTIV oecd interlaboratory validation\Results WF\Résultats CBA\2021-CHG-CBA-Anastrozole\plaque 1/@02 ee2 33/G2_03.tif "/>
    <s v=" 456.8289 "/>
    <s v=" 63.6667 "/>
    <x v="0"/>
    <n v="29085"/>
    <m/>
    <m/>
    <m/>
  </r>
  <r>
    <x v="2"/>
    <x v="7"/>
    <s v="\\192.168.24.208\images\R&amp;D\2-Test oestrogénique\OECD and AOPs\REACTIV oecd interlaboratory validation\Results WF\Résultats CBA\2021-CHG-CBA-Anastrozole\plaque 1/@02 ee2 33/H2_01.tif "/>
    <s v=" 3132.5407 "/>
    <s v=" 65.9931 "/>
    <x v="0"/>
    <n v="206726"/>
    <m/>
    <m/>
    <m/>
  </r>
  <r>
    <x v="2"/>
    <x v="7"/>
    <s v="\\192.168.24.208\images\R&amp;D\2-Test oestrogénique\OECD and AOPs\REACTIV oecd interlaboratory validation\Results WF\Résultats CBA\2021-CHG-CBA-Anastrozole\plaque 1/@02 ee2 33/H2_02.tif "/>
    <s v=" 2523.4356 "/>
    <s v=" 63.819 "/>
    <x v="0"/>
    <n v="161043"/>
    <m/>
    <m/>
    <m/>
  </r>
  <r>
    <x v="2"/>
    <x v="7"/>
    <s v="\\192.168.24.208\images\R&amp;D\2-Test oestrogénique\OECD and AOPs\REACTIV oecd interlaboratory validation\Results WF\Résultats CBA\2021-CHG-CBA-Anastrozole\plaque 1/@02 ee2 33/H2_03.tif "/>
    <s v=" 3437.0933 "/>
    <s v=" 71.2785 "/>
    <x v="0"/>
    <n v="244991"/>
    <m/>
    <m/>
    <m/>
  </r>
  <r>
    <x v="1"/>
    <x v="8"/>
    <s v=" "/>
    <m/>
    <m/>
    <x v="1"/>
    <m/>
    <m/>
    <m/>
    <m/>
  </r>
  <r>
    <x v="1"/>
    <x v="8"/>
    <s v="group "/>
    <s v=" "/>
    <s v=" mean of mean fluo "/>
    <x v="2"/>
    <s v=" mean of total fluo "/>
    <s v=" SD total fluo "/>
    <s v=" n fluorescent "/>
    <s v=" n total"/>
  </r>
  <r>
    <x v="2"/>
    <x v="9"/>
    <s v="\\192.168.24.208\images\R&amp;D\2-Test oestrogénique\OECD and AOPs\REACTIV oecd interlaboratory validation\Results WF\Résultats CBA\2021-CHG-CBA-Anastrozole\plaque 1/@02 ee2 33/ "/>
    <s v=" "/>
    <s v=" 66.5277 "/>
    <x v="4"/>
    <s v=" 189024.667 "/>
    <s v=" 340918.0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192.168.24.208\images\R&amp;D\2-Test oestrogénique\OECD and AOPs\REACTIV oecd interlaboratory validation\Results WF\Résultats CBA\2021-CHG-CBA-Anastrozole\plaque 1/@03 ee2 50/A3_01.tif "/>
    <s v=" 6373.8502 "/>
    <s v=" 63.884 "/>
    <x v="0"/>
    <n v="407187"/>
    <m/>
    <m/>
    <m/>
  </r>
  <r>
    <x v="3"/>
    <x v="0"/>
    <s v="\\192.168.24.208\images\R&amp;D\2-Test oestrogénique\OECD and AOPs\REACTIV oecd interlaboratory validation\Results WF\Résultats CBA\2021-CHG-CBA-Anastrozole\plaque 1/@03 ee2 50/A3_02.tif "/>
    <s v=" 6569.634 "/>
    <s v=" 64.3444 "/>
    <x v="0"/>
    <n v="422719"/>
    <m/>
    <m/>
    <m/>
  </r>
  <r>
    <x v="3"/>
    <x v="0"/>
    <s v="\\192.168.24.208\images\R&amp;D\2-Test oestrogénique\OECD and AOPs\REACTIV oecd interlaboratory validation\Results WF\Résultats CBA\2021-CHG-CBA-Anastrozole\plaque 1/@03 ee2 50/A3_03.tif "/>
    <s v=" 6591.3878 "/>
    <s v=" 64.7954 "/>
    <x v="0"/>
    <n v="427091"/>
    <m/>
    <m/>
    <m/>
  </r>
  <r>
    <x v="3"/>
    <x v="1"/>
    <s v="\\192.168.24.208\images\R&amp;D\2-Test oestrogénique\OECD and AOPs\REACTIV oecd interlaboratory validation\Results WF\Résultats CBA\2021-CHG-CBA-Anastrozole\plaque 1/@03 ee2 50/B3_01.tif "/>
    <s v=" 5025.1174 "/>
    <s v=" 66.4892 "/>
    <x v="0"/>
    <n v="334116"/>
    <m/>
    <m/>
    <m/>
  </r>
  <r>
    <x v="3"/>
    <x v="1"/>
    <s v="\\192.168.24.208\images\R&amp;D\2-Test oestrogénique\OECD and AOPs\REACTIV oecd interlaboratory validation\Results WF\Résultats CBA\2021-CHG-CBA-Anastrozole\plaque 1/@03 ee2 50/B3_02.tif "/>
    <s v=" 5090.3787 "/>
    <s v=" 68.4615 "/>
    <x v="0"/>
    <n v="348495"/>
    <m/>
    <m/>
    <m/>
  </r>
  <r>
    <x v="3"/>
    <x v="1"/>
    <s v="\\192.168.24.208\images\R&amp;D\2-Test oestrogénique\OECD and AOPs\REACTIV oecd interlaboratory validation\Results WF\Résultats CBA\2021-CHG-CBA-Anastrozole\plaque 1/@03 ee2 50/B3_03.tif "/>
    <s v=" 4459.5198 "/>
    <s v=" 66.0927 "/>
    <x v="0"/>
    <n v="294742"/>
    <m/>
    <m/>
    <m/>
  </r>
  <r>
    <x v="3"/>
    <x v="2"/>
    <s v="\\192.168.24.208\images\R&amp;D\2-Test oestrogénique\OECD and AOPs\REACTIV oecd interlaboratory validation\Results WF\Résultats CBA\2021-CHG-CBA-Anastrozole\plaque 1/@03 ee2 50/C3_01.tif "/>
    <s v=" 1435.7478 "/>
    <s v=" 65.5 "/>
    <x v="0"/>
    <n v="94041"/>
    <m/>
    <m/>
    <m/>
  </r>
  <r>
    <x v="3"/>
    <x v="2"/>
    <s v="\\192.168.24.208\images\R&amp;D\2-Test oestrogénique\OECD and AOPs\REACTIV oecd interlaboratory validation\Results WF\Résultats CBA\2021-CHG-CBA-Anastrozole\plaque 1/@03 ee2 50/C3_02.tif "/>
    <s v=" 391.5676 "/>
    <s v=" 62.5556 "/>
    <x v="0"/>
    <n v="24495"/>
    <m/>
    <m/>
    <m/>
  </r>
  <r>
    <x v="3"/>
    <x v="2"/>
    <s v="\\192.168.24.208\images\R&amp;D\2-Test oestrogénique\OECD and AOPs\REACTIV oecd interlaboratory validation\Results WF\Résultats CBA\2021-CHG-CBA-Anastrozole\plaque 1/@03 ee2 50/C3_03- exclu.tif"/>
    <m/>
    <m/>
    <x v="1"/>
    <m/>
    <m/>
    <m/>
    <m/>
  </r>
  <r>
    <x v="3"/>
    <x v="3"/>
    <s v="\\192.168.24.208\images\R&amp;D\2-Test oestrogénique\OECD and AOPs\REACTIV oecd interlaboratory validation\Results WF\Résultats CBA\2021-CHG-CBA-Anastrozole\plaque 1/@03 ee2 50/D3_01.tif "/>
    <s v=" 1174.7028 "/>
    <s v=" 63.3889 "/>
    <x v="0"/>
    <n v="74463"/>
    <m/>
    <m/>
    <m/>
  </r>
  <r>
    <x v="3"/>
    <x v="3"/>
    <s v="\\192.168.24.208\images\R&amp;D\2-Test oestrogénique\OECD and AOPs\REACTIV oecd interlaboratory validation\Results WF\Résultats CBA\2021-CHG-CBA-Anastrozole\plaque 1/@03 ee2 50/D3_02.tif "/>
    <s v=" 1740.3004 "/>
    <s v=" 63.1375 "/>
    <x v="0"/>
    <n v="109878"/>
    <m/>
    <m/>
    <m/>
  </r>
  <r>
    <x v="3"/>
    <x v="3"/>
    <s v="\\192.168.24.208\images\R&amp;D\2-Test oestrogénique\OECD and AOPs\REACTIV oecd interlaboratory validation\Results WF\Résultats CBA\2021-CHG-CBA-Anastrozole\plaque 1/@03 ee2 50/D3_03.tif "/>
    <s v=" 1109.4415 "/>
    <s v=" 62.5882 "/>
    <x v="0"/>
    <n v="69438"/>
    <m/>
    <m/>
    <m/>
  </r>
  <r>
    <x v="3"/>
    <x v="4"/>
    <s v="\\192.168.24.208\images\R&amp;D\2-Test oestrogénique\OECD and AOPs\REACTIV oecd interlaboratory validation\Results WF\Résultats CBA\2021-CHG-CBA-Anastrozole\plaque 1/@03 ee2 50/E3_01.tif "/>
    <s v=" 4829.3336 "/>
    <s v=" 71.6306 "/>
    <x v="0"/>
    <n v="345928"/>
    <m/>
    <m/>
    <m/>
  </r>
  <r>
    <x v="3"/>
    <x v="4"/>
    <s v="\\192.168.24.208\images\R&amp;D\2-Test oestrogénique\OECD and AOPs\REACTIV oecd interlaboratory validation\Results WF\Résultats CBA\2021-CHG-CBA-Anastrozole\plaque 1/@03 ee2 50/E3_02.tif "/>
    <s v=" 5808.2526 "/>
    <s v=" 66.9288 "/>
    <x v="0"/>
    <n v="388740"/>
    <m/>
    <m/>
    <m/>
  </r>
  <r>
    <x v="3"/>
    <x v="4"/>
    <s v="\\192.168.24.208\images\R&amp;D\2-Test oestrogénique\OECD and AOPs\REACTIV oecd interlaboratory validation\Results WF\Résultats CBA\2021-CHG-CBA-Anastrozole\plaque 1/@03 ee2 50/E3_03.tif "/>
    <s v=" 5046.8712 "/>
    <s v=" 70.3966 "/>
    <x v="0"/>
    <n v="355282"/>
    <m/>
    <m/>
    <m/>
  </r>
  <r>
    <x v="3"/>
    <x v="5"/>
    <s v="\\192.168.24.208\images\R&amp;D\2-Test oestrogénique\OECD and AOPs\REACTIV oecd interlaboratory validation\Results WF\Résultats CBA\2021-CHG-CBA-Anastrozole\plaque 1/@03 ee2 50/F3_01.tif "/>
    <s v=" 3502.3546 "/>
    <s v=" 64.3789 "/>
    <x v="0"/>
    <n v="225478"/>
    <m/>
    <m/>
    <m/>
  </r>
  <r>
    <x v="3"/>
    <x v="5"/>
    <s v="\\192.168.24.208\images\R&amp;D\2-Test oestrogénique\OECD and AOPs\REACTIV oecd interlaboratory validation\Results WF\Résultats CBA\2021-CHG-CBA-Anastrozole\plaque 1/@03 ee2 50/F3_02.tif "/>
    <s v=" 6112.8052 "/>
    <s v=" 69.879 "/>
    <x v="0"/>
    <n v="427157"/>
    <m/>
    <m/>
    <m/>
  </r>
  <r>
    <x v="3"/>
    <x v="5"/>
    <s v="\\192.168.24.208\images\R&amp;D\2-Test oestrogénique\OECD and AOPs\REACTIV oecd interlaboratory validation\Results WF\Résultats CBA\2021-CHG-CBA-Anastrozole\plaque 1/@03 ee2 50/F3_03.tif "/>
    <s v=" 4089.7059 "/>
    <s v=" 68.2394 "/>
    <x v="0"/>
    <n v="279079"/>
    <m/>
    <m/>
    <m/>
  </r>
  <r>
    <x v="3"/>
    <x v="6"/>
    <s v="\\192.168.24.208\images\R&amp;D\2-Test oestrogénique\OECD and AOPs\REACTIV oecd interlaboratory validation\Results WF\Résultats CBA\2021-CHG-CBA-Anastrozole\plaque 1/@03 ee2 50/G3_01- exclu.tif"/>
    <m/>
    <m/>
    <x v="1"/>
    <m/>
    <m/>
    <m/>
    <m/>
  </r>
  <r>
    <x v="3"/>
    <x v="6"/>
    <s v="\\192.168.24.208\images\R&amp;D\2-Test oestrogénique\OECD and AOPs\REACTIV oecd interlaboratory validation\Results WF\Résultats CBA\2021-CHG-CBA-Anastrozole\plaque 1/@03 ee2 50/G3_02- exclu.tif"/>
    <m/>
    <m/>
    <x v="1"/>
    <m/>
    <m/>
    <m/>
    <m/>
  </r>
  <r>
    <x v="3"/>
    <x v="6"/>
    <s v="\\192.168.24.208\images\R&amp;D\2-Test oestrogénique\OECD and AOPs\REACTIV oecd interlaboratory validation\Results WF\Résultats CBA\2021-CHG-CBA-Anastrozole\plaque 1/@03 ee2 50/G3_03.tif "/>
    <s v=" 500.3364 "/>
    <s v=" 62.2609 "/>
    <x v="0"/>
    <n v="31151"/>
    <m/>
    <m/>
    <m/>
  </r>
  <r>
    <x v="3"/>
    <x v="7"/>
    <s v="\\192.168.24.208\images\R&amp;D\2-Test oestrogénique\OECD and AOPs\REACTIV oecd interlaboratory validation\Results WF\Résultats CBA\2021-CHG-CBA-Anastrozole\plaque 1/@03 ee2 50/H3_01.tif "/>
    <s v=" 6221.5739 "/>
    <s v=" 63.6154 "/>
    <x v="0"/>
    <n v="395788"/>
    <m/>
    <m/>
    <m/>
  </r>
  <r>
    <x v="3"/>
    <x v="7"/>
    <s v="\\192.168.24.208\images\R&amp;D\2-Test oestrogénique\OECD and AOPs\REACTIV oecd interlaboratory validation\Results WF\Résultats CBA\2021-CHG-CBA-Anastrozole\plaque 1/@03 ee2 50/H3_02.tif "/>
    <s v=" 3915.6759 "/>
    <s v=" 63.6833 "/>
    <x v="0"/>
    <n v="249363"/>
    <m/>
    <m/>
    <m/>
  </r>
  <r>
    <x v="3"/>
    <x v="7"/>
    <s v="\\192.168.24.208\images\R&amp;D\2-Test oestrogénique\OECD and AOPs\REACTIV oecd interlaboratory validation\Results WF\Résultats CBA\2021-CHG-CBA-Anastrozole\plaque 1/@03 ee2 50/H3_03.tif "/>
    <s v=" 2153.6217 "/>
    <s v=" 63.404 "/>
    <x v="0"/>
    <n v="136548"/>
    <m/>
    <m/>
    <m/>
  </r>
  <r>
    <x v="1"/>
    <x v="8"/>
    <s v=" "/>
    <m/>
    <m/>
    <x v="1"/>
    <m/>
    <m/>
    <m/>
    <m/>
  </r>
  <r>
    <x v="1"/>
    <x v="8"/>
    <s v="group "/>
    <s v=" "/>
    <s v=" mean of mean fluo "/>
    <x v="2"/>
    <s v=" mean of total fluo "/>
    <s v=" SD total fluo "/>
    <s v=" n fluorescent "/>
    <s v=" n total"/>
  </r>
  <r>
    <x v="3"/>
    <x v="9"/>
    <s v="\\192.168.24.208\images\R&amp;D\2-Test oestrogénique\OECD and AOPs\REACTIV oecd interlaboratory validation\Results WF\Résultats CBA\2021-CHG-CBA-Anastrozole\plaque 1/@03 ee2 50/ "/>
    <s v=" "/>
    <s v=" 65.0973 "/>
    <x v="5"/>
    <s v=" 229930.792 "/>
    <s v=" 155944.2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192.168.24.208\images\R&amp;D\2-Test oestrogénique\OECD and AOPs\REACTIV oecd interlaboratory validation\Results WF\Résultats CBA\2021-CHG-CBA-Anastrozole\plaque 1/@04 ee2 76/A4_01- exclu.tif"/>
    <m/>
    <m/>
    <x v="1"/>
    <m/>
    <m/>
    <m/>
    <m/>
  </r>
  <r>
    <x v="4"/>
    <x v="0"/>
    <s v="\\192.168.24.208\images\R&amp;D\2-Test oestrogénique\OECD and AOPs\REACTIV oecd interlaboratory validation\Results WF\Résultats CBA\2021-CHG-CBA-Anastrozole\plaque 1/@04 ee2 76/A4_02.tif "/>
    <s v=" 21188.1574 "/>
    <s v=" 65.2433 "/>
    <x v="0"/>
    <n v="1382386"/>
    <m/>
    <m/>
    <m/>
  </r>
  <r>
    <x v="4"/>
    <x v="0"/>
    <s v="\\192.168.24.208\images\R&amp;D\2-Test oestrogénique\OECD and AOPs\REACTIV oecd interlaboratory validation\Results WF\Résultats CBA\2021-CHG-CBA-Anastrozole\plaque 1/@04 ee2 76/A4_03.tif "/>
    <s v=" 21840.77 "/>
    <s v=" 65.5149 "/>
    <x v="0"/>
    <n v="1430897"/>
    <m/>
    <m/>
    <m/>
  </r>
  <r>
    <x v="4"/>
    <x v="1"/>
    <s v="\\192.168.24.208\images\R&amp;D\2-Test oestrogénique\OECD and AOPs\REACTIV oecd interlaboratory validation\Results WF\Résultats CBA\2021-CHG-CBA-Anastrozole\plaque 1/@04 ee2 76/B4_01.tif "/>
    <s v=" 16815.6526 "/>
    <s v=" 65.771 "/>
    <x v="0"/>
    <n v="1105983"/>
    <m/>
    <m/>
    <m/>
  </r>
  <r>
    <x v="4"/>
    <x v="1"/>
    <s v="\\192.168.24.208\images\R&amp;D\2-Test oestrogénique\OECD and AOPs\REACTIV oecd interlaboratory validation\Results WF\Résultats CBA\2021-CHG-CBA-Anastrozole\plaque 1/@04 ee2 76/B4_02.tif "/>
    <s v=" 20274.4997 "/>
    <s v=" 67.0204 "/>
    <x v="0"/>
    <n v="1358805"/>
    <m/>
    <m/>
    <m/>
  </r>
  <r>
    <x v="4"/>
    <x v="1"/>
    <s v="\\192.168.24.208\images\R&amp;D\2-Test oestrogénique\OECD and AOPs\REACTIV oecd interlaboratory validation\Results WF\Résultats CBA\2021-CHG-CBA-Anastrozole\plaque 1/@04 ee2 76/B4_03.tif "/>
    <s v=" 8375.1957 "/>
    <s v=" 64.6909 "/>
    <x v="0"/>
    <n v="541799"/>
    <m/>
    <m/>
    <m/>
  </r>
  <r>
    <x v="4"/>
    <x v="2"/>
    <s v="\\192.168.24.208\images\R&amp;D\2-Test oestrogénique\OECD and AOPs\REACTIV oecd interlaboratory validation\Results WF\Résultats CBA\2021-CHG-CBA-Anastrozole\plaque 1/@04 ee2 76/C4_01.tif "/>
    <s v=" 21188.1574 "/>
    <s v=" 66.5637 "/>
    <x v="0"/>
    <n v="1410361"/>
    <m/>
    <m/>
    <m/>
  </r>
  <r>
    <x v="4"/>
    <x v="2"/>
    <s v="\\192.168.24.208\images\R&amp;D\2-Test oestrogénique\OECD and AOPs\REACTIV oecd interlaboratory validation\Results WF\Résultats CBA\2021-CHG-CBA-Anastrozole\plaque 1/@04 ee2 76/C4_02.tif "/>
    <s v=" 16402.3313 "/>
    <s v=" 65.7162 "/>
    <x v="0"/>
    <n v="1077899"/>
    <m/>
    <m/>
    <m/>
  </r>
  <r>
    <x v="4"/>
    <x v="2"/>
    <s v="\\192.168.24.208\images\R&amp;D\2-Test oestrogénique\OECD and AOPs\REACTIV oecd interlaboratory validation\Results WF\Résultats CBA\2021-CHG-CBA-Anastrozole\plaque 1/@04 ee2 76/C4_03.tif "/>
    <s v=" 13944.157 "/>
    <s v=" 64.5663 "/>
    <x v="0"/>
    <n v="900323"/>
    <m/>
    <m/>
    <m/>
  </r>
  <r>
    <x v="4"/>
    <x v="3"/>
    <s v="\\192.168.24.208\images\R&amp;D\2-Test oestrogénique\OECD and AOPs\REACTIV oecd interlaboratory validation\Results WF\Résultats CBA\2021-CHG-CBA-Anastrozole\plaque 1/@04 ee2 76/D4_01.tif "/>
    <s v=" 12834.7155 "/>
    <s v=" 67.1153 "/>
    <x v="0"/>
    <n v="861405"/>
    <m/>
    <m/>
    <m/>
  </r>
  <r>
    <x v="4"/>
    <x v="3"/>
    <s v="\\192.168.24.208\images\R&amp;D\2-Test oestrogénique\OECD and AOPs\REACTIV oecd interlaboratory validation\Results WF\Résultats CBA\2021-CHG-CBA-Anastrozole\plaque 1/@04 ee2 76/D4_02.tif "/>
    <s v=" 15619.1961 "/>
    <s v=" 66.6114 "/>
    <x v="0"/>
    <n v="1040417"/>
    <m/>
    <m/>
    <m/>
  </r>
  <r>
    <x v="4"/>
    <x v="3"/>
    <s v="\\192.168.24.208\images\R&amp;D\2-Test oestrogénique\OECD and AOPs\REACTIV oecd interlaboratory validation\Results WF\Résultats CBA\2021-CHG-CBA-Anastrozole\plaque 1/@04 ee2 76/D4_03.tif "/>
    <s v=" 8048.8894 "/>
    <s v=" 64.8324 "/>
    <x v="0"/>
    <n v="521829"/>
    <m/>
    <m/>
    <m/>
  </r>
  <r>
    <x v="4"/>
    <x v="4"/>
    <s v="\\192.168.24.208\images\R&amp;D\2-Test oestrogénique\OECD and AOPs\REACTIV oecd interlaboratory validation\Results WF\Résultats CBA\2021-CHG-CBA-Anastrozole\plaque 1/@04 ee2 76/E4_01.tif "/>
    <s v=" 630.8589 "/>
    <s v=" 62.9655 "/>
    <x v="0"/>
    <n v="39722"/>
    <m/>
    <m/>
    <m/>
  </r>
  <r>
    <x v="4"/>
    <x v="4"/>
    <s v="\\192.168.24.208\images\R&amp;D\2-Test oestrogénique\OECD and AOPs\REACTIV oecd interlaboratory validation\Results WF\Résultats CBA\2021-CHG-CBA-Anastrozole\plaque 1/@04 ee2 76/E4_02.tif "/>
    <s v=" 413.3213 "/>
    <s v=" 63.3684 "/>
    <x v="0"/>
    <n v="26192"/>
    <m/>
    <m/>
    <m/>
  </r>
  <r>
    <x v="4"/>
    <x v="4"/>
    <s v="\\192.168.24.208\images\R&amp;D\2-Test oestrogénique\OECD and AOPs\REACTIV oecd interlaboratory validation\Results WF\Résultats CBA\2021-CHG-CBA-Anastrozole\plaque 1/@04 ee2 76/E4_03.tif "/>
    <s v=" 282.7988 "/>
    <s v=" 62.8462 "/>
    <x v="0"/>
    <n v="17773"/>
    <m/>
    <m/>
    <m/>
  </r>
  <r>
    <x v="4"/>
    <x v="5"/>
    <s v="\\192.168.24.208\images\R&amp;D\2-Test oestrogénique\OECD and AOPs\REACTIV oecd interlaboratory validation\Results WF\Résultats CBA\2021-CHG-CBA-Anastrozole\plaque 1/@04 ee2 76/F4_01.tif "/>
    <s v=" 1392.2403 "/>
    <s v=" 62.75 "/>
    <x v="0"/>
    <n v="87363"/>
    <m/>
    <m/>
    <m/>
  </r>
  <r>
    <x v="4"/>
    <x v="5"/>
    <s v="\\192.168.24.208\images\R&amp;D\2-Test oestrogénique\OECD and AOPs\REACTIV oecd interlaboratory validation\Results WF\Résultats CBA\2021-CHG-CBA-Anastrozole\plaque 1/@04 ee2 76/F4_02.tif "/>
    <s v=" 2284.1443 "/>
    <s v=" 63.1143 "/>
    <x v="0"/>
    <n v="144162"/>
    <m/>
    <m/>
    <m/>
  </r>
  <r>
    <x v="4"/>
    <x v="5"/>
    <s v="\\192.168.24.208\images\R&amp;D\2-Test oestrogénique\OECD and AOPs\REACTIV oecd interlaboratory validation\Results WF\Résultats CBA\2021-CHG-CBA-Anastrozole\plaque 1/@04 ee2 76/F4_03- exclu.tif"/>
    <m/>
    <m/>
    <x v="1"/>
    <m/>
    <m/>
    <m/>
    <m/>
  </r>
  <r>
    <x v="4"/>
    <x v="6"/>
    <s v="\\192.168.24.208\images\R&amp;D\2-Test oestrogénique\OECD and AOPs\REACTIV oecd interlaboratory validation\Results WF\Résultats CBA\2021-CHG-CBA-Anastrozole\plaque 1/@04 ee2 76/G4_01.tif "/>
    <s v=" 3545.8621 "/>
    <s v=" 62.816 "/>
    <x v="0"/>
    <n v="222737"/>
    <m/>
    <m/>
    <m/>
  </r>
  <r>
    <x v="4"/>
    <x v="6"/>
    <s v="\\192.168.24.208\images\R&amp;D\2-Test oestrogénique\OECD and AOPs\REACTIV oecd interlaboratory validation\Results WF\Résultats CBA\2021-CHG-CBA-Anastrozole\plaque 1/@04 ee2 76/G4_02.tif "/>
    <s v=" 4394.2585 "/>
    <s v=" 63.2475 "/>
    <x v="0"/>
    <n v="277926"/>
    <m/>
    <m/>
    <m/>
  </r>
  <r>
    <x v="4"/>
    <x v="6"/>
    <s v="\\192.168.24.208\images\R&amp;D\2-Test oestrogénique\OECD and AOPs\REACTIV oecd interlaboratory validation\Results WF\Résultats CBA\2021-CHG-CBA-Anastrozole\plaque 1/@04 ee2 76/G4_03.tif "/>
    <s v=" 3937.4297 "/>
    <s v=" 63.8619 "/>
    <x v="0"/>
    <n v="251452"/>
    <m/>
    <m/>
    <m/>
  </r>
  <r>
    <x v="4"/>
    <x v="7"/>
    <s v="\\192.168.24.208\images\R&amp;D\2-Test oestrogénique\OECD and AOPs\REACTIV oecd interlaboratory validation\Results WF\Résultats CBA\2021-CHG-CBA-Anastrozole\plaque 1/@04 ee2 76/H4_01.tif "/>
    <s v=" 9897.9585 "/>
    <s v=" 64.044 "/>
    <x v="0"/>
    <n v="633904"/>
    <m/>
    <m/>
    <m/>
  </r>
  <r>
    <x v="4"/>
    <x v="7"/>
    <s v="\\192.168.24.208\images\R&amp;D\2-Test oestrogénique\OECD and AOPs\REACTIV oecd interlaboratory validation\Results WF\Résultats CBA\2021-CHG-CBA-Anastrozole\plaque 1/@04 ee2 76/H4_02.tif "/>
    <s v=" 16184.7937 "/>
    <s v=" 65.4866 "/>
    <x v="0"/>
    <n v="1059886"/>
    <m/>
    <m/>
    <m/>
  </r>
  <r>
    <x v="4"/>
    <x v="7"/>
    <s v="\\192.168.24.208\images\R&amp;D\2-Test oestrogénique\OECD and AOPs\REACTIV oecd interlaboratory validation\Results WF\Résultats CBA\2021-CHG-CBA-Anastrozole\plaque 1/@04 ee2 76/H4_03.tif "/>
    <s v=" 11551.2439 "/>
    <s v=" 64.9171 "/>
    <x v="0"/>
    <n v="749874"/>
    <m/>
    <m/>
    <m/>
  </r>
  <r>
    <x v="1"/>
    <x v="8"/>
    <s v=" "/>
    <m/>
    <m/>
    <x v="1"/>
    <m/>
    <m/>
    <m/>
    <m/>
  </r>
  <r>
    <x v="1"/>
    <x v="8"/>
    <s v="group "/>
    <s v=" "/>
    <s v=" mean of mean fluo "/>
    <x v="2"/>
    <s v=" mean of total fluo "/>
    <s v=" SD total fluo "/>
    <s v=" n fluorescent "/>
    <s v=" n total"/>
  </r>
  <r>
    <x v="4"/>
    <x v="9"/>
    <s v="\\192.168.24.208\images\R&amp;D\2-Test oestrogénique\OECD and AOPs\REACTIV oecd interlaboratory validation\Results WF\Résultats CBA\2021-CHG-CBA-Anastrozole\plaque 1/@04 ee2 76/ "/>
    <s v=" "/>
    <s v=" 65.1404 "/>
    <x v="6"/>
    <s v=" 744673.708 "/>
    <s v=" 516844.1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192.168.24.208\images\R&amp;D\2-Test oestrogénique\OECD and AOPs\REACTIV oecd interlaboratory validation\Results WF\Résultats CBA\2021-CHG-CBA-Anastrozole\plaque 1/@05 ee2 114/A5_01.tif "/>
    <s v=" 24472.9744 "/>
    <s v=" 68.3573 "/>
    <x v="0"/>
    <n v="1672907"/>
    <m/>
    <m/>
    <m/>
  </r>
  <r>
    <x v="5"/>
    <x v="0"/>
    <s v="\\192.168.24.208\images\R&amp;D\2-Test oestrogénique\OECD and AOPs\REACTIV oecd interlaboratory validation\Results WF\Résultats CBA\2021-CHG-CBA-Anastrozole\plaque 1/@05 ee2 114/A5_02- exclu.tif"/>
    <m/>
    <m/>
    <x v="1"/>
    <m/>
    <m/>
    <m/>
    <m/>
  </r>
  <r>
    <x v="5"/>
    <x v="0"/>
    <s v="\\192.168.24.208\images\R&amp;D\2-Test oestrogénique\OECD and AOPs\REACTIV oecd interlaboratory validation\Results WF\Résultats CBA\2021-CHG-CBA-Anastrozole\plaque 1/@05 ee2 114/A5_03.tif "/>
    <s v=" 22536.8902 "/>
    <s v=" 65.918 "/>
    <x v="0"/>
    <n v="1485586"/>
    <m/>
    <m/>
    <m/>
  </r>
  <r>
    <x v="5"/>
    <x v="1"/>
    <s v="\\192.168.24.208\images\R&amp;D\2-Test oestrogénique\OECD and AOPs\REACTIV oecd interlaboratory validation\Results WF\Résultats CBA\2021-CHG-CBA-Anastrozole\plaque 1/@05 ee2 114/B5_01- exclu.tif"/>
    <m/>
    <m/>
    <x v="1"/>
    <m/>
    <m/>
    <m/>
    <m/>
  </r>
  <r>
    <x v="5"/>
    <x v="1"/>
    <s v="\\192.168.24.208\images\R&amp;D\2-Test oestrogénique\OECD and AOPs\REACTIV oecd interlaboratory validation\Results WF\Résultats CBA\2021-CHG-CBA-Anastrozole\plaque 1/@05 ee2 114/B5_02.tif "/>
    <s v=" 9897.9585 "/>
    <s v=" 64.6901 "/>
    <x v="0"/>
    <n v="640300"/>
    <m/>
    <m/>
    <m/>
  </r>
  <r>
    <x v="5"/>
    <x v="1"/>
    <s v="\\192.168.24.208\images\R&amp;D\2-Test oestrogénique\OECD and AOPs\REACTIV oecd interlaboratory validation\Results WF\Résultats CBA\2021-CHG-CBA-Anastrozole\plaque 1/@05 ee2 114/B5_03.tif "/>
    <s v=" 20557.2985 "/>
    <s v=" 67.2444 "/>
    <x v="0"/>
    <n v="1382364"/>
    <m/>
    <m/>
    <m/>
  </r>
  <r>
    <x v="5"/>
    <x v="2"/>
    <s v="\\192.168.24.208\images\R&amp;D\2-Test oestrogénique\OECD and AOPs\REACTIV oecd interlaboratory validation\Results WF\Résultats CBA\2021-CHG-CBA-Anastrozole\plaque 1/@05 ee2 114/C5_01.tif "/>
    <s v=" 3480.6008 "/>
    <s v=" 65.6875 "/>
    <x v="0"/>
    <n v="228632"/>
    <m/>
    <m/>
    <m/>
  </r>
  <r>
    <x v="5"/>
    <x v="2"/>
    <s v="\\192.168.24.208\images\R&amp;D\2-Test oestrogénique\OECD and AOPs\REACTIV oecd interlaboratory validation\Results WF\Résultats CBA\2021-CHG-CBA-Anastrozole\plaque 1/@05 ee2 114/C5_02.tif "/>
    <s v=" 2936.7569 "/>
    <s v=" 65.6667 "/>
    <x v="0"/>
    <n v="192847"/>
    <m/>
    <m/>
    <m/>
  </r>
  <r>
    <x v="5"/>
    <x v="2"/>
    <s v="\\192.168.24.208\images\R&amp;D\2-Test oestrogénique\OECD and AOPs\REACTIV oecd interlaboratory validation\Results WF\Résultats CBA\2021-CHG-CBA-Anastrozole\plaque 1/@05 ee2 114/C5_03.tif "/>
    <s v=" 1239.964 "/>
    <s v=" 63.0702 "/>
    <x v="0"/>
    <n v="78205"/>
    <m/>
    <m/>
    <m/>
  </r>
  <r>
    <x v="5"/>
    <x v="3"/>
    <s v="\\192.168.24.208\images\R&amp;D\2-Test oestrogénique\OECD and AOPs\REACTIV oecd interlaboratory validation\Results WF\Résultats CBA\2021-CHG-CBA-Anastrozole\plaque 1/@05 ee2 114/D5_01.tif "/>
    <s v=" 32782.9088 "/>
    <s v=" 67.0836 "/>
    <x v="0"/>
    <n v="2199196"/>
    <m/>
    <m/>
    <m/>
  </r>
  <r>
    <x v="5"/>
    <x v="3"/>
    <s v="\\192.168.24.208\images\R&amp;D\2-Test oestrogénique\OECD and AOPs\REACTIV oecd interlaboratory validation\Results WF\Résultats CBA\2021-CHG-CBA-Anastrozole\plaque 1/@05 ee2 114/D5_02- exclu.tif"/>
    <m/>
    <m/>
    <x v="1"/>
    <m/>
    <m/>
    <m/>
    <m/>
  </r>
  <r>
    <x v="5"/>
    <x v="3"/>
    <s v="\\192.168.24.208\images\R&amp;D\2-Test oestrogénique\OECD and AOPs\REACTIV oecd interlaboratory validation\Results WF\Résultats CBA\2021-CHG-CBA-Anastrozole\plaque 1/@05 ee2 114/D5_03.tif "/>
    <s v=" 27823.0526 "/>
    <s v=" 65.7451 "/>
    <x v="0"/>
    <n v="1829230"/>
    <m/>
    <m/>
    <m/>
  </r>
  <r>
    <x v="5"/>
    <x v="4"/>
    <s v="\\192.168.24.208\images\R&amp;D\2-Test oestrogénique\OECD and AOPs\REACTIV oecd interlaboratory validation\Results WF\Résultats CBA\2021-CHG-CBA-Anastrozole\plaque 1/@05 ee2 114/E5_01.tif "/>
    <s v=" 16054.2712 "/>
    <s v=" 65.0434 "/>
    <x v="0"/>
    <n v="1044224"/>
    <m/>
    <m/>
    <m/>
  </r>
  <r>
    <x v="5"/>
    <x v="4"/>
    <s v="\\192.168.24.208\images\R&amp;D\2-Test oestrogénique\OECD and AOPs\REACTIV oecd interlaboratory validation\Results WF\Résultats CBA\2021-CHG-CBA-Anastrozole\plaque 1/@05 ee2 114/E5_02.tif "/>
    <s v=" 11420.7214 "/>
    <s v=" 64.8457 "/>
    <x v="0"/>
    <n v="740585"/>
    <m/>
    <m/>
    <m/>
  </r>
  <r>
    <x v="5"/>
    <x v="4"/>
    <s v="\\192.168.24.208\images\R&amp;D\2-Test oestrogénique\OECD and AOPs\REACTIV oecd interlaboratory validation\Results WF\Résultats CBA\2021-CHG-CBA-Anastrozole\plaque 1/@05 ee2 114/E5_03.tif "/>
    <s v=" 15793.2261 "/>
    <s v=" 65.1639 "/>
    <x v="0"/>
    <n v="1029148"/>
    <m/>
    <m/>
    <m/>
  </r>
  <r>
    <x v="5"/>
    <x v="5"/>
    <s v="\\192.168.24.208\images\R&amp;D\2-Test oestrogénique\OECD and AOPs\REACTIV oecd interlaboratory validation\Results WF\Résultats CBA\2021-CHG-CBA-Anastrozole\plaque 1/@05 ee2 114/F5_01.tif "/>
    <s v=" 52448.3033 "/>
    <s v=" 71.3758 "/>
    <x v="0"/>
    <n v="3743538"/>
    <m/>
    <m/>
    <m/>
  </r>
  <r>
    <x v="5"/>
    <x v="5"/>
    <s v="\\192.168.24.208\images\R&amp;D\2-Test oestrogénique\OECD and AOPs\REACTIV oecd interlaboratory validation\Results WF\Résultats CBA\2021-CHG-CBA-Anastrozole\plaque 1/@05 ee2 114/F5_02.tif "/>
    <s v=" 40048.663 "/>
    <s v=" 69.7094 "/>
    <x v="0"/>
    <n v="2791768"/>
    <m/>
    <m/>
    <m/>
  </r>
  <r>
    <x v="5"/>
    <x v="5"/>
    <s v="\\192.168.24.208\images\R&amp;D\2-Test oestrogénique\OECD and AOPs\REACTIV oecd interlaboratory validation\Results WF\Résultats CBA\2021-CHG-CBA-Anastrozole\plaque 1/@05 ee2 114/F5_03.tif "/>
    <s v=" 53884.0511 "/>
    <s v=" 73.6233 "/>
    <x v="0"/>
    <n v="3967124"/>
    <m/>
    <m/>
    <m/>
  </r>
  <r>
    <x v="5"/>
    <x v="6"/>
    <s v="\\192.168.24.208\images\R&amp;D\2-Test oestrogénique\OECD and AOPs\REACTIV oecd interlaboratory validation\Results WF\Résultats CBA\2021-CHG-CBA-Anastrozole\plaque 1/@05 ee2 114/G5_01- exclu.tif"/>
    <m/>
    <m/>
    <x v="1"/>
    <m/>
    <m/>
    <m/>
    <m/>
  </r>
  <r>
    <x v="5"/>
    <x v="6"/>
    <s v="\\192.168.24.208\images\R&amp;D\2-Test oestrogénique\OECD and AOPs\REACTIV oecd interlaboratory validation\Results WF\Résultats CBA\2021-CHG-CBA-Anastrozole\plaque 1/@05 ee2 114/G5_02.tif "/>
    <s v=" 35567.3894 "/>
    <s v=" 69.7321 "/>
    <x v="0"/>
    <n v="2480189"/>
    <m/>
    <m/>
    <m/>
  </r>
  <r>
    <x v="5"/>
    <x v="6"/>
    <s v="\\192.168.24.208\images\R&amp;D\2-Test oestrogénique\OECD and AOPs\REACTIV oecd interlaboratory validation\Results WF\Résultats CBA\2021-CHG-CBA-Anastrozole\plaque 1/@05 ee2 114/G5_03.tif "/>
    <s v=" 36959.6298 "/>
    <s v=" 76.824 "/>
    <x v="0"/>
    <n v="2839387"/>
    <m/>
    <m/>
    <m/>
  </r>
  <r>
    <x v="5"/>
    <x v="7"/>
    <s v="\\192.168.24.208\images\R&amp;D\2-Test oestrogénique\OECD and AOPs\REACTIV oecd interlaboratory validation\Results WF\Résultats CBA\2021-CHG-CBA-Anastrozole\plaque 1/@05 ee2 114/H5_01.tif "/>
    <s v=" 24081.4068 "/>
    <s v=" 66.5185 "/>
    <x v="0"/>
    <n v="1601860"/>
    <m/>
    <m/>
    <m/>
  </r>
  <r>
    <x v="5"/>
    <x v="7"/>
    <s v="\\192.168.24.208\images\R&amp;D\2-Test oestrogénique\OECD and AOPs\REACTIV oecd interlaboratory validation\Results WF\Résultats CBA\2021-CHG-CBA-Anastrozole\plaque 1/@05 ee2 114/H5_02.tif "/>
    <s v=" 25256.1096 "/>
    <s v=" 68.1344 "/>
    <x v="0"/>
    <n v="1720809"/>
    <m/>
    <m/>
    <m/>
  </r>
  <r>
    <x v="5"/>
    <x v="7"/>
    <s v="\\192.168.24.208\images\R&amp;D\2-Test oestrogénique\OECD and AOPs\REACTIV oecd interlaboratory validation\Results WF\Résultats CBA\2021-CHG-CBA-Anastrozole\plaque 1/@05 ee2 114/H5_03.tif "/>
    <s v=" 24429.4669 "/>
    <s v=" 66.9047 "/>
    <x v="0"/>
    <n v="1634447"/>
    <m/>
    <m/>
    <m/>
  </r>
  <r>
    <x v="1"/>
    <x v="8"/>
    <s v=" "/>
    <m/>
    <m/>
    <x v="1"/>
    <m/>
    <m/>
    <m/>
    <m/>
  </r>
  <r>
    <x v="1"/>
    <x v="8"/>
    <s v="group "/>
    <s v=" "/>
    <s v=" mean of mean fluo "/>
    <x v="2"/>
    <s v=" mean of total fluo "/>
    <s v=" SD total fluo "/>
    <s v=" n fluorescent "/>
    <s v=" n total"/>
  </r>
  <r>
    <x v="5"/>
    <x v="9"/>
    <s v="\\192.168.24.208\images\R&amp;D\2-Test oestrogénique\OECD and AOPs\REACTIV oecd interlaboratory validation\Results WF\Résultats CBA\2021-CHG-CBA-Anastrozole\plaque 1/@05 ee2 114/ "/>
    <s v=" "/>
    <s v=" 67.1077 "/>
    <x v="7"/>
    <s v=" 1537704.08 "/>
    <s v=" 1047737.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192.168.24.208\images\R&amp;D\2-Test oestrogénique\OECD and AOPs\REACTIV oecd interlaboratory validation\Results WF\Résultats CBA\2021-CHG-CBA-Anastrozole\plaque 1/@06 ee2 170/A6_01.tif "/>
    <s v=" 64869.6974 "/>
    <s v=" 73.6603 "/>
    <x v="0"/>
    <n v="4778321"/>
    <m/>
    <m/>
    <m/>
  </r>
  <r>
    <x v="6"/>
    <x v="0"/>
    <s v="\\192.168.24.208\images\R&amp;D\2-Test oestrogénique\OECD and AOPs\REACTIV oecd interlaboratory validation\Results WF\Résultats CBA\2021-CHG-CBA-Anastrozole\plaque 1/@06 ee2 170/A6_02.tif "/>
    <s v=" 67306.118 "/>
    <s v=" 75.9409 "/>
    <x v="0"/>
    <n v="5111284"/>
    <m/>
    <m/>
    <m/>
  </r>
  <r>
    <x v="6"/>
    <x v="0"/>
    <s v="\\192.168.24.208\images\R&amp;D\2-Test oestrogénique\OECD and AOPs\REACTIV oecd interlaboratory validation\Results WF\Résultats CBA\2021-CHG-CBA-Anastrozole\plaque 1/@06 ee2 170/A6_03.tif "/>
    <s v=" 62585.5531 "/>
    <s v=" 75.7786 "/>
    <x v="0"/>
    <n v="4742645"/>
    <m/>
    <m/>
    <m/>
  </r>
  <r>
    <x v="6"/>
    <x v="1"/>
    <s v="\\192.168.24.208\images\R&amp;D\2-Test oestrogénique\OECD and AOPs\REACTIV oecd interlaboratory validation\Results WF\Résultats CBA\2021-CHG-CBA-Anastrozole\plaque 1/@06 ee2 170/B6_01.tif "/>
    <s v=" 65913.8777 "/>
    <s v=" 81.2624 "/>
    <x v="0"/>
    <n v="5356318"/>
    <m/>
    <m/>
    <m/>
  </r>
  <r>
    <x v="6"/>
    <x v="1"/>
    <s v="\\192.168.24.208\images\R&amp;D\2-Test oestrogénique\OECD and AOPs\REACTIV oecd interlaboratory validation\Results WF\Résultats CBA\2021-CHG-CBA-Anastrozole\plaque 1/@06 ee2 170/B6_02.tif "/>
    <s v=" 66871.0429 "/>
    <s v=" 80.9086 "/>
    <x v="0"/>
    <n v="5410442"/>
    <m/>
    <m/>
    <m/>
  </r>
  <r>
    <x v="6"/>
    <x v="1"/>
    <s v="\\192.168.24.208\images\R&amp;D\2-Test oestrogénique\OECD and AOPs\REACTIV oecd interlaboratory validation\Results WF\Résultats CBA\2021-CHG-CBA-Anastrozole\plaque 1/@06 ee2 170/B6_03.tif "/>
    <s v=" 63977.7935 "/>
    <s v=" 81.2747 "/>
    <x v="0"/>
    <n v="5199778"/>
    <m/>
    <m/>
    <m/>
  </r>
  <r>
    <x v="6"/>
    <x v="2"/>
    <s v="\\192.168.24.208\images\R&amp;D\2-Test oestrogénique\OECD and AOPs\REACTIV oecd interlaboratory validation\Results WF\Résultats CBA\2021-CHG-CBA-Anastrozole\plaque 1/@06 ee2 170/C6_01- exclu.tif"/>
    <m/>
    <m/>
    <x v="1"/>
    <m/>
    <m/>
    <m/>
    <m/>
  </r>
  <r>
    <x v="6"/>
    <x v="2"/>
    <s v="\\192.168.24.208\images\R&amp;D\2-Test oestrogénique\OECD and AOPs\REACTIV oecd interlaboratory validation\Results WF\Résultats CBA\2021-CHG-CBA-Anastrozole\plaque 1/@06 ee2 170/C6_02- exclu.tif"/>
    <m/>
    <m/>
    <x v="1"/>
    <m/>
    <m/>
    <m/>
    <m/>
  </r>
  <r>
    <x v="6"/>
    <x v="2"/>
    <s v="\\192.168.24.208\images\R&amp;D\2-Test oestrogénique\OECD and AOPs\REACTIV oecd interlaboratory validation\Results WF\Résultats CBA\2021-CHG-CBA-Anastrozole\plaque 1/@06 ee2 170/C6_03- exclu.tif"/>
    <m/>
    <m/>
    <x v="1"/>
    <m/>
    <m/>
    <m/>
    <m/>
  </r>
  <r>
    <x v="6"/>
    <x v="3"/>
    <s v="\\192.168.24.208\images\R&amp;D\2-Test oestrogénique\OECD and AOPs\REACTIV oecd interlaboratory validation\Results WF\Résultats CBA\2021-CHG-CBA-Anastrozole\plaque 1/@06 ee2 170/D6_01- exclu.tif"/>
    <m/>
    <m/>
    <x v="1"/>
    <m/>
    <m/>
    <m/>
    <m/>
  </r>
  <r>
    <x v="6"/>
    <x v="3"/>
    <s v="\\192.168.24.208\images\R&amp;D\2-Test oestrogénique\OECD and AOPs\REACTIV oecd interlaboratory validation\Results WF\Résultats CBA\2021-CHG-CBA-Anastrozole\plaque 1/@06 ee2 170/D6_02- exclu.tif"/>
    <m/>
    <m/>
    <x v="1"/>
    <m/>
    <m/>
    <m/>
    <m/>
  </r>
  <r>
    <x v="6"/>
    <x v="3"/>
    <s v="\\192.168.24.208\images\R&amp;D\2-Test oestrogénique\OECD and AOPs\REACTIV oecd interlaboratory validation\Results WF\Résultats CBA\2021-CHG-CBA-Anastrozole\plaque 1/@06 ee2 170/D6_03.tif "/>
    <s v=" 41484.4108 "/>
    <s v=" 71.3534 "/>
    <x v="0"/>
    <n v="2960055"/>
    <m/>
    <m/>
    <m/>
  </r>
  <r>
    <x v="6"/>
    <x v="4"/>
    <s v="\\192.168.24.208\images\R&amp;D\2-Test oestrogénique\OECD and AOPs\REACTIV oecd interlaboratory validation\Results WF\Résultats CBA\2021-CHG-CBA-Anastrozole\plaque 1/@06 ee2 170/E6_01.tif "/>
    <s v=" 22341.1064 "/>
    <s v=" 76.2629 "/>
    <x v="0"/>
    <n v="1703798"/>
    <m/>
    <m/>
    <m/>
  </r>
  <r>
    <x v="6"/>
    <x v="4"/>
    <s v="\\192.168.24.208\images\R&amp;D\2-Test oestrogénique\OECD and AOPs\REACTIV oecd interlaboratory validation\Results WF\Résultats CBA\2021-CHG-CBA-Anastrozole\plaque 1/@06 ee2 170/E6_02.tif "/>
    <s v=" 23341.7791 "/>
    <s v=" 77.123 "/>
    <x v="0"/>
    <n v="1800188"/>
    <m/>
    <m/>
    <m/>
  </r>
  <r>
    <x v="6"/>
    <x v="4"/>
    <s v="\\192.168.24.208\images\R&amp;D\2-Test oestrogénique\OECD and AOPs\REACTIV oecd interlaboratory validation\Results WF\Résultats CBA\2021-CHG-CBA-Anastrozole\plaque 1/@06 ee2 170/E6_03.tif "/>
    <s v=" 22254.0914 "/>
    <s v=" 78.6667 "/>
    <x v="0"/>
    <n v="1750655"/>
    <m/>
    <m/>
    <m/>
  </r>
  <r>
    <x v="6"/>
    <x v="5"/>
    <s v="\\192.168.24.208\images\R&amp;D\2-Test oestrogénique\OECD and AOPs\REACTIV oecd interlaboratory validation\Results WF\Résultats CBA\2021-CHG-CBA-Anastrozole\plaque 1/@06 ee2 170/F6_01.tif "/>
    <s v=" 52731.1021 "/>
    <s v=" 84.6906 "/>
    <x v="0"/>
    <n v="4465828"/>
    <m/>
    <m/>
    <m/>
  </r>
  <r>
    <x v="6"/>
    <x v="5"/>
    <s v="\\192.168.24.208\images\R&amp;D\2-Test oestrogénique\OECD and AOPs\REACTIV oecd interlaboratory validation\Results WF\Résultats CBA\2021-CHG-CBA-Anastrozole\plaque 1/@06 ee2 170/F6_02.tif "/>
    <s v=" 46574.7895 "/>
    <s v=" 85.8786 "/>
    <x v="0"/>
    <n v="3999776"/>
    <m/>
    <m/>
    <m/>
  </r>
  <r>
    <x v="6"/>
    <x v="5"/>
    <s v="\\192.168.24.208\images\R&amp;D\2-Test oestrogénique\OECD and AOPs\REACTIV oecd interlaboratory validation\Results WF\Résultats CBA\2021-CHG-CBA-Anastrozole\plaque 1/@06 ee2 170/F6_03.tif "/>
    <s v=" 53535.9911 "/>
    <s v=" 79.8712 "/>
    <x v="0"/>
    <n v="4275983"/>
    <m/>
    <m/>
    <m/>
  </r>
  <r>
    <x v="6"/>
    <x v="6"/>
    <s v="\\192.168.24.208\images\R&amp;D\2-Test oestrogénique\OECD and AOPs\REACTIV oecd interlaboratory validation\Results WF\Résultats CBA\2021-CHG-CBA-Anastrozole\plaque 1/@06 ee2 170/G6_01.tif "/>
    <s v=" 57799.727 "/>
    <s v=" 74.7057 "/>
    <x v="0"/>
    <n v="4317968"/>
    <m/>
    <m/>
    <m/>
  </r>
  <r>
    <x v="6"/>
    <x v="6"/>
    <s v="\\192.168.24.208\images\R&amp;D\2-Test oestrogénique\OECD and AOPs\REACTIV oecd interlaboratory validation\Results WF\Résultats CBA\2021-CHG-CBA-Anastrozole\plaque 1/@06 ee2 170/G6_02.tif "/>
    <s v=" 57712.712 "/>
    <s v=" 75.6016 "/>
    <x v="0"/>
    <n v="4363172"/>
    <m/>
    <m/>
    <m/>
  </r>
  <r>
    <x v="6"/>
    <x v="6"/>
    <s v="\\192.168.24.208\images\R&amp;D\2-Test oestrogénique\OECD and AOPs\REACTIV oecd interlaboratory validation\Results WF\Résultats CBA\2021-CHG-CBA-Anastrozole\plaque 1/@06 ee2 170/G6_03.tif "/>
    <s v=" 54645.4326 "/>
    <s v=" 74.2623 "/>
    <x v="0"/>
    <n v="4058098"/>
    <m/>
    <m/>
    <m/>
  </r>
  <r>
    <x v="6"/>
    <x v="7"/>
    <s v="\\192.168.24.208\images\R&amp;D\2-Test oestrogénique\OECD and AOPs\REACTIV oecd interlaboratory validation\Results WF\Résultats CBA\2021-CHG-CBA-Anastrozole\plaque 1/@06 ee2 170/H6_01- exclu.tif"/>
    <m/>
    <m/>
    <x v="1"/>
    <m/>
    <m/>
    <m/>
    <m/>
  </r>
  <r>
    <x v="6"/>
    <x v="7"/>
    <s v="\\192.168.24.208\images\R&amp;D\2-Test oestrogénique\OECD and AOPs\REACTIV oecd interlaboratory validation\Results WF\Résultats CBA\2021-CHG-CBA-Anastrozole\plaque 1/@06 ee2 170/H6_02.tif "/>
    <s v=" 41049.3357 "/>
    <s v=" 69.097 "/>
    <x v="0"/>
    <n v="2836385"/>
    <m/>
    <m/>
    <m/>
  </r>
  <r>
    <x v="6"/>
    <x v="7"/>
    <s v="\\192.168.24.208\images\R&amp;D\2-Test oestrogénique\OECD and AOPs\REACTIV oecd interlaboratory validation\Results WF\Résultats CBA\2021-CHG-CBA-Anastrozole\plaque 1/@06 ee2 170/H6_03.tif "/>
    <s v=" 39526.5728 "/>
    <s v=" 68.5542 "/>
    <x v="0"/>
    <n v="2709713"/>
    <m/>
    <m/>
    <m/>
  </r>
  <r>
    <x v="1"/>
    <x v="8"/>
    <s v=" "/>
    <m/>
    <m/>
    <x v="1"/>
    <m/>
    <m/>
    <m/>
    <m/>
  </r>
  <r>
    <x v="1"/>
    <x v="8"/>
    <s v="group "/>
    <s v=" "/>
    <s v=" mean of mean fluo "/>
    <x v="2"/>
    <s v=" mean of total fluo "/>
    <s v=" SD total fluo "/>
    <s v=" n fluorescent "/>
    <s v=" n total"/>
  </r>
  <r>
    <x v="6"/>
    <x v="9"/>
    <s v="\\192.168.24.208\images\R&amp;D\2-Test oestrogénique\OECD and AOPs\REACTIV oecd interlaboratory validation\Results WF\Résultats CBA\2021-CHG-CBA-Anastrozole\plaque 1/@06 ee2 170/ "/>
    <s v=" "/>
    <s v=" 74.2876 "/>
    <x v="8"/>
    <s v=" 3164936.54 "/>
    <s v=" 181484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192.168.24.208\images\R&amp;D\2-Test oestrogénique\OECD and AOPs\REACTIV oecd interlaboratory validation\Results WF\Résultats CBA\2021-CHG-CBA-Anastrozole\plaque 1/@07 ee2 488/A7_01.tif "/>
    <s v=" 82686.0228 "/>
    <s v=" 95.0802 "/>
    <x v="0"/>
    <n v="7861807"/>
    <m/>
    <m/>
    <m/>
  </r>
  <r>
    <x v="7"/>
    <x v="0"/>
    <s v="\\192.168.24.208\images\R&amp;D\2-Test oestrogénique\OECD and AOPs\REACTIV oecd interlaboratory validation\Results WF\Résultats CBA\2021-CHG-CBA-Anastrozole\plaque 1/@07 ee2 488/A7_02- exclu.tif"/>
    <m/>
    <m/>
    <x v="1"/>
    <m/>
    <m/>
    <m/>
    <m/>
  </r>
  <r>
    <x v="7"/>
    <x v="0"/>
    <s v="\\192.168.24.208\images\R&amp;D\2-Test oestrogénique\OECD and AOPs\REACTIV oecd interlaboratory validation\Results WF\Résultats CBA\2021-CHG-CBA-Anastrozole\plaque 1/@07 ee2 488/A7_03- exclu.tif"/>
    <m/>
    <m/>
    <x v="1"/>
    <m/>
    <m/>
    <m/>
    <m/>
  </r>
  <r>
    <x v="7"/>
    <x v="1"/>
    <s v="\\192.168.24.208\images\R&amp;D\2-Test oestrogénique\OECD and AOPs\REACTIV oecd interlaboratory validation\Results WF\Résultats CBA\2021-CHG-CBA-Anastrozole\plaque 1/@07 ee2 488/B7_01.tif "/>
    <s v=" 69503.2472 "/>
    <s v=" 98.4632 "/>
    <x v="0"/>
    <n v="6843514"/>
    <m/>
    <m/>
    <m/>
  </r>
  <r>
    <x v="7"/>
    <x v="1"/>
    <s v="\\192.168.24.208\images\R&amp;D\2-Test oestrogénique\OECD and AOPs\REACTIV oecd interlaboratory validation\Results WF\Résultats CBA\2021-CHG-CBA-Anastrozole\plaque 1/@07 ee2 488/B7_02.tif "/>
    <s v=" 63782.0097 "/>
    <s v=" 98.2636 "/>
    <x v="0"/>
    <n v="6267453"/>
    <m/>
    <m/>
    <m/>
  </r>
  <r>
    <x v="7"/>
    <x v="1"/>
    <s v="\\192.168.24.208\images\R&amp;D\2-Test oestrogénique\OECD and AOPs\REACTIV oecd interlaboratory validation\Results WF\Résultats CBA\2021-CHG-CBA-Anastrozole\plaque 1/@07 ee2 488/B7_03.tif "/>
    <s v=" 59779.3188 "/>
    <s v=" 103.4007 "/>
    <x v="0"/>
    <n v="6181221"/>
    <m/>
    <m/>
    <m/>
  </r>
  <r>
    <x v="7"/>
    <x v="2"/>
    <s v="\\192.168.24.208\images\R&amp;D\2-Test oestrogénique\OECD and AOPs\REACTIV oecd interlaboratory validation\Results WF\Résultats CBA\2021-CHG-CBA-Anastrozole\plaque 1/@07 ee2 488/C7_01.tif "/>
    <s v=" 57364.6519 "/>
    <s v=" 113.2704 "/>
    <x v="0"/>
    <n v="6497716"/>
    <m/>
    <m/>
    <m/>
  </r>
  <r>
    <x v="7"/>
    <x v="2"/>
    <s v="\\192.168.24.208\images\R&amp;D\2-Test oestrogénique\OECD and AOPs\REACTIV oecd interlaboratory validation\Results WF\Résultats CBA\2021-CHG-CBA-Anastrozole\plaque 1/@07 ee2 488/C7_02.tif "/>
    <s v=" 54841.2164 "/>
    <s v=" 118.6117 "/>
    <x v="0"/>
    <n v="6504808"/>
    <m/>
    <m/>
    <m/>
  </r>
  <r>
    <x v="7"/>
    <x v="2"/>
    <s v="\\192.168.24.208\images\R&amp;D\2-Test oestrogénique\OECD and AOPs\REACTIV oecd interlaboratory validation\Results WF\Résultats CBA\2021-CHG-CBA-Anastrozole\plaque 1/@07 ee2 488/C7_03.tif "/>
    <s v=" 66305.4453 "/>
    <s v=" 107.7979 "/>
    <x v="0"/>
    <n v="7147588"/>
    <m/>
    <m/>
    <m/>
  </r>
  <r>
    <x v="7"/>
    <x v="3"/>
    <s v="\\192.168.24.208\images\R&amp;D\2-Test oestrogénique\OECD and AOPs\REACTIV oecd interlaboratory validation\Results WF\Résultats CBA\2021-CHG-CBA-Anastrozole\plaque 1/@07 ee2 488/D7_01.tif "/>
    <s v=" 74745.9022 "/>
    <s v=" 110.2322 "/>
    <x v="0"/>
    <n v="8239409"/>
    <m/>
    <m/>
    <m/>
  </r>
  <r>
    <x v="7"/>
    <x v="3"/>
    <s v="\\192.168.24.208\images\R&amp;D\2-Test oestrogénique\OECD and AOPs\REACTIV oecd interlaboratory validation\Results WF\Résultats CBA\2021-CHG-CBA-Anastrozole\plaque 1/@07 ee2 488/D7_02.tif "/>
    <s v=" 86492.9299 "/>
    <s v=" 103.7907 "/>
    <x v="0"/>
    <n v="8977166"/>
    <m/>
    <m/>
    <m/>
  </r>
  <r>
    <x v="7"/>
    <x v="3"/>
    <s v="\\192.168.24.208\images\R&amp;D\2-Test oestrogénique\OECD and AOPs\REACTIV oecd interlaboratory validation\Results WF\Résultats CBA\2021-CHG-CBA-Anastrozole\plaque 1/@07 ee2 488/D7_03.tif "/>
    <s v=" 77117.0615 "/>
    <s v=" 107.2254 "/>
    <x v="0"/>
    <n v="8268907"/>
    <m/>
    <m/>
    <m/>
  </r>
  <r>
    <x v="7"/>
    <x v="4"/>
    <s v="\\192.168.24.208\images\R&amp;D\2-Test oestrogénique\OECD and AOPs\REACTIV oecd interlaboratory validation\Results WF\Résultats CBA\2021-CHG-CBA-Anastrozole\plaque 1/@07 ee2 488/E7_01.tif "/>
    <s v=" 69307.4634 "/>
    <s v=" 113.5599 "/>
    <x v="0"/>
    <n v="7870552"/>
    <m/>
    <m/>
    <m/>
  </r>
  <r>
    <x v="7"/>
    <x v="4"/>
    <s v="\\192.168.24.208\images\R&amp;D\2-Test oestrogénique\OECD and AOPs\REACTIV oecd interlaboratory validation\Results WF\Résultats CBA\2021-CHG-CBA-Anastrozole\plaque 1/@07 ee2 488/E7_02.tif "/>
    <s v=" 65000.22 "/>
    <s v=" 119.5509 "/>
    <x v="0"/>
    <n v="7770833"/>
    <m/>
    <m/>
    <m/>
  </r>
  <r>
    <x v="7"/>
    <x v="4"/>
    <s v="\\192.168.24.208\images\R&amp;D\2-Test oestrogénique\OECD and AOPs\REACTIV oecd interlaboratory validation\Results WF\Résultats CBA\2021-CHG-CBA-Anastrozole\plaque 1/@07 ee2 488/E7_03.tif "/>
    <s v=" 75333.2536 "/>
    <s v=" 105.3506 "/>
    <x v="0"/>
    <n v="7936401"/>
    <m/>
    <m/>
    <m/>
  </r>
  <r>
    <x v="7"/>
    <x v="5"/>
    <s v="\\192.168.24.208\images\R&amp;D\2-Test oestrogénique\OECD and AOPs\REACTIV oecd interlaboratory validation\Results WF\Résultats CBA\2021-CHG-CBA-Anastrozole\plaque 1/@07 ee2 488/F7_01.tif "/>
    <s v=" 83186.3591 "/>
    <s v=" 103.3509 "/>
    <x v="0"/>
    <n v="8597389"/>
    <m/>
    <m/>
    <m/>
  </r>
  <r>
    <x v="7"/>
    <x v="5"/>
    <s v="\\192.168.24.208\images\R&amp;D\2-Test oestrogénique\OECD and AOPs\REACTIV oecd interlaboratory validation\Results WF\Résultats CBA\2021-CHG-CBA-Anastrozole\plaque 1/@07 ee2 488/F7_02.tif "/>
    <s v=" 76442.6951 "/>
    <s v=" 101.5902 "/>
    <x v="0"/>
    <n v="7765829"/>
    <m/>
    <m/>
    <m/>
  </r>
  <r>
    <x v="7"/>
    <x v="5"/>
    <s v="\\192.168.24.208\images\R&amp;D\2-Test oestrogénique\OECD and AOPs\REACTIV oecd interlaboratory validation\Results WF\Résultats CBA\2021-CHG-CBA-Anastrozole\plaque 1/@07 ee2 488/F7_03.tif "/>
    <s v=" 75724.8212 "/>
    <s v=" 103.3183 "/>
    <x v="0"/>
    <n v="7823760"/>
    <m/>
    <m/>
    <m/>
  </r>
  <r>
    <x v="7"/>
    <x v="6"/>
    <s v="\\192.168.24.208\images\R&amp;D\2-Test oestrogénique\OECD and AOPs\REACTIV oecd interlaboratory validation\Results WF\Résultats CBA\2021-CHG-CBA-Anastrozole\plaque 1/@07 ee2 488/G7_01.tif "/>
    <s v=" 37198.9211 "/>
    <s v=" 88.4275 "/>
    <x v="0"/>
    <n v="3289407"/>
    <m/>
    <m/>
    <m/>
  </r>
  <r>
    <x v="7"/>
    <x v="6"/>
    <s v="\\192.168.24.208\images\R&amp;D\2-Test oestrogénique\OECD and AOPs\REACTIV oecd interlaboratory validation\Results WF\Résultats CBA\2021-CHG-CBA-Anastrozole\plaque 1/@07 ee2 488/G7_02.tif "/>
    <s v=" 42050.0084 "/>
    <s v=" 87.09 "/>
    <x v="0"/>
    <n v="3662136"/>
    <m/>
    <m/>
    <m/>
  </r>
  <r>
    <x v="7"/>
    <x v="6"/>
    <s v="\\192.168.24.208\images\R&amp;D\2-Test oestrogénique\OECD and AOPs\REACTIV oecd interlaboratory validation\Results WF\Résultats CBA\2021-CHG-CBA-Anastrozole\plaque 1/@07 ee2 488/G7_03.tif "/>
    <s v=" 39026.2365 "/>
    <s v=" 87.4911 "/>
    <x v="0"/>
    <n v="3414448"/>
    <m/>
    <m/>
    <m/>
  </r>
  <r>
    <x v="7"/>
    <x v="7"/>
    <s v="\\192.168.24.208\images\R&amp;D\2-Test oestrogénique\OECD and AOPs\REACTIV oecd interlaboratory validation\Results WF\Résultats CBA\2021-CHG-CBA-Anastrozole\plaque 1/@07 ee2 488/H7_01.tif "/>
    <s v=" 58582.8622 "/>
    <s v=" 94.9722 "/>
    <x v="0"/>
    <n v="5563740"/>
    <m/>
    <m/>
    <m/>
  </r>
  <r>
    <x v="7"/>
    <x v="7"/>
    <s v="\\192.168.24.208\images\R&amp;D\2-Test oestrogénique\OECD and AOPs\REACTIV oecd interlaboratory validation\Results WF\Résultats CBA\2021-CHG-CBA-Anastrozole\plaque 1/@07 ee2 488/H7_02.tif "/>
    <s v=" 52926.8859 "/>
    <s v=" 95.4353 "/>
    <x v="0"/>
    <n v="5051091"/>
    <m/>
    <m/>
    <m/>
  </r>
  <r>
    <x v="7"/>
    <x v="7"/>
    <s v="\\192.168.24.208\images\R&amp;D\2-Test oestrogénique\OECD and AOPs\REACTIV oecd interlaboratory validation\Results WF\Résultats CBA\2021-CHG-CBA-Anastrozole\plaque 1/@07 ee2 488/H7_03.tif "/>
    <s v=" 45617.6242 "/>
    <s v=" 98.144 "/>
    <x v="0"/>
    <n v="4477097"/>
    <m/>
    <m/>
    <m/>
  </r>
  <r>
    <x v="1"/>
    <x v="8"/>
    <s v=" "/>
    <m/>
    <m/>
    <x v="1"/>
    <m/>
    <m/>
    <m/>
    <m/>
  </r>
  <r>
    <x v="1"/>
    <x v="8"/>
    <s v="group "/>
    <s v=" "/>
    <s v=" mean of mean fluo "/>
    <x v="2"/>
    <s v=" mean of total fluo "/>
    <s v=" SD total fluo "/>
    <s v=" n fluorescent "/>
    <s v=" n total"/>
  </r>
  <r>
    <x v="7"/>
    <x v="9"/>
    <s v="\\192.168.24.208\images\R&amp;D\2-Test oestrogénique\OECD and AOPs\REACTIV oecd interlaboratory validation\Results WF\Résultats CBA\2021-CHG-CBA-Anastrozole\plaque 1/@07 ee2 488/ "/>
    <s v=" "/>
    <s v=" 99.618 "/>
    <x v="9"/>
    <s v=" 6249698.92 "/>
    <s v=" 2108714.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192.168.24.208\images\R&amp;D\2-Test oestrogénique\OECD and AOPs\REACTIV oecd interlaboratory validation\Results WF\Résultats CBA\2021-CHG-CBA-Anastrozole\plaque 1/@08 Anastrozole 0.032/A8_01.tif "/>
    <s v=" 4698.8111 "/>
    <s v=" 69.4537 "/>
    <x v="0"/>
    <n v="326350"/>
    <m/>
    <m/>
    <m/>
  </r>
  <r>
    <x v="8"/>
    <x v="0"/>
    <s v="\\192.168.24.208\images\R&amp;D\2-Test oestrogénique\OECD and AOPs\REACTIV oecd interlaboratory validation\Results WF\Résultats CBA\2021-CHG-CBA-Anastrozole\plaque 1/@08 Anastrozole 0.032/A8_02.tif "/>
    <s v=" 5851.7601 "/>
    <s v=" 72.513 "/>
    <x v="0"/>
    <n v="424329"/>
    <m/>
    <m/>
    <m/>
  </r>
  <r>
    <x v="8"/>
    <x v="0"/>
    <s v="\\192.168.24.208\images\R&amp;D\2-Test oestrogénique\OECD and AOPs\REACTIV oecd interlaboratory validation\Results WF\Résultats CBA\2021-CHG-CBA-Anastrozole\plaque 1/@08 Anastrozole 0.032/A8_03.tif "/>
    <s v=" 5416.685 "/>
    <s v=" 69.7108 "/>
    <x v="0"/>
    <n v="377602"/>
    <m/>
    <m/>
    <m/>
  </r>
  <r>
    <x v="8"/>
    <x v="1"/>
    <s v="\\192.168.24.208\images\R&amp;D\2-Test oestrogénique\OECD and AOPs\REACTIV oecd interlaboratory validation\Results WF\Résultats CBA\2021-CHG-CBA-Anastrozole\plaque 1/@08 Anastrozole 0.032/B8_01.tif "/>
    <s v=" 1501.0091 "/>
    <s v=" 63.8261 "/>
    <x v="0"/>
    <n v="95804"/>
    <m/>
    <m/>
    <m/>
  </r>
  <r>
    <x v="8"/>
    <x v="1"/>
    <s v="\\192.168.24.208\images\R&amp;D\2-Test oestrogénique\OECD and AOPs\REACTIV oecd interlaboratory validation\Results WF\Résultats CBA\2021-CHG-CBA-Anastrozole\plaque 1/@08 Anastrozole 0.032/B8_02.tif "/>
    <s v=" 5742.9913 "/>
    <s v=" 68.2576 "/>
    <x v="0"/>
    <n v="392003"/>
    <m/>
    <m/>
    <m/>
  </r>
  <r>
    <x v="8"/>
    <x v="1"/>
    <s v="\\192.168.24.208\images\R&amp;D\2-Test oestrogénique\OECD and AOPs\REACTIV oecd interlaboratory validation\Results WF\Résultats CBA\2021-CHG-CBA-Anastrozole\plaque 1/@08 Anastrozole 0.032/B8_03.tif "/>
    <s v=" 2501.6818 "/>
    <s v=" 63.6696 "/>
    <x v="0"/>
    <n v="159281"/>
    <m/>
    <m/>
    <m/>
  </r>
  <r>
    <x v="8"/>
    <x v="2"/>
    <s v="\\192.168.24.208\images\R&amp;D\2-Test oestrogénique\OECD and AOPs\REACTIV oecd interlaboratory validation\Results WF\Résultats CBA\2021-CHG-CBA-Anastrozole\plaque 1/@08 Anastrozole 0.032/C8_01.tif "/>
    <s v=" 3197.802 "/>
    <s v=" 67.3469 "/>
    <x v="0"/>
    <n v="215362"/>
    <m/>
    <m/>
    <m/>
  </r>
  <r>
    <x v="8"/>
    <x v="2"/>
    <s v="\\192.168.24.208\images\R&amp;D\2-Test oestrogénique\OECD and AOPs\REACTIV oecd interlaboratory validation\Results WF\Résultats CBA\2021-CHG-CBA-Anastrozole\plaque 1/@08 Anastrozole 0.032/C8_02.tif "/>
    <s v=" 1696.7929 "/>
    <s v=" 64.5128 "/>
    <x v="0"/>
    <n v="109465"/>
    <m/>
    <m/>
    <m/>
  </r>
  <r>
    <x v="8"/>
    <x v="2"/>
    <s v="\\192.168.24.208\images\R&amp;D\2-Test oestrogénique\OECD and AOPs\REACTIV oecd interlaboratory validation\Results WF\Résultats CBA\2021-CHG-CBA-Anastrozole\plaque 1/@08 Anastrozole 0.032/C8_03.tif "/>
    <s v=" 2762.7269 "/>
    <s v=" 67.6693 "/>
    <x v="0"/>
    <n v="186952"/>
    <m/>
    <m/>
    <m/>
  </r>
  <r>
    <x v="8"/>
    <x v="3"/>
    <s v="\\192.168.24.208\images\R&amp;D\2-Test oestrogénique\OECD and AOPs\REACTIV oecd interlaboratory validation\Results WF\Résultats CBA\2021-CHG-CBA-Anastrozole\plaque 1/@08 Anastrozole 0.032/D8_01.tif "/>
    <s v=" 1218.2103 "/>
    <s v=" 63.6964 "/>
    <x v="0"/>
    <n v="77596"/>
    <m/>
    <m/>
    <m/>
  </r>
  <r>
    <x v="8"/>
    <x v="3"/>
    <s v="\\192.168.24.208\images\R&amp;D\2-Test oestrogénique\OECD and AOPs\REACTIV oecd interlaboratory validation\Results WF\Résultats CBA\2021-CHG-CBA-Anastrozole\plaque 1/@08 Anastrozole 0.032/D8_02.tif "/>
    <s v=" 1740.3004 "/>
    <s v=" 64.0375 "/>
    <x v="0"/>
    <n v="111444"/>
    <m/>
    <m/>
    <m/>
  </r>
  <r>
    <x v="8"/>
    <x v="3"/>
    <s v="\\192.168.24.208\images\R&amp;D\2-Test oestrogénique\OECD and AOPs\REACTIV oecd interlaboratory validation\Results WF\Résultats CBA\2021-CHG-CBA-Anastrozole\plaque 1/@08 Anastrozole 0.032/D8_03.tif "/>
    <s v=" 2479.9281 "/>
    <s v=" 64.6754 "/>
    <x v="0"/>
    <n v="160390"/>
    <m/>
    <m/>
    <m/>
  </r>
  <r>
    <x v="8"/>
    <x v="4"/>
    <s v="\\192.168.24.208\images\R&amp;D\2-Test oestrogénique\OECD and AOPs\REACTIV oecd interlaboratory validation\Results WF\Résultats CBA\2021-CHG-CBA-Anastrozole\plaque 1/@08 Anastrozole 0.032/E8_01- exclu.tif"/>
    <m/>
    <m/>
    <x v="1"/>
    <m/>
    <m/>
    <m/>
    <m/>
  </r>
  <r>
    <x v="8"/>
    <x v="4"/>
    <s v="\\192.168.24.208\images\R&amp;D\2-Test oestrogénique\OECD and AOPs\REACTIV oecd interlaboratory validation\Results WF\Résultats CBA\2021-CHG-CBA-Anastrozole\plaque 1/@08 Anastrozole 0.032/E8_02.tif "/>
    <s v=" 6156.3127 "/>
    <s v=" 84.6502 "/>
    <x v="0"/>
    <n v="521133"/>
    <m/>
    <m/>
    <m/>
  </r>
  <r>
    <x v="8"/>
    <x v="4"/>
    <s v="\\192.168.24.208\images\R&amp;D\2-Test oestrogénique\OECD and AOPs\REACTIV oecd interlaboratory validation\Results WF\Résultats CBA\2021-CHG-CBA-Anastrozole\plaque 1/@08 Anastrozole 0.032/E8_03- exclu.tif"/>
    <m/>
    <m/>
    <x v="1"/>
    <m/>
    <m/>
    <m/>
    <m/>
  </r>
  <r>
    <x v="8"/>
    <x v="5"/>
    <s v="\\192.168.24.208\images\R&amp;D\2-Test oestrogénique\OECD and AOPs\REACTIV oecd interlaboratory validation\Results WF\Résultats CBA\2021-CHG-CBA-Anastrozole\plaque 1/@08 Anastrozole 0.032/F8_01.tif "/>
    <s v=" 5351.4237 "/>
    <s v=" 68.9593 "/>
    <x v="0"/>
    <n v="369031"/>
    <m/>
    <m/>
    <m/>
  </r>
  <r>
    <x v="8"/>
    <x v="5"/>
    <s v="\\192.168.24.208\images\R&amp;D\2-Test oestrogénique\OECD and AOPs\REACTIV oecd interlaboratory validation\Results WF\Résultats CBA\2021-CHG-CBA-Anastrozole\plaque 1/@08 Anastrozole 0.032/F8_02.tif "/>
    <s v=" 4285.4897 "/>
    <s v=" 73.0711 "/>
    <x v="0"/>
    <n v="313145"/>
    <m/>
    <m/>
    <m/>
  </r>
  <r>
    <x v="8"/>
    <x v="5"/>
    <s v="\\192.168.24.208\images\R&amp;D\2-Test oestrogénique\OECD and AOPs\REACTIV oecd interlaboratory validation\Results WF\Résultats CBA\2021-CHG-CBA-Anastrozole\plaque 1/@08 Anastrozole 0.032/F8_03.tif "/>
    <s v=" 2675.7119 "/>
    <s v=" 66.1951 "/>
    <x v="0"/>
    <n v="177119"/>
    <m/>
    <m/>
    <m/>
  </r>
  <r>
    <x v="8"/>
    <x v="6"/>
    <s v="\\192.168.24.208\images\R&amp;D\2-Test oestrogénique\OECD and AOPs\REACTIV oecd interlaboratory validation\Results WF\Résultats CBA\2021-CHG-CBA-Anastrozole\plaque 1/@08 Anastrozole 0.032/G8_01.tif "/>
    <s v=" 4459.5198 "/>
    <s v=" 65.8293 "/>
    <x v="0"/>
    <n v="293567"/>
    <m/>
    <m/>
    <m/>
  </r>
  <r>
    <x v="8"/>
    <x v="6"/>
    <s v="\\192.168.24.208\images\R&amp;D\2-Test oestrogénique\OECD and AOPs\REACTIV oecd interlaboratory validation\Results WF\Résultats CBA\2021-CHG-CBA-Anastrozole\plaque 1/@08 Anastrozole 0.032/G8_02.tif "/>
    <s v=" 1870.8229 "/>
    <s v=" 63.9767 "/>
    <x v="0"/>
    <n v="119689"/>
    <m/>
    <m/>
    <m/>
  </r>
  <r>
    <x v="8"/>
    <x v="6"/>
    <s v="\\192.168.24.208\images\R&amp;D\2-Test oestrogénique\OECD and AOPs\REACTIV oecd interlaboratory validation\Results WF\Résultats CBA\2021-CHG-CBA-Anastrozole\plaque 1/@08 Anastrozole 0.032/G8_03.tif "/>
    <s v=" 3415.3395 "/>
    <s v=" 64.4841 "/>
    <x v="0"/>
    <n v="220235"/>
    <m/>
    <m/>
    <m/>
  </r>
  <r>
    <x v="8"/>
    <x v="7"/>
    <s v="\\192.168.24.208\images\R&amp;D\2-Test oestrogénique\OECD and AOPs\REACTIV oecd interlaboratory validation\Results WF\Résultats CBA\2021-CHG-CBA-Anastrozole\plaque 1/@08 Anastrozole 0.032/H8_01- exclu.tif"/>
    <m/>
    <m/>
    <x v="1"/>
    <m/>
    <m/>
    <m/>
    <m/>
  </r>
  <r>
    <x v="8"/>
    <x v="7"/>
    <s v="\\192.168.24.208\images\R&amp;D\2-Test oestrogénique\OECD and AOPs\REACTIV oecd interlaboratory validation\Results WF\Résultats CBA\2021-CHG-CBA-Anastrozole\plaque 1/@08 Anastrozole 0.032/H8_02- exclu.tif"/>
    <m/>
    <m/>
    <x v="1"/>
    <m/>
    <m/>
    <m/>
    <m/>
  </r>
  <r>
    <x v="8"/>
    <x v="7"/>
    <s v="\\192.168.24.208\images\R&amp;D\2-Test oestrogénique\OECD and AOPs\REACTIV oecd interlaboratory validation\Results WF\Résultats CBA\2021-CHG-CBA-Anastrozole\plaque 1/@08 Anastrozole 0.032/H8_03- exclu.tif"/>
    <m/>
    <m/>
    <x v="1"/>
    <m/>
    <m/>
    <m/>
    <m/>
  </r>
  <r>
    <x v="1"/>
    <x v="8"/>
    <s v=" "/>
    <m/>
    <m/>
    <x v="1"/>
    <m/>
    <m/>
    <m/>
    <m/>
  </r>
  <r>
    <x v="1"/>
    <x v="8"/>
    <s v="group "/>
    <s v=" "/>
    <s v=" mean of mean fluo "/>
    <x v="2"/>
    <s v=" mean of total fluo "/>
    <s v=" SD total fluo "/>
    <s v=" n fluorescent "/>
    <s v=" n total"/>
  </r>
  <r>
    <x v="8"/>
    <x v="9"/>
    <s v="\\192.168.24.208\images\R&amp;D\2-Test oestrogénique\OECD and AOPs\REACTIV oecd interlaboratory validation\Results WF\Résultats CBA\2021-CHG-CBA-Anastrozole\plaque 1/@08 Anastrozole 0.032/ "/>
    <s v=" "/>
    <s v=" 67.0621 "/>
    <x v="10"/>
    <s v=" 196153.625 "/>
    <s v=" 150134.6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192.168.24.208\images\R&amp;D\2-Test oestrogénique\OECD and AOPs\REACTIV oecd interlaboratory validation\Results WF\Résultats CBA\2021-CHG-CBA-Anastrozole\plaque 1/@09 Anastrozole 0.16/A9_01.tif "/>
    <s v=" 14422.7396 "/>
    <s v=" 85.5083 "/>
    <x v="0"/>
    <n v="1233264"/>
    <m/>
    <m/>
    <m/>
  </r>
  <r>
    <x v="9"/>
    <x v="0"/>
    <s v="\\192.168.24.208\images\R&amp;D\2-Test oestrogénique\OECD and AOPs\REACTIV oecd interlaboratory validation\Results WF\Résultats CBA\2021-CHG-CBA-Anastrozole\plaque 1/@09 Anastrozole 0.16/A9_02.tif "/>
    <s v=" 435.0751 "/>
    <s v=" 63.8 "/>
    <x v="0"/>
    <n v="27758"/>
    <m/>
    <m/>
    <m/>
  </r>
  <r>
    <x v="9"/>
    <x v="0"/>
    <s v="\\192.168.24.208\images\R&amp;D\2-Test oestrogénique\OECD and AOPs\REACTIV oecd interlaboratory validation\Results WF\Résultats CBA\2021-CHG-CBA-Anastrozole\plaque 1/@09 Anastrozole 0.16/A9_03- exclu.tif"/>
    <m/>
    <m/>
    <x v="1"/>
    <m/>
    <m/>
    <m/>
    <m/>
  </r>
  <r>
    <x v="9"/>
    <x v="1"/>
    <s v="\\192.168.24.208\images\R&amp;D\2-Test oestrogénique\OECD and AOPs\REACTIV oecd interlaboratory validation\Results WF\Résultats CBA\2021-CHG-CBA-Anastrozole\plaque 1/@09 Anastrozole 0.16/B9_01.tif "/>
    <s v=" 304.5526 "/>
    <s v=" 63.9286 "/>
    <x v="0"/>
    <n v="19470"/>
    <m/>
    <m/>
    <m/>
  </r>
  <r>
    <x v="9"/>
    <x v="1"/>
    <s v="\\192.168.24.208\images\R&amp;D\2-Test oestrogénique\OECD and AOPs\REACTIV oecd interlaboratory validation\Results WF\Résultats CBA\2021-CHG-CBA-Anastrozole\plaque 1/@09 Anastrozole 0.16/B9_02.tif "/>
    <s v=" 5699.4838 "/>
    <s v=" 67.6565 "/>
    <x v="0"/>
    <n v="385607"/>
    <m/>
    <m/>
    <m/>
  </r>
  <r>
    <x v="9"/>
    <x v="1"/>
    <s v="\\192.168.24.208\images\R&amp;D\2-Test oestrogénique\OECD and AOPs\REACTIV oecd interlaboratory validation\Results WF\Résultats CBA\2021-CHG-CBA-Anastrozole\plaque 1/@09 Anastrozole 0.16/B9_03.tif "/>
    <s v=" 4046.1984 "/>
    <s v=" 64.6935 "/>
    <x v="0"/>
    <n v="261763"/>
    <m/>
    <m/>
    <m/>
  </r>
  <r>
    <x v="9"/>
    <x v="2"/>
    <s v="\\192.168.24.208\images\R&amp;D\2-Test oestrogénique\OECD and AOPs\REACTIV oecd interlaboratory validation\Results WF\Résultats CBA\2021-CHG-CBA-Anastrozole\plaque 1/@09 Anastrozole 0.16/C9_01.tif "/>
    <s v=" 8222.9194 "/>
    <s v=" 69.5503 "/>
    <x v="0"/>
    <n v="571906"/>
    <m/>
    <m/>
    <m/>
  </r>
  <r>
    <x v="9"/>
    <x v="2"/>
    <s v="\\192.168.24.208\images\R&amp;D\2-Test oestrogénique\OECD and AOPs\REACTIV oecd interlaboratory validation\Results WF\Résultats CBA\2021-CHG-CBA-Anastrozole\plaque 1/@09 Anastrozole 0.16/C9_02.tif "/>
    <s v=" 304.5526 "/>
    <s v=" 63.1429 "/>
    <x v="0"/>
    <n v="19230"/>
    <m/>
    <m/>
    <m/>
  </r>
  <r>
    <x v="9"/>
    <x v="2"/>
    <s v="\\192.168.24.208\images\R&amp;D\2-Test oestrogénique\OECD and AOPs\REACTIV oecd interlaboratory validation\Results WF\Résultats CBA\2021-CHG-CBA-Anastrozole\plaque 1/@09 Anastrozole 0.16/C9_03.tif "/>
    <s v=" 4959.8561 "/>
    <s v=" 69.3202 "/>
    <x v="0"/>
    <n v="343818"/>
    <m/>
    <m/>
    <m/>
  </r>
  <r>
    <x v="9"/>
    <x v="3"/>
    <s v="\\192.168.24.208\images\R&amp;D\2-Test oestrogénique\OECD and AOPs\REACTIV oecd interlaboratory validation\Results WF\Résultats CBA\2021-CHG-CBA-Anastrozole\plaque 1/@09 Anastrozole 0.16/D9_01.tif "/>
    <s v=" 1392.2403 "/>
    <s v=" 64.75 "/>
    <x v="0"/>
    <n v="90148"/>
    <m/>
    <m/>
    <m/>
  </r>
  <r>
    <x v="9"/>
    <x v="3"/>
    <s v="\\192.168.24.208\images\R&amp;D\2-Test oestrogénique\OECD and AOPs\REACTIV oecd interlaboratory validation\Results WF\Résultats CBA\2021-CHG-CBA-Anastrozole\plaque 1/@09 Anastrozole 0.16/D9_02.tif "/>
    <s v=" 3850.4146 "/>
    <s v=" 70.0904 "/>
    <x v="0"/>
    <n v="269877"/>
    <m/>
    <m/>
    <m/>
  </r>
  <r>
    <x v="9"/>
    <x v="3"/>
    <s v="\\192.168.24.208\images\R&amp;D\2-Test oestrogénique\OECD and AOPs\REACTIV oecd interlaboratory validation\Results WF\Résultats CBA\2021-CHG-CBA-Anastrozole\plaque 1/@09 Anastrozole 0.16/D9_03.tif "/>
    <s v=" 1326.9791 "/>
    <s v=" 65.7213 "/>
    <x v="0"/>
    <n v="87211"/>
    <m/>
    <m/>
    <m/>
  </r>
  <r>
    <x v="9"/>
    <x v="4"/>
    <s v="\\192.168.24.208\images\R&amp;D\2-Test oestrogénique\OECD and AOPs\REACTIV oecd interlaboratory validation\Results WF\Résultats CBA\2021-CHG-CBA-Anastrozole\plaque 1/@09 Anastrozole 0.16/E9_01.tif "/>
    <s v=" 522.0901 "/>
    <s v=" 63.2917 "/>
    <x v="0"/>
    <n v="33044"/>
    <m/>
    <m/>
    <m/>
  </r>
  <r>
    <x v="9"/>
    <x v="4"/>
    <s v="\\192.168.24.208\images\R&amp;D\2-Test oestrogénique\OECD and AOPs\REACTIV oecd interlaboratory validation\Results WF\Résultats CBA\2021-CHG-CBA-Anastrozole\plaque 1/@09 Anastrozole 0.16/E9_02.tif "/>
    <s v=" 565.5976 "/>
    <s v=" 63.1154 "/>
    <x v="0"/>
    <n v="35698"/>
    <m/>
    <m/>
    <m/>
  </r>
  <r>
    <x v="9"/>
    <x v="4"/>
    <s v="\\192.168.24.208\images\R&amp;D\2-Test oestrogénique\OECD and AOPs\REACTIV oecd interlaboratory validation\Results WF\Résultats CBA\2021-CHG-CBA-Anastrozole\plaque 1/@09 Anastrozole 0.16/E9_03- exclu.tif"/>
    <m/>
    <m/>
    <x v="1"/>
    <m/>
    <m/>
    <m/>
    <m/>
  </r>
  <r>
    <x v="9"/>
    <x v="5"/>
    <s v="\\192.168.24.208\images\R&amp;D\2-Test oestrogénique\OECD and AOPs\REACTIV oecd interlaboratory validation\Results WF\Résultats CBA\2021-CHG-CBA-Anastrozole\plaque 1/@09 Anastrozole 0.16/F9_01.tif "/>
    <s v=" 2153.6217 "/>
    <s v=" 66.2121 "/>
    <x v="0"/>
    <n v="142596"/>
    <m/>
    <m/>
    <m/>
  </r>
  <r>
    <x v="9"/>
    <x v="5"/>
    <s v="\\192.168.24.208\images\R&amp;D\2-Test oestrogénique\OECD and AOPs\REACTIV oecd interlaboratory validation\Results WF\Résultats CBA\2021-CHG-CBA-Anastrozole\plaque 1/@09 Anastrozole 0.16/F9_02.tif "/>
    <s v=" 3828.6609 "/>
    <s v=" 66.6364 "/>
    <x v="0"/>
    <n v="255128"/>
    <m/>
    <m/>
    <m/>
  </r>
  <r>
    <x v="9"/>
    <x v="5"/>
    <s v="\\192.168.24.208\images\R&amp;D\2-Test oestrogénique\OECD and AOPs\REACTIV oecd interlaboratory validation\Results WF\Résultats CBA\2021-CHG-CBA-Anastrozole\plaque 1/@09 Anastrozole 0.16/F9_03.tif "/>
    <s v=" 1174.7028 "/>
    <s v=" 64.7778 "/>
    <x v="0"/>
    <n v="76095"/>
    <m/>
    <m/>
    <m/>
  </r>
  <r>
    <x v="9"/>
    <x v="6"/>
    <s v="\\192.168.24.208\images\R&amp;D\2-Test oestrogénique\OECD and AOPs\REACTIV oecd interlaboratory validation\Results WF\Résultats CBA\2021-CHG-CBA-Anastrozole\plaque 1/@09 Anastrozole 0.16/G9_01.tif "/>
    <s v=" 4263.736 "/>
    <s v=" 67.6429 "/>
    <x v="0"/>
    <n v="288411"/>
    <m/>
    <m/>
    <m/>
  </r>
  <r>
    <x v="9"/>
    <x v="6"/>
    <s v="\\192.168.24.208\images\R&amp;D\2-Test oestrogénique\OECD and AOPs\REACTIV oecd interlaboratory validation\Results WF\Résultats CBA\2021-CHG-CBA-Anastrozole\plaque 1/@09 Anastrozole 0.16/G9_02- exclu.tif"/>
    <m/>
    <m/>
    <x v="1"/>
    <m/>
    <m/>
    <m/>
    <m/>
  </r>
  <r>
    <x v="9"/>
    <x v="6"/>
    <s v="\\192.168.24.208\images\R&amp;D\2-Test oestrogénique\OECD and AOPs\REACTIV oecd interlaboratory validation\Results WF\Résultats CBA\2021-CHG-CBA-Anastrozole\plaque 1/@09 Anastrozole 0.16/G9_03.tif "/>
    <s v=" 3893.9221 "/>
    <s v=" 66.1564 "/>
    <x v="0"/>
    <n v="257608"/>
    <m/>
    <m/>
    <m/>
  </r>
  <r>
    <x v="9"/>
    <x v="7"/>
    <s v="\\192.168.24.208\images\R&amp;D\2-Test oestrogénique\OECD and AOPs\REACTIV oecd interlaboratory validation\Results WF\Résultats CBA\2021-CHG-CBA-Anastrozole\plaque 1/@09 Anastrozole 0.16/H9_01.tif "/>
    <s v=" 5003.3637 "/>
    <s v=" 65.913 "/>
    <x v="0"/>
    <n v="329787"/>
    <m/>
    <m/>
    <m/>
  </r>
  <r>
    <x v="9"/>
    <x v="7"/>
    <s v="\\192.168.24.208\images\R&amp;D\2-Test oestrogénique\OECD and AOPs\REACTIV oecd interlaboratory validation\Results WF\Résultats CBA\2021-CHG-CBA-Anastrozole\plaque 1/@09 Anastrozole 0.16/H9_02.tif "/>
    <s v=" 8157.6581 "/>
    <s v=" 68.4987 "/>
    <x v="0"/>
    <n v="558789"/>
    <m/>
    <m/>
    <m/>
  </r>
  <r>
    <x v="9"/>
    <x v="7"/>
    <s v="\\192.168.24.208\images\R&amp;D\2-Test oestrogénique\OECD and AOPs\REACTIV oecd interlaboratory validation\Results WF\Résultats CBA\2021-CHG-CBA-Anastrozole\plaque 1/@09 Anastrozole 0.16/H9_03.tif "/>
    <s v=" 5394.9312 "/>
    <s v=" 67.5847 "/>
    <x v="0"/>
    <n v="364615"/>
    <m/>
    <m/>
    <m/>
  </r>
  <r>
    <x v="1"/>
    <x v="8"/>
    <s v=" "/>
    <m/>
    <m/>
    <x v="1"/>
    <m/>
    <m/>
    <m/>
    <m/>
  </r>
  <r>
    <x v="1"/>
    <x v="8"/>
    <s v="group "/>
    <s v=" "/>
    <s v=" mean of mean fluo "/>
    <x v="2"/>
    <s v=" mean of total fluo "/>
    <s v=" SD total fluo "/>
    <s v=" n fluorescent "/>
    <s v=" n total"/>
  </r>
  <r>
    <x v="9"/>
    <x v="9"/>
    <s v="\\192.168.24.208\images\R&amp;D\2-Test oestrogénique\OECD and AOPs\REACTIV oecd interlaboratory validation\Results WF\Résultats CBA\2021-CHG-CBA-Anastrozole\plaque 1/@09 Anastrozole 0.16/ "/>
    <s v=" "/>
    <s v=" 66.6287 "/>
    <x v="11"/>
    <s v=" 244102.583 "/>
    <s v=" 268448.3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192.168.24.208\images\R&amp;D\2-Test oestrogénique\OECD and AOPs\REACTIV oecd interlaboratory validation\Results WF\Résultats CBA\2021-CHG-CBA-Anastrozole\plaque 1/@10 Anastrozole 0.8/A10_01.tif "/>
    <s v=" 3502.3546 "/>
    <s v=" 64.0124 "/>
    <x v="0"/>
    <n v="224194"/>
    <m/>
    <m/>
    <m/>
  </r>
  <r>
    <x v="10"/>
    <x v="0"/>
    <s v="\\192.168.24.208\images\R&amp;D\2-Test oestrogénique\OECD and AOPs\REACTIV oecd interlaboratory validation\Results WF\Résultats CBA\2021-CHG-CBA-Anastrozole\plaque 1/@10 Anastrozole 0.8/A10_02.tif "/>
    <s v=" 804.8889 "/>
    <s v=" 62.3243 "/>
    <x v="0"/>
    <n v="50164"/>
    <m/>
    <m/>
    <m/>
  </r>
  <r>
    <x v="10"/>
    <x v="0"/>
    <s v="\\192.168.24.208\images\R&amp;D\2-Test oestrogénique\OECD and AOPs\REACTIV oecd interlaboratory validation\Results WF\Résultats CBA\2021-CHG-CBA-Anastrozole\plaque 1/@10 Anastrozole 0.8/A10_03.tif "/>
    <s v=" 5786.4988 "/>
    <s v=" 69.4699 "/>
    <x v="0"/>
    <n v="401988"/>
    <m/>
    <m/>
    <m/>
  </r>
  <r>
    <x v="10"/>
    <x v="1"/>
    <s v="\\192.168.24.208\images\R&amp;D\2-Test oestrogénique\OECD and AOPs\REACTIV oecd interlaboratory validation\Results WF\Résultats CBA\2021-CHG-CBA-Anastrozole\plaque 1/@10 Anastrozole 0.8/B10_01.tif "/>
    <s v=" 5655.9763 "/>
    <s v=" 65.7308 "/>
    <x v="0"/>
    <n v="371772"/>
    <m/>
    <m/>
    <m/>
  </r>
  <r>
    <x v="10"/>
    <x v="1"/>
    <s v="\\192.168.24.208\images\R&amp;D\2-Test oestrogénique\OECD and AOPs\REACTIV oecd interlaboratory validation\Results WF\Résultats CBA\2021-CHG-CBA-Anastrozole\plaque 1/@10 Anastrozole 0.8/B10_02.tif "/>
    <s v=" 1392.2403 "/>
    <s v=" 63.4375 "/>
    <x v="0"/>
    <n v="88320"/>
    <m/>
    <m/>
    <m/>
  </r>
  <r>
    <x v="10"/>
    <x v="1"/>
    <s v="\\192.168.24.208\images\R&amp;D\2-Test oestrogénique\OECD and AOPs\REACTIV oecd interlaboratory validation\Results WF\Résultats CBA\2021-CHG-CBA-Anastrozole\plaque 1/@10 Anastrozole 0.8/B10_03.tif "/>
    <s v=" 2566.9431 "/>
    <s v=" 64.5678 "/>
    <x v="0"/>
    <n v="165742"/>
    <m/>
    <m/>
    <m/>
  </r>
  <r>
    <x v="10"/>
    <x v="2"/>
    <s v="\\192.168.24.208\images\R&amp;D\2-Test oestrogénique\OECD and AOPs\REACTIV oecd interlaboratory validation\Results WF\Résultats CBA\2021-CHG-CBA-Anastrozole\plaque 1/@10 Anastrozole 0.8/C10_01.tif "/>
    <s v=" 5003.3637 "/>
    <s v=" 66.6826 "/>
    <x v="0"/>
    <n v="333637"/>
    <m/>
    <m/>
    <m/>
  </r>
  <r>
    <x v="10"/>
    <x v="2"/>
    <s v="\\192.168.24.208\images\R&amp;D\2-Test oestrogénique\OECD and AOPs\REACTIV oecd interlaboratory validation\Results WF\Résultats CBA\2021-CHG-CBA-Anastrozole\plaque 1/@10 Anastrozole 0.8/C10_02.tif "/>
    <s v=" 5199.1474 "/>
    <s v=" 70.5439 "/>
    <x v="0"/>
    <n v="366768"/>
    <m/>
    <m/>
    <m/>
  </r>
  <r>
    <x v="10"/>
    <x v="2"/>
    <s v="\\192.168.24.208\images\R&amp;D\2-Test oestrogénique\OECD and AOPs\REACTIV oecd interlaboratory validation\Results WF\Résultats CBA\2021-CHG-CBA-Anastrozole\plaque 1/@10 Anastrozole 0.8/C10_03.tif "/>
    <s v=" 8092.3969 "/>
    <s v=" 71.6156 "/>
    <x v="0"/>
    <n v="579542"/>
    <m/>
    <m/>
    <m/>
  </r>
  <r>
    <x v="10"/>
    <x v="3"/>
    <s v="\\192.168.24.208\images\R&amp;D\2-Test oestrogénique\OECD and AOPs\REACTIV oecd interlaboratory validation\Results WF\Résultats CBA\2021-CHG-CBA-Anastrozole\plaque 1/@10 Anastrozole 0.8/D10_01.tif "/>
    <s v=" 2349.4055 "/>
    <s v=" 64.6759 "/>
    <x v="0"/>
    <n v="151950"/>
    <m/>
    <m/>
    <m/>
  </r>
  <r>
    <x v="10"/>
    <x v="3"/>
    <s v="\\192.168.24.208\images\R&amp;D\2-Test oestrogénique\OECD and AOPs\REACTIV oecd interlaboratory validation\Results WF\Résultats CBA\2021-CHG-CBA-Anastrozole\plaque 1/@10 Anastrozole 0.8/D10_02.tif "/>
    <s v=" 3415.3395 "/>
    <s v=" 65.3949 "/>
    <x v="0"/>
    <n v="223346"/>
    <m/>
    <m/>
    <m/>
  </r>
  <r>
    <x v="10"/>
    <x v="3"/>
    <s v="\\192.168.24.208\images\R&amp;D\2-Test oestrogénique\OECD and AOPs\REACTIV oecd interlaboratory validation\Results WF\Résultats CBA\2021-CHG-CBA-Anastrozole\plaque 1/@10 Anastrozole 0.8/D10_03.tif "/>
    <s v=" 1805.5617 "/>
    <s v=" 64.6867 "/>
    <x v="0"/>
    <n v="116796"/>
    <m/>
    <m/>
    <m/>
  </r>
  <r>
    <x v="10"/>
    <x v="4"/>
    <s v="\\192.168.24.208\images\R&amp;D\2-Test oestrogénique\OECD and AOPs\REACTIV oecd interlaboratory validation\Results WF\Résultats CBA\2021-CHG-CBA-Anastrozole\plaque 1/@10 Anastrozole 0.8/E10_01.tif "/>
    <s v=" 5721.2376 "/>
    <s v=" 67.8745 "/>
    <x v="0"/>
    <n v="388326"/>
    <m/>
    <m/>
    <m/>
  </r>
  <r>
    <x v="10"/>
    <x v="4"/>
    <s v="\\192.168.24.208\images\R&amp;D\2-Test oestrogénique\OECD and AOPs\REACTIV oecd interlaboratory validation\Results WF\Résultats CBA\2021-CHG-CBA-Anastrozole\plaque 1/@10 Anastrozole 0.8/E10_02.tif "/>
    <s v=" 391.5676 "/>
    <s v=" 62.8889 "/>
    <x v="0"/>
    <n v="24625"/>
    <m/>
    <m/>
    <m/>
  </r>
  <r>
    <x v="10"/>
    <x v="4"/>
    <s v="\\192.168.24.208\images\R&amp;D\2-Test oestrogénique\OECD and AOPs\REACTIV oecd interlaboratory validation\Results WF\Résultats CBA\2021-CHG-CBA-Anastrozole\plaque 1/@10 Anastrozole 0.8/E10_03.tif "/>
    <s v=" 674.3664 "/>
    <s v=" 62.7419 "/>
    <x v="0"/>
    <n v="42311"/>
    <m/>
    <m/>
    <m/>
  </r>
  <r>
    <x v="10"/>
    <x v="5"/>
    <s v="\\192.168.24.208\images\R&amp;D\2-Test oestrogénique\OECD and AOPs\REACTIV oecd interlaboratory validation\Results WF\Résultats CBA\2021-CHG-CBA-Anastrozole\plaque 1/@10 Anastrozole 0.8/F10_01.tif "/>
    <s v=" 435.0751 "/>
    <s v=" 63.95 "/>
    <x v="0"/>
    <n v="27823"/>
    <m/>
    <m/>
    <m/>
  </r>
  <r>
    <x v="10"/>
    <x v="5"/>
    <s v="\\192.168.24.208\images\R&amp;D\2-Test oestrogénique\OECD and AOPs\REACTIV oecd interlaboratory validation\Results WF\Résultats CBA\2021-CHG-CBA-Anastrozole\plaque 1/@10 Anastrozole 0.8/F10_02.tif "/>
    <s v=" 391.5676 "/>
    <n v="63"/>
    <x v="0"/>
    <n v="24669"/>
    <m/>
    <m/>
    <m/>
  </r>
  <r>
    <x v="10"/>
    <x v="5"/>
    <s v="\\192.168.24.208\images\R&amp;D\2-Test oestrogénique\OECD and AOPs\REACTIV oecd interlaboratory validation\Results WF\Résultats CBA\2021-CHG-CBA-Anastrozole\plaque 1/@10 Anastrozole 0.8/F10_03.tif "/>
    <s v=" 413.3213 "/>
    <s v=" 66.5789 "/>
    <x v="0"/>
    <n v="27519"/>
    <m/>
    <m/>
    <m/>
  </r>
  <r>
    <x v="10"/>
    <x v="6"/>
    <s v="\\192.168.24.208\images\R&amp;D\2-Test oestrogénique\OECD and AOPs\REACTIV oecd interlaboratory validation\Results WF\Résultats CBA\2021-CHG-CBA-Anastrozole\plaque 1/@10 Anastrozole 0.8/G10_01.tif "/>
    <s v=" 4372.5048 "/>
    <s v=" 67.7264 "/>
    <x v="0"/>
    <n v="296134"/>
    <m/>
    <m/>
    <m/>
  </r>
  <r>
    <x v="10"/>
    <x v="6"/>
    <s v="\\192.168.24.208\images\R&amp;D\2-Test oestrogénique\OECD and AOPs\REACTIV oecd interlaboratory validation\Results WF\Résultats CBA\2021-CHG-CBA-Anastrozole\plaque 1/@10 Anastrozole 0.8/G10_02.tif "/>
    <s v=" 4568.2886 "/>
    <s v=" 66.2857 "/>
    <x v="0"/>
    <n v="302812"/>
    <m/>
    <m/>
    <m/>
  </r>
  <r>
    <x v="10"/>
    <x v="6"/>
    <s v="\\192.168.24.208\images\R&amp;D\2-Test oestrogénique\OECD and AOPs\REACTIV oecd interlaboratory validation\Results WF\Résultats CBA\2021-CHG-CBA-Anastrozole\plaque 1/@10 Anastrozole 0.8/G10_03.tif "/>
    <s v=" 2588.6968 "/>
    <s v=" 64.8908 "/>
    <x v="0"/>
    <n v="167982"/>
    <m/>
    <m/>
    <m/>
  </r>
  <r>
    <x v="10"/>
    <x v="7"/>
    <s v="\\192.168.24.208\images\R&amp;D\2-Test oestrogénique\OECD and AOPs\REACTIV oecd interlaboratory validation\Results WF\Résultats CBA\2021-CHG-CBA-Anastrozole\plaque 1/@10 Anastrozole 0.8/H10_01.tif "/>
    <s v=" 6265.0814 "/>
    <s v=" 69.0417 "/>
    <x v="0"/>
    <n v="432552"/>
    <m/>
    <m/>
    <m/>
  </r>
  <r>
    <x v="10"/>
    <x v="7"/>
    <s v="\\192.168.24.208\images\R&amp;D\2-Test oestrogénique\OECD and AOPs\REACTIV oecd interlaboratory validation\Results WF\Résultats CBA\2021-CHG-CBA-Anastrozole\plaque 1/@10 Anastrozole 0.8/H10_02.tif "/>
    <s v=" 7548.553 "/>
    <s v=" 66.1556 "/>
    <x v="0"/>
    <n v="499379"/>
    <m/>
    <m/>
    <m/>
  </r>
  <r>
    <x v="10"/>
    <x v="7"/>
    <s v="\\192.168.24.208\images\R&amp;D\2-Test oestrogénique\OECD and AOPs\REACTIV oecd interlaboratory validation\Results WF\Résultats CBA\2021-CHG-CBA-Anastrozole\plaque 1/@10 Anastrozole 0.8/H10_03.tif "/>
    <s v=" 696.1202 "/>
    <s v=" 63.5 "/>
    <x v="0"/>
    <n v="44204"/>
    <m/>
    <m/>
    <m/>
  </r>
  <r>
    <x v="1"/>
    <x v="8"/>
    <s v=" "/>
    <m/>
    <m/>
    <x v="1"/>
    <m/>
    <m/>
    <m/>
    <m/>
  </r>
  <r>
    <x v="1"/>
    <x v="8"/>
    <s v="group "/>
    <s v=" "/>
    <s v=" mean of mean fluo "/>
    <x v="2"/>
    <s v=" mean of total fluo "/>
    <s v=" SD total fluo "/>
    <s v=" n fluorescent "/>
    <s v=" n total"/>
  </r>
  <r>
    <x v="10"/>
    <x v="9"/>
    <s v="\\192.168.24.208\images\R&amp;D\2-Test oestrogénique\OECD and AOPs\REACTIV oecd interlaboratory validation\Results WF\Résultats CBA\2021-CHG-CBA-Anastrozole\plaque 1/@10 Anastrozole 0.8/ "/>
    <s v=" "/>
    <s v=" 65.7407 "/>
    <x v="12"/>
    <s v=" 223023.125 "/>
    <s v=" 169885.7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192.168.24.208\images\R&amp;D\2-Test oestrogénique\OECD and AOPs\REACTIV oecd interlaboratory validation\Results WF\Résultats CBA\2021-CHG-CBA-Anastrozole\plaque 1/@11 Anastrozole 4/A11_01.tif "/>
    <s v=" 1435.7478 "/>
    <s v=" 63.8636 "/>
    <x v="0"/>
    <n v="91692"/>
    <m/>
    <m/>
    <m/>
  </r>
  <r>
    <x v="11"/>
    <x v="0"/>
    <s v="\\192.168.24.208\images\R&amp;D\2-Test oestrogénique\OECD and AOPs\REACTIV oecd interlaboratory validation\Results WF\Résultats CBA\2021-CHG-CBA-Anastrozole\plaque 1/@11 Anastrozole 4/A11_02.tif "/>
    <s v=" 1022.4265 "/>
    <s v=" 67.7234 "/>
    <x v="0"/>
    <n v="69242"/>
    <m/>
    <m/>
    <m/>
  </r>
  <r>
    <x v="11"/>
    <x v="0"/>
    <s v="\\192.168.24.208\images\R&amp;D\2-Test oestrogénique\OECD and AOPs\REACTIV oecd interlaboratory validation\Results WF\Résultats CBA\2021-CHG-CBA-Anastrozole\plaque 1/@11 Anastrozole 4/A11_03.tif "/>
    <s v=" 2893.2494 "/>
    <s v=" 65.1805 "/>
    <x v="0"/>
    <n v="188583"/>
    <m/>
    <m/>
    <m/>
  </r>
  <r>
    <x v="11"/>
    <x v="1"/>
    <s v="\\192.168.24.208\images\R&amp;D\2-Test oestrogénique\OECD and AOPs\REACTIV oecd interlaboratory validation\Results WF\Résultats CBA\2021-CHG-CBA-Anastrozole\plaque 1/@11 Anastrozole 4/B11_01.tif "/>
    <s v=" 630.8589 "/>
    <s v=" 63.4828 "/>
    <x v="0"/>
    <n v="40049"/>
    <m/>
    <m/>
    <m/>
  </r>
  <r>
    <x v="11"/>
    <x v="1"/>
    <s v="\\192.168.24.208\images\R&amp;D\2-Test oestrogénique\OECD and AOPs\REACTIV oecd interlaboratory validation\Results WF\Résultats CBA\2021-CHG-CBA-Anastrozole\plaque 1/@11 Anastrozole 4/B11_02.tif "/>
    <s v=" 500.3364 "/>
    <s v=" 62.9565 "/>
    <x v="0"/>
    <n v="31499"/>
    <m/>
    <m/>
    <m/>
  </r>
  <r>
    <x v="11"/>
    <x v="1"/>
    <s v="\\192.168.24.208\images\R&amp;D\2-Test oestrogénique\OECD and AOPs\REACTIV oecd interlaboratory validation\Results WF\Résultats CBA\2021-CHG-CBA-Anastrozole\plaque 1/@11 Anastrozole 4/B11_03.tif "/>
    <s v=" 195.7838 "/>
    <s v=" 62.8889 "/>
    <x v="0"/>
    <n v="12313"/>
    <m/>
    <m/>
    <m/>
  </r>
  <r>
    <x v="11"/>
    <x v="2"/>
    <s v="\\192.168.24.208\images\R&amp;D\2-Test oestrogénique\OECD and AOPs\REACTIV oecd interlaboratory validation\Results WF\Résultats CBA\2021-CHG-CBA-Anastrozole\plaque 1/@11 Anastrozole 4/C11_01.tif "/>
    <s v=" 2849.7419 "/>
    <s v=" 64.7481 "/>
    <x v="0"/>
    <n v="184515"/>
    <m/>
    <m/>
    <m/>
  </r>
  <r>
    <x v="11"/>
    <x v="2"/>
    <s v="\\192.168.24.208\images\R&amp;D\2-Test oestrogénique\OECD and AOPs\REACTIV oecd interlaboratory validation\Results WF\Résultats CBA\2021-CHG-CBA-Anastrozole\plaque 1/@11 Anastrozole 4/C11_02.tif "/>
    <s v=" 1022.4265 "/>
    <s v=" 63.0851 "/>
    <x v="0"/>
    <n v="64500"/>
    <m/>
    <m/>
    <m/>
  </r>
  <r>
    <x v="11"/>
    <x v="2"/>
    <s v="\\192.168.24.208\images\R&amp;D\2-Test oestrogénique\OECD and AOPs\REACTIV oecd interlaboratory validation\Results WF\Résultats CBA\2021-CHG-CBA-Anastrozole\plaque 1/@11 Anastrozole 4/C11_03.tif "/>
    <s v=" 1152.949 "/>
    <s v=" 64.3019 "/>
    <x v="0"/>
    <n v="74137"/>
    <m/>
    <m/>
    <m/>
  </r>
  <r>
    <x v="11"/>
    <x v="3"/>
    <s v="\\192.168.24.208\images\R&amp;D\2-Test oestrogénique\OECD and AOPs\REACTIV oecd interlaboratory validation\Results WF\Résultats CBA\2021-CHG-CBA-Anastrozole\plaque 1/@11 Anastrozole 4/D11_01.tif "/>
    <s v=" 4089.7059 "/>
    <s v=" 67.9255 "/>
    <x v="0"/>
    <n v="277795"/>
    <m/>
    <m/>
    <m/>
  </r>
  <r>
    <x v="11"/>
    <x v="3"/>
    <s v="\\192.168.24.208\images\R&amp;D\2-Test oestrogénique\OECD and AOPs\REACTIV oecd interlaboratory validation\Results WF\Résultats CBA\2021-CHG-CBA-Anastrozole\plaque 1/@11 Anastrozole 4/D11_02.tif "/>
    <s v=" 848.3964 "/>
    <s v=" 63.2564 "/>
    <x v="0"/>
    <n v="53667"/>
    <m/>
    <m/>
    <m/>
  </r>
  <r>
    <x v="11"/>
    <x v="3"/>
    <s v="\\192.168.24.208\images\R&amp;D\2-Test oestrogénique\OECD and AOPs\REACTIV oecd interlaboratory validation\Results WF\Résultats CBA\2021-CHG-CBA-Anastrozole\plaque 1/@11 Anastrozole 4/D11_03.tif "/>
    <s v=" 2197.1293 "/>
    <s v=" 65.1386 "/>
    <x v="0"/>
    <n v="143118"/>
    <m/>
    <m/>
    <m/>
  </r>
  <r>
    <x v="11"/>
    <x v="4"/>
    <s v="\\192.168.24.208\images\R&amp;D\2-Test oestrogénique\OECD and AOPs\REACTIV oecd interlaboratory validation\Results WF\Résultats CBA\2021-CHG-CBA-Anastrozole\plaque 1/@11 Anastrozole 4/E11_01.tif "/>
    <s v=" 4154.9672 "/>
    <s v=" 69.3717 "/>
    <x v="0"/>
    <n v="288237"/>
    <m/>
    <m/>
    <m/>
  </r>
  <r>
    <x v="11"/>
    <x v="4"/>
    <s v="\\192.168.24.208\images\R&amp;D\2-Test oestrogénique\OECD and AOPs\REACTIV oecd interlaboratory validation\Results WF\Résultats CBA\2021-CHG-CBA-Anastrozole\plaque 1/@11 Anastrozole 4/E11_02.tif "/>
    <s v=" 3589.3696 "/>
    <s v=" 73.097 "/>
    <x v="0"/>
    <n v="262372"/>
    <m/>
    <m/>
    <m/>
  </r>
  <r>
    <x v="11"/>
    <x v="4"/>
    <s v="\\192.168.24.208\images\R&amp;D\2-Test oestrogénique\OECD and AOPs\REACTIV oecd interlaboratory validation\Results WF\Résultats CBA\2021-CHG-CBA-Anastrozole\plaque 1/@11 Anastrozole 4/E11_03.tif "/>
    <s v=" 326.3063 "/>
    <s v=" 64.4667 "/>
    <x v="0"/>
    <n v="21036"/>
    <m/>
    <m/>
    <m/>
  </r>
  <r>
    <x v="11"/>
    <x v="5"/>
    <s v="\\192.168.24.208\images\R&amp;D\2-Test oestrogénique\OECD and AOPs\REACTIV oecd interlaboratory validation\Results WF\Résultats CBA\2021-CHG-CBA-Anastrozole\plaque 1/@11 Anastrozole 4/F11_01.tif "/>
    <s v=" 5568.9613 "/>
    <s v=" 67.0312 "/>
    <x v="0"/>
    <n v="373294"/>
    <m/>
    <m/>
    <m/>
  </r>
  <r>
    <x v="11"/>
    <x v="5"/>
    <s v="\\192.168.24.208\images\R&amp;D\2-Test oestrogénique\OECD and AOPs\REACTIV oecd interlaboratory validation\Results WF\Résultats CBA\2021-CHG-CBA-Anastrozole\plaque 1/@11 Anastrozole 4/F11_02.tif "/>
    <s v=" 4154.9672 "/>
    <s v=" 64.4136 "/>
    <x v="0"/>
    <n v="267636"/>
    <m/>
    <m/>
    <m/>
  </r>
  <r>
    <x v="11"/>
    <x v="5"/>
    <s v="\\192.168.24.208\images\R&amp;D\2-Test oestrogénique\OECD and AOPs\REACTIV oecd interlaboratory validation\Results WF\Résultats CBA\2021-CHG-CBA-Anastrozole\plaque 1/@11 Anastrozole 4/F11_03.tif "/>
    <s v=" 5264.4087 "/>
    <s v=" 68.4876 "/>
    <x v="0"/>
    <n v="360547"/>
    <m/>
    <m/>
    <m/>
  </r>
  <r>
    <x v="11"/>
    <x v="6"/>
    <s v="\\192.168.24.208\images\R&amp;D\2-Test oestrogénique\OECD and AOPs\REACTIV oecd interlaboratory validation\Results WF\Résultats CBA\2021-CHG-CBA-Anastrozole\plaque 1/@11 Anastrozole 4/G11_01.tif "/>
    <s v=" 13378.5593 "/>
    <s v=" 89.5203 "/>
    <x v="0"/>
    <n v="1197653"/>
    <m/>
    <m/>
    <m/>
  </r>
  <r>
    <x v="11"/>
    <x v="6"/>
    <s v="\\192.168.24.208\images\R&amp;D\2-Test oestrogénique\OECD and AOPs\REACTIV oecd interlaboratory validation\Results WF\Résultats CBA\2021-CHG-CBA-Anastrozole\plaque 1/@11 Anastrozole 4/G11_02.tif "/>
    <s v=" 9702.1747 "/>
    <s v=" 77.2758 "/>
    <x v="0"/>
    <n v="749743"/>
    <m/>
    <m/>
    <m/>
  </r>
  <r>
    <x v="11"/>
    <x v="6"/>
    <s v="\\192.168.24.208\images\R&amp;D\2-Test oestrogénique\OECD and AOPs\REACTIV oecd interlaboratory validation\Results WF\Résultats CBA\2021-CHG-CBA-Anastrozole\plaque 1/@11 Anastrozole 4/G11_03.tif "/>
    <s v=" 10985.6463 "/>
    <s v=" 78.3267 "/>
    <x v="0"/>
    <n v="860470"/>
    <m/>
    <m/>
    <m/>
  </r>
  <r>
    <x v="11"/>
    <x v="7"/>
    <s v="\\192.168.24.208\images\R&amp;D\2-Test oestrogénique\OECD and AOPs\REACTIV oecd interlaboratory validation\Results WF\Résultats CBA\2021-CHG-CBA-Anastrozole\plaque 1/@11 Anastrozole 4/H11_01- exclu.tif"/>
    <m/>
    <m/>
    <x v="1"/>
    <m/>
    <m/>
    <m/>
    <m/>
  </r>
  <r>
    <x v="11"/>
    <x v="7"/>
    <s v="\\192.168.24.208\images\R&amp;D\2-Test oestrogénique\OECD and AOPs\REACTIV oecd interlaboratory validation\Results WF\Résultats CBA\2021-CHG-CBA-Anastrozole\plaque 1/@11 Anastrozole 4/H11_02- exclu.tif"/>
    <m/>
    <m/>
    <x v="1"/>
    <m/>
    <m/>
    <m/>
    <m/>
  </r>
  <r>
    <x v="11"/>
    <x v="7"/>
    <s v="\\192.168.24.208\images\R&amp;D\2-Test oestrogénique\OECD and AOPs\REACTIV oecd interlaboratory validation\Results WF\Résultats CBA\2021-CHG-CBA-Anastrozole\plaque 1/@11 Anastrozole 4/H11_03- exclu.tif"/>
    <m/>
    <m/>
    <x v="1"/>
    <m/>
    <m/>
    <m/>
    <m/>
  </r>
  <r>
    <x v="1"/>
    <x v="8"/>
    <s v=" "/>
    <m/>
    <m/>
    <x v="1"/>
    <m/>
    <m/>
    <m/>
    <m/>
  </r>
  <r>
    <x v="1"/>
    <x v="8"/>
    <s v="group "/>
    <s v=" "/>
    <s v=" mean of mean fluo "/>
    <x v="2"/>
    <s v=" mean of total fluo "/>
    <s v=" SD total fluo "/>
    <s v=" n fluorescent "/>
    <s v=" n total"/>
  </r>
  <r>
    <x v="11"/>
    <x v="9"/>
    <s v="\\192.168.24.208\images\R&amp;D\2-Test oestrogénique\OECD and AOPs\REACTIV oecd interlaboratory validation\Results WF\Résultats CBA\2021-CHG-CBA-Anastrozole\plaque 1/@11 Anastrozole 4/ "/>
    <s v=" "/>
    <s v=" 67.4507 "/>
    <x v="13"/>
    <s v=" 235226.917 "/>
    <s v=" 302057.8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192.168.24.208\images\R&amp;D\2-Test oestrogénique\OECD and AOPs\REACTIV oecd interlaboratory validation\Results WF\Résultats CBA\2021-CHG-CBA-Anastrozole\plaque 1/@12 Anastrozole 20/A12_01.tif "/>
    <s v=" 11485.9826 "/>
    <s v=" 80.2254 "/>
    <x v="0"/>
    <n v="921467"/>
    <m/>
    <m/>
    <m/>
  </r>
  <r>
    <x v="12"/>
    <x v="0"/>
    <s v="\\192.168.24.208\images\R&amp;D\2-Test oestrogénique\OECD and AOPs\REACTIV oecd interlaboratory validation\Results WF\Résultats CBA\2021-CHG-CBA-Anastrozole\plaque 1/@12 Anastrozole 20/A12_02.tif "/>
    <s v=" 8984.3008 "/>
    <s v=" 75.6077 "/>
    <x v="0"/>
    <n v="679283"/>
    <m/>
    <m/>
    <m/>
  </r>
  <r>
    <x v="12"/>
    <x v="0"/>
    <s v="\\192.168.24.208\images\R&amp;D\2-Test oestrogénique\OECD and AOPs\REACTIV oecd interlaboratory validation\Results WF\Résultats CBA\2021-CHG-CBA-Anastrozole\plaque 1/@12 Anastrozole 20/A12_03- exclu.tif"/>
    <m/>
    <m/>
    <x v="1"/>
    <m/>
    <m/>
    <m/>
    <m/>
  </r>
  <r>
    <x v="12"/>
    <x v="1"/>
    <s v="\\192.168.24.208\images\R&amp;D\2-Test oestrogénique\OECD and AOPs\REACTIV oecd interlaboratory validation\Results WF\Résultats CBA\2021-CHG-CBA-Anastrozole\plaque 1/@12 Anastrozole 20/B12_01.tif "/>
    <s v=" 7069.9704 "/>
    <s v=" 68.0462 "/>
    <x v="0"/>
    <n v="481084"/>
    <m/>
    <m/>
    <m/>
  </r>
  <r>
    <x v="12"/>
    <x v="1"/>
    <s v="\\192.168.24.208\images\R&amp;D\2-Test oestrogénique\OECD and AOPs\REACTIV oecd interlaboratory validation\Results WF\Résultats CBA\2021-CHG-CBA-Anastrozole\plaque 1/@12 Anastrozole 20/B12_02.tif "/>
    <s v=" 826.6427 "/>
    <n v="63"/>
    <x v="0"/>
    <n v="52078"/>
    <m/>
    <m/>
    <m/>
  </r>
  <r>
    <x v="12"/>
    <x v="1"/>
    <s v="\\192.168.24.208\images\R&amp;D\2-Test oestrogénique\OECD and AOPs\REACTIV oecd interlaboratory validation\Results WF\Résultats CBA\2021-CHG-CBA-Anastrozole\plaque 1/@12 Anastrozole 20/B12_03- exclu.tif"/>
    <m/>
    <m/>
    <x v="1"/>
    <m/>
    <m/>
    <m/>
    <m/>
  </r>
  <r>
    <x v="12"/>
    <x v="2"/>
    <s v="\\192.168.24.208\images\R&amp;D\2-Test oestrogénique\OECD and AOPs\REACTIV oecd interlaboratory validation\Results WF\Résultats CBA\2021-CHG-CBA-Anastrozole\plaque 1/@12 Anastrozole 20/C12_01.tif "/>
    <s v=" 2980.2644 "/>
    <s v=" 63.7664 "/>
    <x v="0"/>
    <n v="190041"/>
    <m/>
    <m/>
    <m/>
  </r>
  <r>
    <x v="12"/>
    <x v="2"/>
    <s v="\\192.168.24.208\images\R&amp;D\2-Test oestrogénique\OECD and AOPs\REACTIV oecd interlaboratory validation\Results WF\Résultats CBA\2021-CHG-CBA-Anastrozole\plaque 1/@12 Anastrozole 20/C12_02.tif "/>
    <s v=" 5786.4988 "/>
    <s v=" 68.3045 "/>
    <x v="0"/>
    <n v="395244"/>
    <m/>
    <m/>
    <m/>
  </r>
  <r>
    <x v="12"/>
    <x v="2"/>
    <s v="\\192.168.24.208\images\R&amp;D\2-Test oestrogénique\OECD and AOPs\REACTIV oecd interlaboratory validation\Results WF\Résultats CBA\2021-CHG-CBA-Anastrozole\plaque 1/@12 Anastrozole 20/C12_03.tif "/>
    <s v=" 3197.802 "/>
    <s v=" 65.5646 "/>
    <x v="0"/>
    <n v="209663"/>
    <m/>
    <m/>
    <m/>
  </r>
  <r>
    <x v="12"/>
    <x v="3"/>
    <s v="\\192.168.24.208\images\R&amp;D\2-Test oestrogénique\OECD and AOPs\REACTIV oecd interlaboratory validation\Results WF\Résultats CBA\2021-CHG-CBA-Anastrozole\plaque 1/@12 Anastrozole 20/D12_01.tif "/>
    <s v=" 5373.1775 "/>
    <s v=" 70.6761 "/>
    <x v="0"/>
    <n v="379755"/>
    <m/>
    <m/>
    <m/>
  </r>
  <r>
    <x v="12"/>
    <x v="3"/>
    <s v="\\192.168.24.208\images\R&amp;D\2-Test oestrogénique\OECD and AOPs\REACTIV oecd interlaboratory validation\Results WF\Résultats CBA\2021-CHG-CBA-Anastrozole\plaque 1/@12 Anastrozole 20/D12_02.tif "/>
    <s v=" 2588.6968 "/>
    <s v=" 63.563 "/>
    <x v="0"/>
    <n v="164545"/>
    <m/>
    <m/>
    <m/>
  </r>
  <r>
    <x v="12"/>
    <x v="3"/>
    <s v="\\192.168.24.208\images\R&amp;D\2-Test oestrogénique\OECD and AOPs\REACTIV oecd interlaboratory validation\Results WF\Résultats CBA\2021-CHG-CBA-Anastrozole\plaque 1/@12 Anastrozole 20/D12_03.tif "/>
    <s v=" 2044.853 "/>
    <s v=" 66.7128 "/>
    <x v="0"/>
    <n v="136418"/>
    <m/>
    <m/>
    <m/>
  </r>
  <r>
    <x v="12"/>
    <x v="4"/>
    <s v="\\192.168.24.208\images\R&amp;D\2-Test oestrogénique\OECD and AOPs\REACTIV oecd interlaboratory validation\Results WF\Résultats CBA\2021-CHG-CBA-Anastrozole\plaque 1/@12 Anastrozole 20/E12_01.tif "/>
    <s v=" 239.2913 "/>
    <s v=" 63.5455 "/>
    <x v="0"/>
    <n v="15206"/>
    <m/>
    <m/>
    <m/>
  </r>
  <r>
    <x v="12"/>
    <x v="4"/>
    <s v="\\192.168.24.208\images\R&amp;D\2-Test oestrogénique\OECD and AOPs\REACTIV oecd interlaboratory validation\Results WF\Résultats CBA\2021-CHG-CBA-Anastrozole\plaque 1/@12 Anastrozole 20/E12_02.tif "/>
    <s v=" 739.6277 "/>
    <s v=" 63.6176 "/>
    <x v="0"/>
    <n v="47053"/>
    <m/>
    <m/>
    <m/>
  </r>
  <r>
    <x v="12"/>
    <x v="4"/>
    <s v="\\192.168.24.208\images\R&amp;D\2-Test oestrogénique\OECD and AOPs\REACTIV oecd interlaboratory validation\Results WF\Résultats CBA\2021-CHG-CBA-Anastrozole\plaque 1/@12 Anastrozole 20/E12_03.tif "/>
    <s v=" 348.0601 "/>
    <s v=" 62.75 "/>
    <x v="0"/>
    <n v="21841"/>
    <m/>
    <m/>
    <m/>
  </r>
  <r>
    <x v="12"/>
    <x v="5"/>
    <s v="\\192.168.24.208\images\R&amp;D\2-Test oestrogénique\OECD and AOPs\REACTIV oecd interlaboratory validation\Results WF\Résultats CBA\2021-CHG-CBA-Anastrozole\plaque 1/@12 Anastrozole 20/F12_01- exclu.tif"/>
    <m/>
    <m/>
    <x v="1"/>
    <m/>
    <m/>
    <m/>
    <m/>
  </r>
  <r>
    <x v="12"/>
    <x v="5"/>
    <s v="\\192.168.24.208\images\R&amp;D\2-Test oestrogénique\OECD and AOPs\REACTIV oecd interlaboratory validation\Results WF\Résultats CBA\2021-CHG-CBA-Anastrozole\plaque 1/@12 Anastrozole 20/F12_02.tif "/>
    <s v=" 5090.3787 "/>
    <s v=" 70.9744 "/>
    <x v="0"/>
    <n v="361286"/>
    <m/>
    <m/>
    <m/>
  </r>
  <r>
    <x v="12"/>
    <x v="5"/>
    <s v="\\192.168.24.208\images\R&amp;D\2-Test oestrogénique\OECD and AOPs\REACTIV oecd interlaboratory validation\Results WF\Résultats CBA\2021-CHG-CBA-Anastrozole\plaque 1/@12 Anastrozole 20/F12_03.tif "/>
    <s v=" 4764.0723 "/>
    <s v=" 67.1826 "/>
    <x v="0"/>
    <n v="320063"/>
    <m/>
    <m/>
    <m/>
  </r>
  <r>
    <x v="12"/>
    <x v="6"/>
    <s v="\\192.168.24.208\images\R&amp;D\2-Test oestrogénique\OECD and AOPs\REACTIV oecd interlaboratory validation\Results WF\Résultats CBA\2021-CHG-CBA-Anastrozole\plaque 1/@12 Anastrozole 20/G12_01.tif "/>
    <s v=" 2066.6067 "/>
    <s v=" 66.1474 "/>
    <x v="0"/>
    <n v="136701"/>
    <m/>
    <m/>
    <m/>
  </r>
  <r>
    <x v="12"/>
    <x v="6"/>
    <s v="\\192.168.24.208\images\R&amp;D\2-Test oestrogénique\OECD and AOPs\REACTIV oecd interlaboratory validation\Results WF\Résultats CBA\2021-CHG-CBA-Anastrozole\plaque 1/@12 Anastrozole 20/G12_02.tif "/>
    <s v=" 761.3814 "/>
    <s v=" 63.3429 "/>
    <x v="0"/>
    <n v="48228"/>
    <m/>
    <m/>
    <m/>
  </r>
  <r>
    <x v="12"/>
    <x v="6"/>
    <s v="\\192.168.24.208\images\R&amp;D\2-Test oestrogénique\OECD and AOPs\REACTIV oecd interlaboratory validation\Results WF\Résultats CBA\2021-CHG-CBA-Anastrozole\plaque 1/@12 Anastrozole 20/G12_03.tif "/>
    <s v=" 1413.9941 "/>
    <s v=" 63.1077 "/>
    <x v="0"/>
    <n v="89234"/>
    <m/>
    <m/>
    <m/>
  </r>
  <r>
    <x v="12"/>
    <x v="7"/>
    <s v="\\192.168.24.208\images\R&amp;D\2-Test oestrogénique\OECD and AOPs\REACTIV oecd interlaboratory validation\Results WF\Résultats CBA\2021-CHG-CBA-Anastrozole\plaque 1/@12 Anastrozole 20/H12_01.tif "/>
    <s v=" 348.0601 "/>
    <s v=" 66.5 "/>
    <x v="0"/>
    <n v="23146"/>
    <m/>
    <m/>
    <m/>
  </r>
  <r>
    <x v="12"/>
    <x v="7"/>
    <s v="\\192.168.24.208\images\R&amp;D\2-Test oestrogénique\OECD and AOPs\REACTIV oecd interlaboratory validation\Results WF\Résultats CBA\2021-CHG-CBA-Anastrozole\plaque 1/@12 Anastrozole 20/H12_02.tif "/>
    <s v=" 239.2913 "/>
    <s v=" 64.2727 "/>
    <x v="0"/>
    <n v="15380"/>
    <m/>
    <m/>
    <m/>
  </r>
  <r>
    <x v="12"/>
    <x v="7"/>
    <s v="\\192.168.24.208\images\R&amp;D\2-Test oestrogénique\OECD and AOPs\REACTIV oecd interlaboratory validation\Results WF\Résultats CBA\2021-CHG-CBA-Anastrozole\plaque 1/@12 Anastrozole 20/H12_03.tif "/>
    <s v=" 5742.9913 "/>
    <s v=" 69.8144 "/>
    <x v="0"/>
    <n v="400943"/>
    <m/>
    <m/>
    <m/>
  </r>
  <r>
    <x v="1"/>
    <x v="8"/>
    <s v=" "/>
    <m/>
    <m/>
    <x v="1"/>
    <m/>
    <m/>
    <m/>
    <m/>
  </r>
  <r>
    <x v="1"/>
    <x v="8"/>
    <s v="group "/>
    <s v=" "/>
    <s v=" mean of mean fluo "/>
    <x v="2"/>
    <s v=" mean of total fluo "/>
    <s v=" SD total fluo "/>
    <s v=" n fluorescent "/>
    <s v=" n total"/>
  </r>
  <r>
    <x v="12"/>
    <x v="9"/>
    <s v="\\192.168.24.208\images\R&amp;D\2-Test oestrogénique\OECD and AOPs\REACTIV oecd interlaboratory validation\Results WF\Résultats CBA\2021-CHG-CBA-Anastrozole\plaque 1/@12 Anastrozole 20/ "/>
    <s v=" "/>
    <s v=" 66.8622 "/>
    <x v="14"/>
    <s v=" 230868.958 "/>
    <s v=" 234961.6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192.168.24.208\images\R&amp;D\2-Test oestrogénique\OECD and AOPs\REACTIV oecd interlaboratory validation\Results WF\Résultats CBA\2021-CHG-CBA-Anastrozole\plaque 2/@01 TESTO/A1_01.tif "/>
    <s v=" 29258.8005 "/>
    <s v=" 77.5167 "/>
    <x v="0"/>
    <n v="2268046"/>
    <m/>
    <m/>
    <m/>
  </r>
  <r>
    <x v="13"/>
    <x v="0"/>
    <s v="\\192.168.24.208\images\R&amp;D\2-Test oestrogénique\OECD and AOPs\REACTIV oecd interlaboratory validation\Results WF\Résultats CBA\2021-CHG-CBA-Anastrozole\plaque 2/@01 TESTO/A1_02.tif "/>
    <s v=" 24951.557 "/>
    <s v=" 77.6757 "/>
    <x v="0"/>
    <n v="1938129"/>
    <m/>
    <m/>
    <m/>
  </r>
  <r>
    <x v="13"/>
    <x v="0"/>
    <s v="\\192.168.24.208\images\R&amp;D\2-Test oestrogénique\OECD and AOPs\REACTIV oecd interlaboratory validation\Results WF\Résultats CBA\2021-CHG-CBA-Anastrozole\plaque 2/@01 TESTO/A1_03.tif "/>
    <s v=" 23254.7641 "/>
    <s v=" 79.0907 "/>
    <x v="0"/>
    <n v="1839236"/>
    <m/>
    <m/>
    <m/>
  </r>
  <r>
    <x v="13"/>
    <x v="1"/>
    <s v="\\192.168.24.208\images\R&amp;D\2-Test oestrogénique\OECD and AOPs\REACTIV oecd interlaboratory validation\Results WF\Résultats CBA\2021-CHG-CBA-Anastrozole\plaque 2/@01 TESTO/B1_01.tif "/>
    <s v=" 38982.729 "/>
    <s v=" 70.2109 "/>
    <x v="0"/>
    <n v="2737014"/>
    <m/>
    <m/>
    <m/>
  </r>
  <r>
    <x v="13"/>
    <x v="1"/>
    <s v="\\192.168.24.208\images\R&amp;D\2-Test oestrogénique\OECD and AOPs\REACTIV oecd interlaboratory validation\Results WF\Résultats CBA\2021-CHG-CBA-Anastrozole\plaque 2/@01 TESTO/B1_02.tif "/>
    <s v=" 29193.5392 "/>
    <s v=" 69.0082 "/>
    <x v="0"/>
    <n v="2014593"/>
    <m/>
    <m/>
    <m/>
  </r>
  <r>
    <x v="13"/>
    <x v="1"/>
    <s v="\\192.168.24.208\images\R&amp;D\2-Test oestrogénique\OECD and AOPs\REACTIV oecd interlaboratory validation\Results WF\Résultats CBA\2021-CHG-CBA-Anastrozole\plaque 2/@01 TESTO/B1_03.tif "/>
    <s v=" 25865.2147 "/>
    <s v=" 69.1489 "/>
    <x v="0"/>
    <n v="1788550"/>
    <m/>
    <m/>
    <m/>
  </r>
  <r>
    <x v="13"/>
    <x v="2"/>
    <s v="\\192.168.24.208\images\R&amp;D\2-Test oestrogénique\OECD and AOPs\REACTIV oecd interlaboratory validation\Results WF\Résultats CBA\2021-CHG-CBA-Anastrozole\plaque 2/@01 TESTO/C1_01.tif "/>
    <s v=" 46422.5132 "/>
    <s v=" 73.9288 "/>
    <x v="0"/>
    <n v="3431959"/>
    <m/>
    <m/>
    <m/>
  </r>
  <r>
    <x v="13"/>
    <x v="2"/>
    <s v="\\192.168.24.208\images\R&amp;D\2-Test oestrogénique\OECD and AOPs\REACTIV oecd interlaboratory validation\Results WF\Résultats CBA\2021-CHG-CBA-Anastrozole\plaque 2/@01 TESTO/C1_02.tif "/>
    <s v=" 43376.9875 "/>
    <s v=" 72.3365 "/>
    <x v="0"/>
    <n v="3137740"/>
    <m/>
    <m/>
    <m/>
  </r>
  <r>
    <x v="13"/>
    <x v="2"/>
    <s v="\\192.168.24.208\images\R&amp;D\2-Test oestrogénique\OECD and AOPs\REACTIV oecd interlaboratory validation\Results WF\Résultats CBA\2021-CHG-CBA-Anastrozole\plaque 2/@01 TESTO/C1_03.tif "/>
    <s v=" 47336.1709 "/>
    <s v=" 72.9968 "/>
    <x v="0"/>
    <n v="3455388"/>
    <m/>
    <m/>
    <m/>
  </r>
  <r>
    <x v="13"/>
    <x v="3"/>
    <s v="\\192.168.24.208\images\R&amp;D\2-Test oestrogénique\OECD and AOPs\REACTIV oecd interlaboratory validation\Results WF\Résultats CBA\2021-CHG-CBA-Anastrozole\plaque 2/@01 TESTO/D1_01.tif "/>
    <s v=" 23385.2866 "/>
    <s v=" 67.4251 "/>
    <x v="0"/>
    <n v="1576756"/>
    <m/>
    <m/>
    <m/>
  </r>
  <r>
    <x v="13"/>
    <x v="3"/>
    <s v="\\192.168.24.208\images\R&amp;D\2-Test oestrogénique\OECD and AOPs\REACTIV oecd interlaboratory validation\Results WF\Résultats CBA\2021-CHG-CBA-Anastrozole\plaque 2/@01 TESTO/D1_02.tif "/>
    <s v=" 19012.7819 "/>
    <s v=" 65.9977 "/>
    <x v="0"/>
    <n v="1254800"/>
    <m/>
    <m/>
    <m/>
  </r>
  <r>
    <x v="13"/>
    <x v="3"/>
    <s v="\\192.168.24.208\images\R&amp;D\2-Test oestrogénique\OECD and AOPs\REACTIV oecd interlaboratory validation\Results WF\Résultats CBA\2021-CHG-CBA-Anastrozole\plaque 2/@01 TESTO/D1_03.tif "/>
    <s v=" 17120.2052 "/>
    <s v=" 66.0076 "/>
    <x v="0"/>
    <n v="1130064"/>
    <m/>
    <m/>
    <m/>
  </r>
  <r>
    <x v="13"/>
    <x v="4"/>
    <s v="\\192.168.24.208\images\R&amp;D\2-Test oestrogénique\OECD and AOPs\REACTIV oecd interlaboratory validation\Results WF\Résultats CBA\2021-CHG-CBA-Anastrozole\plaque 2/@01 TESTO/E1_01.tif "/>
    <s v=" 42767.8823 "/>
    <s v=" 81.0524 "/>
    <x v="0"/>
    <n v="3466439"/>
    <m/>
    <m/>
    <m/>
  </r>
  <r>
    <x v="13"/>
    <x v="4"/>
    <s v="\\192.168.24.208\images\R&amp;D\2-Test oestrogénique\OECD and AOPs\REACTIV oecd interlaboratory validation\Results WF\Résultats CBA\2021-CHG-CBA-Anastrozole\plaque 2/@01 TESTO/E1_02.tif "/>
    <s v=" 42245.7922 "/>
    <s v=" 80.1545 "/>
    <x v="0"/>
    <n v="3386190"/>
    <m/>
    <m/>
    <m/>
  </r>
  <r>
    <x v="13"/>
    <x v="4"/>
    <s v="\\192.168.24.208\images\R&amp;D\2-Test oestrogénique\OECD and AOPs\REACTIV oecd interlaboratory validation\Results WF\Résultats CBA\2021-CHG-CBA-Anastrozole\plaque 2/@01 TESTO/E1_03.tif "/>
    <s v=" 42267.546 "/>
    <s v=" 79.0124 "/>
    <x v="0"/>
    <n v="3339658"/>
    <m/>
    <m/>
    <m/>
  </r>
  <r>
    <x v="13"/>
    <x v="5"/>
    <s v="\\192.168.24.208\images\R&amp;D\2-Test oestrogénique\OECD and AOPs\REACTIV oecd interlaboratory validation\Results WF\Résultats CBA\2021-CHG-CBA-Anastrozole\plaque 2/@01 TESTO/F1_01- exclu.tif"/>
    <m/>
    <m/>
    <x v="1"/>
    <m/>
    <m/>
    <m/>
    <m/>
  </r>
  <r>
    <x v="13"/>
    <x v="5"/>
    <s v="\\192.168.24.208\images\R&amp;D\2-Test oestrogénique\OECD and AOPs\REACTIV oecd interlaboratory validation\Results WF\Résultats CBA\2021-CHG-CBA-Anastrozole\plaque 2/@01 TESTO/F1_02.tif "/>
    <s v=" 50533.9729 "/>
    <s v=" 78.8071 "/>
    <x v="0"/>
    <n v="3982438"/>
    <m/>
    <m/>
    <m/>
  </r>
  <r>
    <x v="13"/>
    <x v="5"/>
    <s v="\\192.168.24.208\images\R&amp;D\2-Test oestrogénique\OECD and AOPs\REACTIV oecd interlaboratory validation\Results WF\Résultats CBA\2021-CHG-CBA-Anastrozole\plaque 2/@01 TESTO/F1_03.tif "/>
    <s v=" 54058.0812 "/>
    <s v=" 78.4563 "/>
    <x v="0"/>
    <n v="4241199"/>
    <m/>
    <m/>
    <m/>
  </r>
  <r>
    <x v="13"/>
    <x v="6"/>
    <s v="\\192.168.24.208\images\R&amp;D\2-Test oestrogénique\OECD and AOPs\REACTIV oecd interlaboratory validation\Results WF\Résultats CBA\2021-CHG-CBA-Anastrozole\plaque 2/@01 TESTO/G1_01.tif "/>
    <s v=" 60932.2678 "/>
    <s v=" 75.3681 "/>
    <x v="0"/>
    <n v="4592348"/>
    <m/>
    <m/>
    <m/>
  </r>
  <r>
    <x v="13"/>
    <x v="6"/>
    <s v="\\192.168.24.208\images\R&amp;D\2-Test oestrogénique\OECD and AOPs\REACTIV oecd interlaboratory validation\Results WF\Résultats CBA\2021-CHG-CBA-Anastrozole\plaque 2/@01 TESTO/G1_02.tif "/>
    <s v=" 59474.7662 "/>
    <s v=" 76.3511 "/>
    <x v="0"/>
    <n v="4540966"/>
    <m/>
    <m/>
    <m/>
  </r>
  <r>
    <x v="13"/>
    <x v="6"/>
    <s v="\\192.168.24.208\images\R&amp;D\2-Test oestrogénique\OECD and AOPs\REACTIV oecd interlaboratory validation\Results WF\Résultats CBA\2021-CHG-CBA-Anastrozole\plaque 2/@01 TESTO/G1_03.tif "/>
    <s v=" 64760.9286 "/>
    <s v=" 75.4797 "/>
    <x v="0"/>
    <n v="4888134"/>
    <m/>
    <m/>
    <m/>
  </r>
  <r>
    <x v="13"/>
    <x v="7"/>
    <s v="\\192.168.24.208\images\R&amp;D\2-Test oestrogénique\OECD and AOPs\REACTIV oecd interlaboratory validation\Results WF\Résultats CBA\2021-CHG-CBA-Anastrozole\plaque 2/@01 TESTO/H1_01.tif "/>
    <s v=" 56820.8081 "/>
    <s v=" 73.7913 "/>
    <x v="0"/>
    <n v="4192884"/>
    <m/>
    <m/>
    <m/>
  </r>
  <r>
    <x v="13"/>
    <x v="7"/>
    <s v="\\192.168.24.208\images\R&amp;D\2-Test oestrogénique\OECD and AOPs\REACTIV oecd interlaboratory validation\Results WF\Résultats CBA\2021-CHG-CBA-Anastrozole\plaque 2/@01 TESTO/H1_02- exclu.tif"/>
    <m/>
    <m/>
    <x v="1"/>
    <m/>
    <m/>
    <m/>
    <m/>
  </r>
  <r>
    <x v="13"/>
    <x v="7"/>
    <s v="\\192.168.24.208\images\R&amp;D\2-Test oestrogénique\OECD and AOPs\REACTIV oecd interlaboratory validation\Results WF\Résultats CBA\2021-CHG-CBA-Anastrozole\plaque 2/@01 TESTO/H1_03- exclu.tif"/>
    <m/>
    <m/>
    <x v="1"/>
    <m/>
    <m/>
    <m/>
    <m/>
  </r>
  <r>
    <x v="1"/>
    <x v="8"/>
    <s v=" "/>
    <m/>
    <m/>
    <x v="1"/>
    <m/>
    <m/>
    <m/>
    <m/>
  </r>
  <r>
    <x v="1"/>
    <x v="8"/>
    <s v="group "/>
    <s v=" "/>
    <s v=" mean of mean fluo "/>
    <x v="2"/>
    <s v=" mean of total fluo "/>
    <s v=" SD total fluo "/>
    <s v=" n fluorescent "/>
    <s v=" n total"/>
  </r>
  <r>
    <x v="13"/>
    <x v="9"/>
    <s v="\\192.168.24.208\images\R&amp;D\2-Test oestrogénique\OECD and AOPs\REACTIV oecd interlaboratory validation\Results WF\Résultats CBA\2021-CHG-CBA-Anastrozole\plaque 2/@01 TESTO/ "/>
    <s v=" "/>
    <s v=" 73.5073 "/>
    <x v="15"/>
    <s v=" 2805691.38 "/>
    <s v=" 1364091.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192.168.24.208\images\R&amp;D\2-Test oestrogénique\OECD and AOPs\REACTIV oecd interlaboratory validation\Results WF\Résultats CBA\2021-CHG-CBA-Anastrozole\plaque 2/@02 TESTO/A2_01.tif "/>
    <s v=" 30955.5934 "/>
    <s v=" 73.2108 "/>
    <x v="0"/>
    <n v="2266284"/>
    <m/>
    <m/>
    <m/>
  </r>
  <r>
    <x v="14"/>
    <x v="0"/>
    <s v="\\192.168.24.208\images\R&amp;D\2-Test oestrogénique\OECD and AOPs\REACTIV oecd interlaboratory validation\Results WF\Résultats CBA\2021-CHG-CBA-Anastrozole\plaque 2/@02 TESTO/A2_02.tif "/>
    <s v=" 24995.0645 "/>
    <s v=" 73.0914 "/>
    <x v="0"/>
    <n v="1826924"/>
    <m/>
    <m/>
    <m/>
  </r>
  <r>
    <x v="14"/>
    <x v="0"/>
    <s v="\\192.168.24.208\images\R&amp;D\2-Test oestrogénique\OECD and AOPs\REACTIV oecd interlaboratory validation\Results WF\Résultats CBA\2021-CHG-CBA-Anastrozole\plaque 2/@02 TESTO/A2_03.tif "/>
    <s v=" 33000.4463 "/>
    <s v=" 75.6223 "/>
    <x v="0"/>
    <n v="2495569"/>
    <m/>
    <m/>
    <m/>
  </r>
  <r>
    <x v="14"/>
    <x v="1"/>
    <s v="\\192.168.24.208\images\R&amp;D\2-Test oestrogénique\OECD and AOPs\REACTIV oecd interlaboratory validation\Results WF\Résultats CBA\2021-CHG-CBA-Anastrozole\plaque 2/@02 TESTO/B2_01.tif "/>
    <s v=" 11660.0127 "/>
    <s v=" 73.1138 "/>
    <x v="0"/>
    <n v="852508"/>
    <m/>
    <m/>
    <m/>
  </r>
  <r>
    <x v="14"/>
    <x v="1"/>
    <s v="\\192.168.24.208\images\R&amp;D\2-Test oestrogénique\OECD and AOPs\REACTIV oecd interlaboratory validation\Results WF\Résultats CBA\2021-CHG-CBA-Anastrozole\plaque 2/@02 TESTO/B2_02.tif "/>
    <s v=" 29150.0317 "/>
    <s v=" 79.4485 "/>
    <x v="0"/>
    <n v="2315927"/>
    <m/>
    <m/>
    <m/>
  </r>
  <r>
    <x v="14"/>
    <x v="1"/>
    <s v="\\192.168.24.208\images\R&amp;D\2-Test oestrogénique\OECD and AOPs\REACTIV oecd interlaboratory validation\Results WF\Résultats CBA\2021-CHG-CBA-Anastrozole\plaque 2/@02 TESTO/B2_03- exclu.tif"/>
    <m/>
    <m/>
    <x v="1"/>
    <m/>
    <m/>
    <m/>
    <m/>
  </r>
  <r>
    <x v="14"/>
    <x v="2"/>
    <s v="\\192.168.24.208\images\R&amp;D\2-Test oestrogénique\OECD and AOPs\REACTIV oecd interlaboratory validation\Results WF\Résultats CBA\2021-CHG-CBA-Anastrozole\plaque 2/@02 TESTO/C2_01.tif "/>
    <s v=" 43572.7713 "/>
    <s v=" 77.4513 "/>
    <x v="0"/>
    <n v="3374769"/>
    <m/>
    <m/>
    <m/>
  </r>
  <r>
    <x v="14"/>
    <x v="2"/>
    <s v="\\192.168.24.208\images\R&amp;D\2-Test oestrogénique\OECD and AOPs\REACTIV oecd interlaboratory validation\Results WF\Résultats CBA\2021-CHG-CBA-Anastrozole\plaque 2/@02 TESTO/C2_02.tif "/>
    <s v=" 44834.4891 "/>
    <s v=" 75.3275 "/>
    <x v="0"/>
    <n v="3377270"/>
    <m/>
    <m/>
    <m/>
  </r>
  <r>
    <x v="14"/>
    <x v="2"/>
    <s v="\\192.168.24.208\images\R&amp;D\2-Test oestrogénique\OECD and AOPs\REACTIV oecd interlaboratory validation\Results WF\Résultats CBA\2021-CHG-CBA-Anastrozole\plaque 2/@02 TESTO/C2_03.tif "/>
    <s v=" 44769.2278 "/>
    <s v=" 77.1103 "/>
    <x v="0"/>
    <n v="3452169"/>
    <m/>
    <m/>
    <m/>
  </r>
  <r>
    <x v="14"/>
    <x v="3"/>
    <s v="\\192.168.24.208\images\R&amp;D\2-Test oestrogénique\OECD and AOPs\REACTIV oecd interlaboratory validation\Results WF\Résultats CBA\2021-CHG-CBA-Anastrozole\plaque 2/@02 TESTO/D2_01.tif "/>
    <s v=" 3415.3395 "/>
    <s v=" 67.707 "/>
    <x v="0"/>
    <n v="231242"/>
    <m/>
    <m/>
    <m/>
  </r>
  <r>
    <x v="14"/>
    <x v="3"/>
    <s v="\\192.168.24.208\images\R&amp;D\2-Test oestrogénique\OECD and AOPs\REACTIV oecd interlaboratory validation\Results WF\Résultats CBA\2021-CHG-CBA-Anastrozole\plaque 2/@02 TESTO/D2_02.tif "/>
    <s v=" 3154.2945 "/>
    <s v=" 67.1586 "/>
    <x v="0"/>
    <n v="211838"/>
    <m/>
    <m/>
    <m/>
  </r>
  <r>
    <x v="14"/>
    <x v="3"/>
    <s v="\\192.168.24.208\images\R&amp;D\2-Test oestrogénique\OECD and AOPs\REACTIV oecd interlaboratory validation\Results WF\Résultats CBA\2021-CHG-CBA-Anastrozole\plaque 2/@02 TESTO/D2_03.tif "/>
    <s v=" 3306.5708 "/>
    <s v=" 65.9539 "/>
    <x v="0"/>
    <n v="218081"/>
    <m/>
    <m/>
    <m/>
  </r>
  <r>
    <x v="14"/>
    <x v="4"/>
    <s v="\\192.168.24.208\images\R&amp;D\2-Test oestrogénique\OECD and AOPs\REACTIV oecd interlaboratory validation\Results WF\Résultats CBA\2021-CHG-CBA-Anastrozole\plaque 2/@02 TESTO/E2_01.tif "/>
    <s v=" 26648.3499 "/>
    <s v=" 69.9429 "/>
    <x v="0"/>
    <n v="1863862"/>
    <m/>
    <m/>
    <m/>
  </r>
  <r>
    <x v="14"/>
    <x v="4"/>
    <s v="\\192.168.24.208\images\R&amp;D\2-Test oestrogénique\OECD and AOPs\REACTIV oecd interlaboratory validation\Results WF\Résultats CBA\2021-CHG-CBA-Anastrozole\plaque 2/@02 TESTO/E2_02- exclu.tif"/>
    <m/>
    <m/>
    <x v="1"/>
    <m/>
    <m/>
    <m/>
    <m/>
  </r>
  <r>
    <x v="14"/>
    <x v="4"/>
    <s v="\\192.168.24.208\images\R&amp;D\2-Test oestrogénique\OECD and AOPs\REACTIV oecd interlaboratory validation\Results WF\Résultats CBA\2021-CHG-CBA-Anastrozole\plaque 2/@02 TESTO/E2_03.tif "/>
    <s v=" 27692.5301 "/>
    <s v=" 69.9599 "/>
    <x v="0"/>
    <n v="1937368"/>
    <m/>
    <m/>
    <m/>
  </r>
  <r>
    <x v="14"/>
    <x v="5"/>
    <s v="\\192.168.24.208\images\R&amp;D\2-Test oestrogénique\OECD and AOPs\REACTIV oecd interlaboratory validation\Results WF\Résultats CBA\2021-CHG-CBA-Anastrozole\plaque 2/@02 TESTO/F2_01.tif "/>
    <s v=" 29302.308 "/>
    <s v=" 71.4016 "/>
    <x v="0"/>
    <n v="2092233"/>
    <m/>
    <m/>
    <m/>
  </r>
  <r>
    <x v="14"/>
    <x v="5"/>
    <s v="\\192.168.24.208\images\R&amp;D\2-Test oestrogénique\OECD and AOPs\REACTIV oecd interlaboratory validation\Results WF\Résultats CBA\2021-CHG-CBA-Anastrozole\plaque 2/@02 TESTO/F2_02.tif "/>
    <s v=" 27844.8064 "/>
    <s v=" 70.85 "/>
    <x v="0"/>
    <n v="1972805"/>
    <m/>
    <m/>
    <m/>
  </r>
  <r>
    <x v="14"/>
    <x v="5"/>
    <s v="\\192.168.24.208\images\R&amp;D\2-Test oestrogénique\OECD and AOPs\REACTIV oecd interlaboratory validation\Results WF\Résultats CBA\2021-CHG-CBA-Anastrozole\plaque 2/@02 TESTO/F2_03.tif "/>
    <s v=" 34153.3954 "/>
    <s v=" 73.349 "/>
    <x v="0"/>
    <n v="2505119"/>
    <m/>
    <m/>
    <m/>
  </r>
  <r>
    <x v="14"/>
    <x v="6"/>
    <s v="\\192.168.24.208\images\R&amp;D\2-Test oestrogénique\OECD and AOPs\REACTIV oecd interlaboratory validation\Results WF\Résultats CBA\2021-CHG-CBA-Anastrozole\plaque 2/@02 TESTO/G2_01.tif "/>
    <s v=" 239.2913 "/>
    <s v=" 64.7273 "/>
    <x v="0"/>
    <n v="15489"/>
    <m/>
    <m/>
    <m/>
  </r>
  <r>
    <x v="14"/>
    <x v="6"/>
    <s v="\\192.168.24.208\images\R&amp;D\2-Test oestrogénique\OECD and AOPs\REACTIV oecd interlaboratory validation\Results WF\Résultats CBA\2021-CHG-CBA-Anastrozole\plaque 2/@02 TESTO/G2_02.tif "/>
    <s v=" 413.3213 "/>
    <s v=" 63.4737 "/>
    <x v="0"/>
    <n v="26235"/>
    <m/>
    <m/>
    <m/>
  </r>
  <r>
    <x v="14"/>
    <x v="6"/>
    <s v="\\192.168.24.208\images\R&amp;D\2-Test oestrogénique\OECD and AOPs\REACTIV oecd interlaboratory validation\Results WF\Résultats CBA\2021-CHG-CBA-Anastrozole\plaque 2/@02 TESTO/G2_03.tif "/>
    <s v=" 217.5376 "/>
    <s v=" 60.9 "/>
    <x v="0"/>
    <n v="13248"/>
    <m/>
    <m/>
    <m/>
  </r>
  <r>
    <x v="14"/>
    <x v="7"/>
    <s v="\\192.168.24.208\images\R&amp;D\2-Test oestrogénique\OECD and AOPs\REACTIV oecd interlaboratory validation\Results WF\Résultats CBA\2021-CHG-CBA-Anastrozole\plaque 2/@02 TESTO/H2_01.tif "/>
    <s v=" 8201.1656 "/>
    <s v=" 66.6366 "/>
    <x v="0"/>
    <n v="546498"/>
    <m/>
    <m/>
    <m/>
  </r>
  <r>
    <x v="14"/>
    <x v="7"/>
    <s v="\\192.168.24.208\images\R&amp;D\2-Test oestrogénique\OECD and AOPs\REACTIV oecd interlaboratory validation\Results WF\Résultats CBA\2021-CHG-CBA-Anastrozole\plaque 2/@02 TESTO/H2_02.tif "/>
    <s v=" 6199.8202 "/>
    <s v=" 71.1193 "/>
    <x v="0"/>
    <n v="440927"/>
    <m/>
    <m/>
    <m/>
  </r>
  <r>
    <x v="14"/>
    <x v="7"/>
    <s v="\\192.168.24.208\images\R&amp;D\2-Test oestrogénique\OECD and AOPs\REACTIV oecd interlaboratory validation\Results WF\Résultats CBA\2021-CHG-CBA-Anastrozole\plaque 2/@02 TESTO/H2_03.tif "/>
    <s v=" 7178.7392 "/>
    <s v=" 68.4394 "/>
    <x v="0"/>
    <n v="491309"/>
    <m/>
    <m/>
    <m/>
  </r>
  <r>
    <x v="1"/>
    <x v="8"/>
    <s v=" "/>
    <m/>
    <m/>
    <x v="1"/>
    <m/>
    <m/>
    <m/>
    <m/>
  </r>
  <r>
    <x v="1"/>
    <x v="8"/>
    <s v="group "/>
    <s v=" "/>
    <s v=" mean of mean fluo "/>
    <x v="2"/>
    <s v=" mean of total fluo "/>
    <s v=" SD total fluo "/>
    <s v=" n fluorescent "/>
    <s v=" n total"/>
  </r>
  <r>
    <x v="14"/>
    <x v="9"/>
    <s v="\\192.168.24.208\images\R&amp;D\2-Test oestrogénique\OECD and AOPs\REACTIV oecd interlaboratory validation\Results WF\Résultats CBA\2021-CHG-CBA-Anastrozole\plaque 2/@02 TESTO/ "/>
    <s v=" "/>
    <s v=" 70.4325 "/>
    <x v="16"/>
    <s v=" 1439491.38 "/>
    <s v=" 1163831.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192.168.24.208\images\R&amp;D\2-Test oestrogénique\OECD and AOPs\REACTIV oecd interlaboratory validation\Results WF\Résultats CBA\2021-CHG-CBA-Anastrozole\plaque 2/@03  TESTO + EE2/A3_01.tif "/>
    <s v=" 27018.1637 "/>
    <s v=" 89.5161 "/>
    <x v="0"/>
    <n v="2418561"/>
    <m/>
    <m/>
    <m/>
  </r>
  <r>
    <x v="15"/>
    <x v="0"/>
    <s v="\\192.168.24.208\images\R&amp;D\2-Test oestrogénique\OECD and AOPs\REACTIV oecd interlaboratory validation\Results WF\Résultats CBA\2021-CHG-CBA-Anastrozole\plaque 2/@03  TESTO + EE2/A3_02- exclu.tif"/>
    <m/>
    <m/>
    <x v="1"/>
    <m/>
    <m/>
    <m/>
    <m/>
  </r>
  <r>
    <x v="15"/>
    <x v="0"/>
    <s v="\\192.168.24.208\images\R&amp;D\2-Test oestrogénique\OECD and AOPs\REACTIV oecd interlaboratory validation\Results WF\Résultats CBA\2021-CHG-CBA-Anastrozole\plaque 2/@03  TESTO + EE2/A3_03.tif "/>
    <s v=" 40940.5669 "/>
    <s v=" 83.8411 "/>
    <x v="0"/>
    <n v="3432503"/>
    <m/>
    <m/>
    <m/>
  </r>
  <r>
    <x v="15"/>
    <x v="1"/>
    <s v="\\192.168.24.208\images\R&amp;D\2-Test oestrogénique\OECD and AOPs\REACTIV oecd interlaboratory validation\Results WF\Résultats CBA\2021-CHG-CBA-Anastrozole\plaque 2/@03  TESTO + EE2/B3_01.tif "/>
    <s v=" 70634.4425 "/>
    <s v=" 92.024 "/>
    <x v="0"/>
    <n v="6500066"/>
    <m/>
    <m/>
    <m/>
  </r>
  <r>
    <x v="15"/>
    <x v="1"/>
    <s v="\\192.168.24.208\images\R&amp;D\2-Test oestrogénique\OECD and AOPs\REACTIV oecd interlaboratory validation\Results WF\Résultats CBA\2021-CHG-CBA-Anastrozole\plaque 2/@03  TESTO + EE2/B3_02.tif "/>
    <s v=" 72135.4516 "/>
    <s v=" 91.1445 "/>
    <x v="0"/>
    <n v="6574746"/>
    <m/>
    <m/>
    <m/>
  </r>
  <r>
    <x v="15"/>
    <x v="1"/>
    <s v="\\192.168.24.208\images\R&amp;D\2-Test oestrogénique\OECD and AOPs\REACTIV oecd interlaboratory validation\Results WF\Résultats CBA\2021-CHG-CBA-Anastrozole\plaque 2/@03  TESTO + EE2/B3_03.tif "/>
    <s v=" 70112.3524 "/>
    <s v=" 91.9671 "/>
    <x v="0"/>
    <n v="6448031"/>
    <m/>
    <m/>
    <m/>
  </r>
  <r>
    <x v="15"/>
    <x v="2"/>
    <s v="\\192.168.24.208\images\R&amp;D\2-Test oestrogénique\OECD and AOPs\REACTIV oecd interlaboratory validation\Results WF\Résultats CBA\2021-CHG-CBA-Anastrozole\plaque 2/@03  TESTO + EE2/C3_01.tif "/>
    <s v=" 38786.9452 "/>
    <s v=" 80.5614 "/>
    <x v="0"/>
    <n v="3124731"/>
    <m/>
    <m/>
    <m/>
  </r>
  <r>
    <x v="15"/>
    <x v="2"/>
    <s v="\\192.168.24.208\images\R&amp;D\2-Test oestrogénique\OECD and AOPs\REACTIV oecd interlaboratory validation\Results WF\Résultats CBA\2021-CHG-CBA-Anastrozole\plaque 2/@03  TESTO + EE2/C3_02.tif "/>
    <s v=" 40962.3207 "/>
    <s v=" 79.4572 "/>
    <x v="0"/>
    <n v="3254753"/>
    <m/>
    <m/>
    <m/>
  </r>
  <r>
    <x v="15"/>
    <x v="2"/>
    <s v="\\192.168.24.208\images\R&amp;D\2-Test oestrogénique\OECD and AOPs\REACTIV oecd interlaboratory validation\Results WF\Résultats CBA\2021-CHG-CBA-Anastrozole\plaque 2/@03  TESTO + EE2/C3_03.tif "/>
    <s v=" 41854.2246 "/>
    <s v=" 80.5899 "/>
    <x v="0"/>
    <n v="3373028"/>
    <m/>
    <m/>
    <m/>
  </r>
  <r>
    <x v="15"/>
    <x v="3"/>
    <s v="\\192.168.24.208\images\R&amp;D\2-Test oestrogénique\OECD and AOPs\REACTIV oecd interlaboratory validation\Results WF\Résultats CBA\2021-CHG-CBA-Anastrozole\plaque 2/@03  TESTO + EE2/D3_01.tif "/>
    <s v=" 34175.1491 "/>
    <s v=" 81.1158 "/>
    <x v="0"/>
    <n v="2772146"/>
    <m/>
    <m/>
    <m/>
  </r>
  <r>
    <x v="15"/>
    <x v="3"/>
    <s v="\\192.168.24.208\images\R&amp;D\2-Test oestrogénique\OECD and AOPs\REACTIV oecd interlaboratory validation\Results WF\Résultats CBA\2021-CHG-CBA-Anastrozole\plaque 2/@03  TESTO + EE2/D3_02.tif "/>
    <s v=" 35480.3744 "/>
    <s v=" 80.7247 "/>
    <x v="0"/>
    <n v="2864143"/>
    <m/>
    <m/>
    <m/>
  </r>
  <r>
    <x v="15"/>
    <x v="3"/>
    <s v="\\192.168.24.208\images\R&amp;D\2-Test oestrogénique\OECD and AOPs\REACTIV oecd interlaboratory validation\Results WF\Résultats CBA\2021-CHG-CBA-Anastrozole\plaque 2/@03  TESTO + EE2/D3_03- exclu.tif"/>
    <m/>
    <m/>
    <x v="1"/>
    <m/>
    <m/>
    <m/>
    <m/>
  </r>
  <r>
    <x v="15"/>
    <x v="4"/>
    <s v="\\192.168.24.208\images\R&amp;D\2-Test oestrogénique\OECD and AOPs\REACTIV oecd interlaboratory validation\Results WF\Résultats CBA\2021-CHG-CBA-Anastrozole\plaque 2/@03  TESTO + EE2/E3_01.tif "/>
    <s v=" 32891.6776 "/>
    <s v=" 75.7546 "/>
    <x v="0"/>
    <n v="2491697"/>
    <m/>
    <m/>
    <m/>
  </r>
  <r>
    <x v="15"/>
    <x v="4"/>
    <s v="\\192.168.24.208\images\R&amp;D\2-Test oestrogénique\OECD and AOPs\REACTIV oecd interlaboratory validation\Results WF\Résultats CBA\2021-CHG-CBA-Anastrozole\plaque 2/@03  TESTO + EE2/E3_02.tif "/>
    <s v=" 33870.5965 "/>
    <s v=" 75.4387 "/>
    <x v="0"/>
    <n v="2555153"/>
    <m/>
    <m/>
    <m/>
  </r>
  <r>
    <x v="15"/>
    <x v="4"/>
    <s v="\\192.168.24.208\images\R&amp;D\2-Test oestrogénique\OECD and AOPs\REACTIV oecd interlaboratory validation\Results WF\Résultats CBA\2021-CHG-CBA-Anastrozole\plaque 2/@03  TESTO + EE2/E3_03.tif "/>
    <s v=" 34762.5005 "/>
    <s v=" 73.6108 "/>
    <x v="0"/>
    <n v="2558894"/>
    <m/>
    <m/>
    <m/>
  </r>
  <r>
    <x v="15"/>
    <x v="5"/>
    <s v="\\192.168.24.208\images\R&amp;D\2-Test oestrogénique\OECD and AOPs\REACTIV oecd interlaboratory validation\Results WF\Résultats CBA\2021-CHG-CBA-Anastrozole\plaque 2/@03  TESTO + EE2/F3_01.tif "/>
    <s v=" 30041.9357 "/>
    <s v=" 89.5409 "/>
    <x v="0"/>
    <n v="2689982"/>
    <m/>
    <m/>
    <m/>
  </r>
  <r>
    <x v="15"/>
    <x v="5"/>
    <s v="\\192.168.24.208\images\R&amp;D\2-Test oestrogénique\OECD and AOPs\REACTIV oecd interlaboratory validation\Results WF\Résultats CBA\2021-CHG-CBA-Anastrozole\plaque 2/@03  TESTO + EE2/F3_02.tif "/>
    <s v=" 34718.993 "/>
    <s v=" 84.8076 "/>
    <x v="0"/>
    <n v="2944436"/>
    <m/>
    <m/>
    <m/>
  </r>
  <r>
    <x v="15"/>
    <x v="5"/>
    <s v="\\192.168.24.208\images\R&amp;D\2-Test oestrogénique\OECD and AOPs\REACTIV oecd interlaboratory validation\Results WF\Résultats CBA\2021-CHG-CBA-Anastrozole\plaque 2/@03  TESTO + EE2/F3_03.tif "/>
    <s v=" 32587.125 "/>
    <s v=" 88.0227 "/>
    <x v="0"/>
    <n v="2868407"/>
    <m/>
    <m/>
    <m/>
  </r>
  <r>
    <x v="15"/>
    <x v="6"/>
    <s v="\\192.168.24.208\images\R&amp;D\2-Test oestrogénique\OECD and AOPs\REACTIV oecd interlaboratory validation\Results WF\Résultats CBA\2021-CHG-CBA-Anastrozole\plaque 2/@03  TESTO + EE2/G3_01.tif "/>
    <s v=" 33892.3503 "/>
    <s v=" 82.3806 "/>
    <x v="0"/>
    <n v="2792073"/>
    <m/>
    <m/>
    <m/>
  </r>
  <r>
    <x v="15"/>
    <x v="6"/>
    <s v="\\192.168.24.208\images\R&amp;D\2-Test oestrogénique\OECD and AOPs\REACTIV oecd interlaboratory validation\Results WF\Résultats CBA\2021-CHG-CBA-Anastrozole\plaque 2/@03  TESTO + EE2/G3_02.tif "/>
    <s v=" 37416.4586 "/>
    <s v=" 78.2808 "/>
    <x v="0"/>
    <n v="2928991"/>
    <m/>
    <m/>
    <m/>
  </r>
  <r>
    <x v="15"/>
    <x v="6"/>
    <s v="\\192.168.24.208\images\R&amp;D\2-Test oestrogénique\OECD and AOPs\REACTIV oecd interlaboratory validation\Results WF\Résultats CBA\2021-CHG-CBA-Anastrozole\plaque 2/@03  TESTO + EE2/G3_03.tif "/>
    <s v=" 34109.8878 "/>
    <s v=" 80.4739 "/>
    <x v="0"/>
    <n v="2744954"/>
    <m/>
    <m/>
    <m/>
  </r>
  <r>
    <x v="15"/>
    <x v="7"/>
    <s v="\\192.168.24.208\images\R&amp;D\2-Test oestrogénique\OECD and AOPs\REACTIV oecd interlaboratory validation\Results WF\Résultats CBA\2021-CHG-CBA-Anastrozole\plaque 2/@03  TESTO + EE2/H3_01.tif "/>
    <s v=" 63238.1658 "/>
    <s v=" 95.3643 "/>
    <x v="0"/>
    <n v="6030663"/>
    <m/>
    <m/>
    <m/>
  </r>
  <r>
    <x v="15"/>
    <x v="7"/>
    <s v="\\192.168.24.208\images\R&amp;D\2-Test oestrogénique\OECD and AOPs\REACTIV oecd interlaboratory validation\Results WF\Résultats CBA\2021-CHG-CBA-Anastrozole\plaque 2/@03  TESTO + EE2/H3_02.tif "/>
    <s v=" 63259.9196 "/>
    <s v=" 95.815 "/>
    <x v="0"/>
    <n v="6061249"/>
    <m/>
    <m/>
    <m/>
  </r>
  <r>
    <x v="15"/>
    <x v="7"/>
    <s v="\\192.168.24.208\images\R&amp;D\2-Test oestrogénique\OECD and AOPs\REACTIV oecd interlaboratory validation\Results WF\Résultats CBA\2021-CHG-CBA-Anastrozole\plaque 2/@03  TESTO + EE2/H3_03.tif "/>
    <s v=" 69133.4334 "/>
    <s v=" 94.5437 "/>
    <x v="0"/>
    <n v="6536133"/>
    <m/>
    <m/>
    <m/>
  </r>
  <r>
    <x v="1"/>
    <x v="8"/>
    <s v=" "/>
    <m/>
    <m/>
    <x v="1"/>
    <m/>
    <m/>
    <m/>
    <m/>
  </r>
  <r>
    <x v="1"/>
    <x v="8"/>
    <s v="group "/>
    <s v=" "/>
    <s v=" mean of mean fluo "/>
    <x v="2"/>
    <s v=" mean of total fluo "/>
    <s v=" SD total fluo "/>
    <s v=" n fluorescent "/>
    <s v=" n total"/>
  </r>
  <r>
    <x v="15"/>
    <x v="9"/>
    <s v="\\192.168.24.208\images\R&amp;D\2-Test oestrogénique\OECD and AOPs\REACTIV oecd interlaboratory validation\Results WF\Résultats CBA\2021-CHG-CBA-Anastrozole\plaque 2/@03  TESTO + EE2/ "/>
    <s v=" "/>
    <s v=" 84.346 "/>
    <x v="17"/>
    <s v=" 3695522.5 "/>
    <s v=" 1603931.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192.168.24.208\images\R&amp;D\2-Test oestrogénique\OECD and AOPs\REACTIV oecd interlaboratory validation\Results WF\Résultats CBA\2021-CHG-CBA-Anastrozole\plaque 2/@04  TESTO + FAD/A4_01.tif "/>
    <s v=" 348.0601 "/>
    <s v=" 63.75 "/>
    <x v="0"/>
    <n v="22189"/>
    <m/>
    <m/>
    <m/>
  </r>
  <r>
    <x v="16"/>
    <x v="0"/>
    <s v="\\192.168.24.208\images\R&amp;D\2-Test oestrogénique\OECD and AOPs\REACTIV oecd interlaboratory validation\Results WF\Résultats CBA\2021-CHG-CBA-Anastrozole\plaque 2/@04  TESTO + FAD/A4_02.tif "/>
    <s v=" 1131.1953 "/>
    <s v=" 69.75 "/>
    <x v="0"/>
    <n v="78901"/>
    <m/>
    <m/>
    <m/>
  </r>
  <r>
    <x v="16"/>
    <x v="0"/>
    <s v="\\192.168.24.208\images\R&amp;D\2-Test oestrogénique\OECD and AOPs\REACTIV oecd interlaboratory validation\Results WF\Résultats CBA\2021-CHG-CBA-Anastrozole\plaque 2/@04  TESTO + FAD/A4_03.tif "/>
    <s v=" 1501.0091 "/>
    <s v=" 67.0145 "/>
    <x v="0"/>
    <n v="100589"/>
    <m/>
    <m/>
    <m/>
  </r>
  <r>
    <x v="16"/>
    <x v="1"/>
    <s v="\\192.168.24.208\images\R&amp;D\2-Test oestrogénique\OECD and AOPs\REACTIV oecd interlaboratory validation\Results WF\Résultats CBA\2021-CHG-CBA-Anastrozole\plaque 2/@04  TESTO + FAD/B4_01.tif "/>
    <s v=" 5438.4388 "/>
    <s v=" 68.3 "/>
    <x v="0"/>
    <n v="371445"/>
    <m/>
    <m/>
    <m/>
  </r>
  <r>
    <x v="16"/>
    <x v="1"/>
    <s v="\\192.168.24.208\images\R&amp;D\2-Test oestrogénique\OECD and AOPs\REACTIV oecd interlaboratory validation\Results WF\Résultats CBA\2021-CHG-CBA-Anastrozole\plaque 2/@04  TESTO + FAD/B4_02.tif "/>
    <s v=" 1065.934 "/>
    <s v=" 63.1837 "/>
    <x v="0"/>
    <n v="67350"/>
    <m/>
    <m/>
    <m/>
  </r>
  <r>
    <x v="16"/>
    <x v="1"/>
    <s v="\\192.168.24.208\images\R&amp;D\2-Test oestrogénique\OECD and AOPs\REACTIV oecd interlaboratory validation\Results WF\Résultats CBA\2021-CHG-CBA-Anastrozole\plaque 2/@04  TESTO + FAD/B4_03.tif "/>
    <s v=" 1675.0391 "/>
    <s v=" 63.4416 "/>
    <x v="0"/>
    <n v="106267"/>
    <m/>
    <m/>
    <m/>
  </r>
  <r>
    <x v="16"/>
    <x v="2"/>
    <s v="\\192.168.24.208\images\R&amp;D\2-Test oestrogénique\OECD and AOPs\REACTIV oecd interlaboratory validation\Results WF\Résultats CBA\2021-CHG-CBA-Anastrozole\plaque 2/@04  TESTO + FAD/C4_01.tif "/>
    <s v=" 761.3814 "/>
    <s v=" 63.6857 "/>
    <x v="0"/>
    <n v="48489"/>
    <m/>
    <m/>
    <m/>
  </r>
  <r>
    <x v="16"/>
    <x v="2"/>
    <s v="\\192.168.24.208\images\R&amp;D\2-Test oestrogénique\OECD and AOPs\REACTIV oecd interlaboratory validation\Results WF\Résultats CBA\2021-CHG-CBA-Anastrozole\plaque 2/@04  TESTO + FAD/C4_02- exclu.tif"/>
    <m/>
    <m/>
    <x v="1"/>
    <m/>
    <m/>
    <m/>
    <m/>
  </r>
  <r>
    <x v="16"/>
    <x v="2"/>
    <s v="\\192.168.24.208\images\R&amp;D\2-Test oestrogénique\OECD and AOPs\REACTIV oecd interlaboratory validation\Results WF\Résultats CBA\2021-CHG-CBA-Anastrozole\plaque 2/@04  TESTO + FAD/C4_03.tif "/>
    <s v=" 174.03 "/>
    <s v=" 64.25 "/>
    <x v="0"/>
    <n v="11181"/>
    <m/>
    <m/>
    <m/>
  </r>
  <r>
    <x v="16"/>
    <x v="3"/>
    <s v="\\192.168.24.208\images\R&amp;D\2-Test oestrogénique\OECD and AOPs\REACTIV oecd interlaboratory validation\Results WF\Résultats CBA\2021-CHG-CBA-Anastrozole\plaque 2/@04  TESTO + FAD/D4_01.tif "/>
    <s v=" 522.0901 "/>
    <s v=" 62.375 "/>
    <x v="0"/>
    <n v="32565"/>
    <m/>
    <m/>
    <m/>
  </r>
  <r>
    <x v="16"/>
    <x v="3"/>
    <s v="\\192.168.24.208\images\R&amp;D\2-Test oestrogénique\OECD and AOPs\REACTIV oecd interlaboratory validation\Results WF\Résultats CBA\2021-CHG-CBA-Anastrozole\plaque 2/@04  TESTO + FAD/D4_02.tif "/>
    <s v=" 174.03 "/>
    <s v=" 63.75 "/>
    <x v="0"/>
    <n v="11094"/>
    <m/>
    <m/>
    <m/>
  </r>
  <r>
    <x v="16"/>
    <x v="3"/>
    <s v="\\192.168.24.208\images\R&amp;D\2-Test oestrogénique\OECD and AOPs\REACTIV oecd interlaboratory validation\Results WF\Résultats CBA\2021-CHG-CBA-Anastrozole\plaque 2/@04  TESTO + FAD/D4_03.tif "/>
    <s v=" 369.8138 "/>
    <s v=" 63.4118 "/>
    <x v="0"/>
    <n v="23451"/>
    <m/>
    <m/>
    <m/>
  </r>
  <r>
    <x v="16"/>
    <x v="4"/>
    <s v="\\192.168.24.208\images\R&amp;D\2-Test oestrogénique\OECD and AOPs\REACTIV oecd interlaboratory validation\Results WF\Résultats CBA\2021-CHG-CBA-Anastrozole\plaque 2/@04  TESTO + FAD/E4_01- exclu.tif"/>
    <m/>
    <m/>
    <x v="1"/>
    <m/>
    <m/>
    <m/>
    <m/>
  </r>
  <r>
    <x v="16"/>
    <x v="4"/>
    <s v="\\192.168.24.208\images\R&amp;D\2-Test oestrogénique\OECD and AOPs\REACTIV oecd interlaboratory validation\Results WF\Résultats CBA\2021-CHG-CBA-Anastrozole\plaque 2/@04  TESTO + FAD/E4_02.tif "/>
    <s v=" 239.2913 "/>
    <n v="64"/>
    <x v="0"/>
    <n v="15315"/>
    <m/>
    <m/>
    <m/>
  </r>
  <r>
    <x v="16"/>
    <x v="4"/>
    <s v="\\192.168.24.208\images\R&amp;D\2-Test oestrogénique\OECD and AOPs\REACTIV oecd interlaboratory validation\Results WF\Résultats CBA\2021-CHG-CBA-Anastrozole\plaque 2/@04  TESTO + FAD/E4_03.tif "/>
    <s v=" 8962.5471 "/>
    <s v=" 82.949 "/>
    <x v="0"/>
    <n v="743435"/>
    <m/>
    <m/>
    <m/>
  </r>
  <r>
    <x v="16"/>
    <x v="5"/>
    <s v="\\192.168.24.208\images\R&amp;D\2-Test oestrogénique\OECD and AOPs\REACTIV oecd interlaboratory validation\Results WF\Résultats CBA\2021-CHG-CBA-Anastrozole\plaque 2/@04  TESTO + FAD/F4_01.tif "/>
    <s v=" 500.3364 "/>
    <s v=" 64.2174 "/>
    <x v="0"/>
    <n v="32130"/>
    <m/>
    <m/>
    <m/>
  </r>
  <r>
    <x v="16"/>
    <x v="5"/>
    <s v="\\192.168.24.208\images\R&amp;D\2-Test oestrogénique\OECD and AOPs\REACTIV oecd interlaboratory validation\Results WF\Résultats CBA\2021-CHG-CBA-Anastrozole\plaque 2/@04  TESTO + FAD/F4_02.tif "/>
    <s v=" 609.1051 "/>
    <s v=" 63.8214 "/>
    <x v="0"/>
    <n v="38874"/>
    <m/>
    <m/>
    <m/>
  </r>
  <r>
    <x v="16"/>
    <x v="5"/>
    <s v="\\192.168.24.208\images\R&amp;D\2-Test oestrogénique\OECD and AOPs\REACTIV oecd interlaboratory validation\Results WF\Résultats CBA\2021-CHG-CBA-Anastrozole\plaque 2/@04  TESTO + FAD/F4_03.tif "/>
    <s v=" 261.0451 "/>
    <s v=" 62.9167 "/>
    <x v="0"/>
    <n v="16424"/>
    <m/>
    <m/>
    <m/>
  </r>
  <r>
    <x v="16"/>
    <x v="6"/>
    <s v="\\192.168.24.208\images\R&amp;D\2-Test oestrogénique\OECD and AOPs\REACTIV oecd interlaboratory validation\Results WF\Résultats CBA\2021-CHG-CBA-Anastrozole\plaque 2/@04  TESTO + FAD/G4_01.tif "/>
    <s v=" 2284.1443 "/>
    <s v=" 66.0667 "/>
    <x v="0"/>
    <n v="150906"/>
    <m/>
    <m/>
    <m/>
  </r>
  <r>
    <x v="16"/>
    <x v="6"/>
    <s v="\\192.168.24.208\images\R&amp;D\2-Test oestrogénique\OECD and AOPs\REACTIV oecd interlaboratory validation\Results WF\Résultats CBA\2021-CHG-CBA-Anastrozole\plaque 2/@04  TESTO + FAD/G4_02.tif "/>
    <s v=" 3872.1684 "/>
    <s v=" 69.4607 "/>
    <x v="0"/>
    <n v="268963"/>
    <m/>
    <m/>
    <m/>
  </r>
  <r>
    <x v="16"/>
    <x v="6"/>
    <s v="\\192.168.24.208\images\R&amp;D\2-Test oestrogénique\OECD and AOPs\REACTIV oecd interlaboratory validation\Results WF\Résultats CBA\2021-CHG-CBA-Anastrozole\plaque 2/@04  TESTO + FAD/G4_03.tif "/>
    <s v=" 1827.3154 "/>
    <s v=" 63.7738 "/>
    <x v="0"/>
    <n v="116535"/>
    <m/>
    <m/>
    <m/>
  </r>
  <r>
    <x v="16"/>
    <x v="7"/>
    <s v="\\192.168.24.208\images\R&amp;D\2-Test oestrogénique\OECD and AOPs\REACTIV oecd interlaboratory validation\Results WF\Résultats CBA\2021-CHG-CBA-Anastrozole\plaque 2/@04  TESTO + FAD/H4_01.tif "/>
    <s v=" 11681.7664 "/>
    <s v=" 69.8827 "/>
    <x v="0"/>
    <n v="816353"/>
    <m/>
    <m/>
    <m/>
  </r>
  <r>
    <x v="16"/>
    <x v="7"/>
    <s v="\\192.168.24.208\images\R&amp;D\2-Test oestrogénique\OECD and AOPs\REACTIV oecd interlaboratory validation\Results WF\Résultats CBA\2021-CHG-CBA-Anastrozole\plaque 2/@04  TESTO + FAD/H4_02.tif "/>
    <s v=" 7918.3668 "/>
    <s v=" 67.283 "/>
    <x v="0"/>
    <n v="532771"/>
    <m/>
    <m/>
    <m/>
  </r>
  <r>
    <x v="16"/>
    <x v="7"/>
    <s v="\\192.168.24.208\images\R&amp;D\2-Test oestrogénique\OECD and AOPs\REACTIV oecd interlaboratory validation\Results WF\Résultats CBA\2021-CHG-CBA-Anastrozole\plaque 2/@04  TESTO + FAD/H4_03.tif "/>
    <s v=" 2458.1743 "/>
    <s v=" 63.5575 "/>
    <x v="0"/>
    <n v="156235"/>
    <m/>
    <m/>
    <m/>
  </r>
  <r>
    <x v="1"/>
    <x v="8"/>
    <s v=" "/>
    <m/>
    <m/>
    <x v="1"/>
    <m/>
    <m/>
    <m/>
    <m/>
  </r>
  <r>
    <x v="1"/>
    <x v="8"/>
    <s v="group "/>
    <s v=" "/>
    <s v=" mean of mean fluo "/>
    <x v="2"/>
    <s v=" mean of total fluo "/>
    <s v=" SD total fluo "/>
    <s v=" n fluorescent "/>
    <s v=" n total"/>
  </r>
  <r>
    <x v="16"/>
    <x v="9"/>
    <s v="\\192.168.24.208\images\R&amp;D\2-Test oestrogénique\OECD and AOPs\REACTIV oecd interlaboratory validation\Results WF\Résultats CBA\2021-CHG-CBA-Anastrozole\plaque 2/@04  TESTO + FAD/ "/>
    <s v=" "/>
    <s v=" 65.9378 "/>
    <x v="18"/>
    <s v=" 157621.292 "/>
    <s v=" 230117.2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192.168.24.208\images\R&amp;D\2-Test oestrogénique\OECD and AOPs\REACTIV oecd interlaboratory validation\Results WF\Résultats CBA\2021-CHG-CBA-Anastrozole\plaque 2/@05 Anastrozole 0.032/A5_01.tif "/>
    <s v=" 13704.8657 "/>
    <s v=" 65.8968 "/>
    <x v="0"/>
    <n v="903107"/>
    <m/>
    <m/>
    <m/>
  </r>
  <r>
    <x v="17"/>
    <x v="0"/>
    <s v="\\192.168.24.208\images\R&amp;D\2-Test oestrogénique\OECD and AOPs\REACTIV oecd interlaboratory validation\Results WF\Résultats CBA\2021-CHG-CBA-Anastrozole\plaque 2/@05 Anastrozole 0.032/A5_02.tif "/>
    <s v=" 4698.8111 "/>
    <s v=" 64.7593 "/>
    <x v="0"/>
    <n v="304292"/>
    <m/>
    <m/>
    <m/>
  </r>
  <r>
    <x v="17"/>
    <x v="0"/>
    <s v="\\192.168.24.208\images\R&amp;D\2-Test oestrogénique\OECD and AOPs\REACTIV oecd interlaboratory validation\Results WF\Résultats CBA\2021-CHG-CBA-Anastrozole\plaque 2/@05 Anastrozole 0.032/A5_03.tif "/>
    <s v=" 9397.6222 "/>
    <s v=" 64.8171 "/>
    <x v="0"/>
    <n v="609127"/>
    <m/>
    <m/>
    <m/>
  </r>
  <r>
    <x v="17"/>
    <x v="1"/>
    <s v="\\192.168.24.208\images\R&amp;D\2-Test oestrogénique\OECD and AOPs\REACTIV oecd interlaboratory validation\Results WF\Résultats CBA\2021-CHG-CBA-Anastrozole\plaque 2/@05 Anastrozole 0.032/B5_01.tif "/>
    <s v=" 18120.8779 "/>
    <s v=" 69.7059 "/>
    <x v="0"/>
    <n v="1263132"/>
    <m/>
    <m/>
    <m/>
  </r>
  <r>
    <x v="17"/>
    <x v="1"/>
    <s v="\\192.168.24.208\images\R&amp;D\2-Test oestrogénique\OECD and AOPs\REACTIV oecd interlaboratory validation\Results WF\Résultats CBA\2021-CHG-CBA-Anastrozole\plaque 2/@05 Anastrozole 0.032/B5_02- exclu.tif"/>
    <m/>
    <m/>
    <x v="1"/>
    <m/>
    <m/>
    <m/>
    <m/>
  </r>
  <r>
    <x v="17"/>
    <x v="1"/>
    <s v="\\192.168.24.208\images\R&amp;D\2-Test oestrogénique\OECD and AOPs\REACTIV oecd interlaboratory validation\Results WF\Résultats CBA\2021-CHG-CBA-Anastrozole\plaque 2/@05 Anastrozole 0.032/B5_03.tif "/>
    <s v=" 24995.0645 "/>
    <s v=" 69.7137 "/>
    <x v="0"/>
    <n v="1742498"/>
    <m/>
    <m/>
    <m/>
  </r>
  <r>
    <x v="17"/>
    <x v="2"/>
    <s v="\\192.168.24.208\images\R&amp;D\2-Test oestrogénique\OECD and AOPs\REACTIV oecd interlaboratory validation\Results WF\Résultats CBA\2021-CHG-CBA-Anastrozole\plaque 2/@05 Anastrozole 0.032/C5_01.tif "/>
    <s v=" 14857.8147 "/>
    <s v=" 71.6237 "/>
    <x v="0"/>
    <n v="1064172"/>
    <m/>
    <m/>
    <m/>
  </r>
  <r>
    <x v="17"/>
    <x v="2"/>
    <s v="\\192.168.24.208\images\R&amp;D\2-Test oestrogénique\OECD and AOPs\REACTIV oecd interlaboratory validation\Results WF\Résultats CBA\2021-CHG-CBA-Anastrozole\plaque 2/@05 Anastrozole 0.032/C5_02.tif "/>
    <s v=" 16859.1601 "/>
    <s v=" 73.5639 "/>
    <x v="0"/>
    <n v="1240225"/>
    <m/>
    <m/>
    <m/>
  </r>
  <r>
    <x v="17"/>
    <x v="2"/>
    <s v="\\192.168.24.208\images\R&amp;D\2-Test oestrogénique\OECD and AOPs\REACTIV oecd interlaboratory validation\Results WF\Résultats CBA\2021-CHG-CBA-Anastrozole\plaque 2/@05 Anastrozole 0.032/C5_03.tif "/>
    <s v=" 14836.0609 "/>
    <s v=" 73.5674 "/>
    <x v="0"/>
    <n v="1091451"/>
    <m/>
    <m/>
    <m/>
  </r>
  <r>
    <x v="17"/>
    <x v="3"/>
    <s v="\\192.168.24.208\images\R&amp;D\2-Test oestrogénique\OECD and AOPs\REACTIV oecd interlaboratory validation\Results WF\Résultats CBA\2021-CHG-CBA-Anastrozole\plaque 2/@05 Anastrozole 0.032/D5_01.tif "/>
    <s v=" 27279.2088 "/>
    <s v=" 71.7129 "/>
    <x v="0"/>
    <n v="1956272"/>
    <m/>
    <m/>
    <m/>
  </r>
  <r>
    <x v="17"/>
    <x v="3"/>
    <s v="\\192.168.24.208\images\R&amp;D\2-Test oestrogénique\OECD and AOPs\REACTIV oecd interlaboratory validation\Results WF\Résultats CBA\2021-CHG-CBA-Anastrozole\plaque 2/@05 Anastrozole 0.032/D5_02.tif "/>
    <s v=" 19882.9321 "/>
    <s v=" 69.5164 "/>
    <x v="0"/>
    <n v="1382190"/>
    <m/>
    <m/>
    <m/>
  </r>
  <r>
    <x v="17"/>
    <x v="3"/>
    <s v="\\192.168.24.208\images\R&amp;D\2-Test oestrogénique\OECD and AOPs\REACTIV oecd interlaboratory validation\Results WF\Résultats CBA\2021-CHG-CBA-Anastrozole\plaque 2/@05 Anastrozole 0.032/D5_03.tif "/>
    <s v=" 26126.2598 "/>
    <s v=" 69.1207 "/>
    <x v="0"/>
    <n v="1805866"/>
    <m/>
    <m/>
    <m/>
  </r>
  <r>
    <x v="17"/>
    <x v="4"/>
    <s v="\\192.168.24.208\images\R&amp;D\2-Test oestrogénique\OECD and AOPs\REACTIV oecd interlaboratory validation\Results WF\Résultats CBA\2021-CHG-CBA-Anastrozole\plaque 2/@05 Anastrozole 0.032/E5_01.tif "/>
    <s v=" 22689.1665 "/>
    <s v=" 71.8456 "/>
    <x v="0"/>
    <n v="1630118"/>
    <m/>
    <m/>
    <m/>
  </r>
  <r>
    <x v="17"/>
    <x v="4"/>
    <s v="\\192.168.24.208\images\R&amp;D\2-Test oestrogénique\OECD and AOPs\REACTIV oecd interlaboratory validation\Results WF\Résultats CBA\2021-CHG-CBA-Anastrozole\plaque 2/@05 Anastrozole 0.032/E5_02.tif "/>
    <s v=" 18729.9831 "/>
    <s v=" 71.5099 "/>
    <x v="0"/>
    <n v="1339379"/>
    <m/>
    <m/>
    <m/>
  </r>
  <r>
    <x v="17"/>
    <x v="4"/>
    <s v="\\192.168.24.208\images\R&amp;D\2-Test oestrogénique\OECD and AOPs\REACTIV oecd interlaboratory validation\Results WF\Résultats CBA\2021-CHG-CBA-Anastrozole\plaque 2/@05 Anastrozole 0.032/E5_03.tif "/>
    <s v=" 20535.5447 "/>
    <s v=" 71.3453 "/>
    <x v="0"/>
    <n v="1465115"/>
    <m/>
    <m/>
    <m/>
  </r>
  <r>
    <x v="17"/>
    <x v="5"/>
    <s v="\\192.168.24.208\images\R&amp;D\2-Test oestrogénique\OECD and AOPs\REACTIV oecd interlaboratory validation\Results WF\Résultats CBA\2021-CHG-CBA-Anastrozole\plaque 2/@05 Anastrozole 0.032/F5_01.tif "/>
    <s v=" 19012.7819 "/>
    <s v=" 66.1087 "/>
    <x v="0"/>
    <n v="1256910"/>
    <m/>
    <m/>
    <m/>
  </r>
  <r>
    <x v="17"/>
    <x v="5"/>
    <s v="\\192.168.24.208\images\R&amp;D\2-Test oestrogénique\OECD and AOPs\REACTIV oecd interlaboratory validation\Results WF\Résultats CBA\2021-CHG-CBA-Anastrozole\plaque 2/@05 Anastrozole 0.032/F5_02.tif "/>
    <s v=" 19491.3645 "/>
    <s v=" 66.1629 "/>
    <x v="0"/>
    <n v="1289606"/>
    <m/>
    <m/>
    <m/>
  </r>
  <r>
    <x v="17"/>
    <x v="5"/>
    <s v="\\192.168.24.208\images\R&amp;D\2-Test oestrogénique\OECD and AOPs\REACTIV oecd interlaboratory validation\Results WF\Résultats CBA\2021-CHG-CBA-Anastrozole\plaque 2/@05 Anastrozole 0.032/F5_03.tif "/>
    <s v=" 23428.7941 "/>
    <s v=" 66.5617 "/>
    <x v="0"/>
    <n v="1559461"/>
    <m/>
    <m/>
    <m/>
  </r>
  <r>
    <x v="17"/>
    <x v="6"/>
    <s v="\\192.168.24.208\images\R&amp;D\2-Test oestrogénique\OECD and AOPs\REACTIV oecd interlaboratory validation\Results WF\Résultats CBA\2021-CHG-CBA-Anastrozole\plaque 2/@05 Anastrozole 0.032/G5_01.tif "/>
    <s v=" 11942.8115 "/>
    <s v=" 65.8707 "/>
    <x v="0"/>
    <n v="786681"/>
    <m/>
    <m/>
    <m/>
  </r>
  <r>
    <x v="17"/>
    <x v="6"/>
    <s v="\\192.168.24.208\images\R&amp;D\2-Test oestrogénique\OECD and AOPs\REACTIV oecd interlaboratory validation\Results WF\Résultats CBA\2021-CHG-CBA-Anastrozole\plaque 2/@05 Anastrozole 0.032/G5_02.tif "/>
    <s v=" 12856.4692 "/>
    <s v=" 67.0914 "/>
    <x v="0"/>
    <n v="862558"/>
    <m/>
    <m/>
    <m/>
  </r>
  <r>
    <x v="17"/>
    <x v="6"/>
    <s v="\\192.168.24.208\images\R&amp;D\2-Test oestrogénique\OECD and AOPs\REACTIV oecd interlaboratory validation\Results WF\Résultats CBA\2021-CHG-CBA-Anastrozole\plaque 2/@05 Anastrozole 0.032/G5_03.tif "/>
    <s v=" 11050.9075 "/>
    <s v=" 66.0335 "/>
    <x v="0"/>
    <n v="729730"/>
    <m/>
    <m/>
    <m/>
  </r>
  <r>
    <x v="17"/>
    <x v="7"/>
    <s v="\\192.168.24.208\images\R&amp;D\2-Test oestrogénique\OECD and AOPs\REACTIV oecd interlaboratory validation\Results WF\Résultats CBA\2021-CHG-CBA-Anastrozole\plaque 2/@05 Anastrozole 0.032/H5_01.tif "/>
    <s v=" 7635.568 "/>
    <s v=" 65.0513 "/>
    <x v="0"/>
    <n v="496703"/>
    <m/>
    <m/>
    <m/>
  </r>
  <r>
    <x v="17"/>
    <x v="7"/>
    <s v="\\192.168.24.208\images\R&amp;D\2-Test oestrogénique\OECD and AOPs\REACTIV oecd interlaboratory validation\Results WF\Résultats CBA\2021-CHG-CBA-Anastrozole\plaque 2/@05 Anastrozole 0.032/H5_02.tif "/>
    <s v=" 9310.6071 "/>
    <s v=" 64.9836 "/>
    <x v="0"/>
    <n v="605037"/>
    <m/>
    <m/>
    <m/>
  </r>
  <r>
    <x v="17"/>
    <x v="7"/>
    <s v="\\192.168.24.208\images\R&amp;D\2-Test oestrogénique\OECD and AOPs\REACTIV oecd interlaboratory validation\Results WF\Résultats CBA\2021-CHG-CBA-Anastrozole\plaque 2/@05 Anastrozole 0.032/H5_03.tif "/>
    <s v=" 10028.4811 "/>
    <s v=" 66.1106 "/>
    <x v="0"/>
    <n v="662989"/>
    <m/>
    <m/>
    <m/>
  </r>
  <r>
    <x v="1"/>
    <x v="8"/>
    <s v=" "/>
    <m/>
    <m/>
    <x v="1"/>
    <m/>
    <m/>
    <m/>
    <m/>
  </r>
  <r>
    <x v="1"/>
    <x v="8"/>
    <s v="group "/>
    <s v=" "/>
    <s v=" mean of mean fluo "/>
    <x v="2"/>
    <s v=" mean of total fluo "/>
    <s v=" SD total fluo "/>
    <s v=" n fluorescent "/>
    <s v=" n total"/>
  </r>
  <r>
    <x v="17"/>
    <x v="9"/>
    <s v="\\192.168.24.208\images\R&amp;D\2-Test oestrogénique\OECD and AOPs\REACTIV oecd interlaboratory validation\Results WF\Résultats CBA\2021-CHG-CBA-Anastrozole\plaque 2/@05 Anastrozole 0.032/ "/>
    <s v=" "/>
    <s v=" 68.2588 "/>
    <x v="19"/>
    <s v=" 1113373.5 "/>
    <s v=" 451864.3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192.168.24.208\images\R&amp;D\2-Test oestrogénique\OECD and AOPs\REACTIV oecd interlaboratory validation\Results WF\Résultats CBA\2021-CHG-CBA-Anastrozole\plaque 2/@06Anastrozole 0.16/A6_01.tif "/>
    <s v=" 1783.8079 "/>
    <s v=" 64.3171 "/>
    <x v="0"/>
    <n v="114729"/>
    <m/>
    <m/>
    <m/>
  </r>
  <r>
    <x v="18"/>
    <x v="0"/>
    <s v="\\192.168.24.208\images\R&amp;D\2-Test oestrogénique\OECD and AOPs\REACTIV oecd interlaboratory validation\Results WF\Résultats CBA\2021-CHG-CBA-Anastrozole\plaque 2/@06Anastrozole 0.16/A6_02.tif "/>
    <s v=" 804.8889 "/>
    <s v=" 62.3514 "/>
    <x v="0"/>
    <n v="50186"/>
    <m/>
    <m/>
    <m/>
  </r>
  <r>
    <x v="18"/>
    <x v="0"/>
    <s v="\\192.168.24.208\images\R&amp;D\2-Test oestrogénique\OECD and AOPs\REACTIV oecd interlaboratory validation\Results WF\Résultats CBA\2021-CHG-CBA-Anastrozole\plaque 2/@06Anastrozole 0.16/A6_03.tif "/>
    <s v=" 1109.4415 "/>
    <s v=" 63.3333 "/>
    <x v="0"/>
    <n v="70265"/>
    <m/>
    <m/>
    <m/>
  </r>
  <r>
    <x v="18"/>
    <x v="1"/>
    <s v="\\192.168.24.208\images\R&amp;D\2-Test oestrogénique\OECD and AOPs\REACTIV oecd interlaboratory validation\Results WF\Résultats CBA\2021-CHG-CBA-Anastrozole\plaque 2/@06Anastrozole 0.16/B6_01.tif "/>
    <s v=" 26452.5661 "/>
    <s v=" 71.1127 "/>
    <x v="0"/>
    <n v="1881112"/>
    <m/>
    <m/>
    <m/>
  </r>
  <r>
    <x v="18"/>
    <x v="1"/>
    <s v="\\192.168.24.208\images\R&amp;D\2-Test oestrogénique\OECD and AOPs\REACTIV oecd interlaboratory validation\Results WF\Résultats CBA\2021-CHG-CBA-Anastrozole\plaque 2/@06Anastrozole 0.16/B6_02.tif "/>
    <s v=" 30542.272 "/>
    <s v=" 72.5627 "/>
    <x v="0"/>
    <n v="2216229"/>
    <m/>
    <m/>
    <m/>
  </r>
  <r>
    <x v="18"/>
    <x v="1"/>
    <s v="\\192.168.24.208\images\R&amp;D\2-Test oestrogénique\OECD and AOPs\REACTIV oecd interlaboratory validation\Results WF\Résultats CBA\2021-CHG-CBA-Anastrozole\plaque 2/@06Anastrozole 0.16/B6_03.tif "/>
    <s v=" 30542.272 "/>
    <s v=" 72.4252 "/>
    <x v="0"/>
    <n v="2212031"/>
    <m/>
    <m/>
    <m/>
  </r>
  <r>
    <x v="18"/>
    <x v="2"/>
    <s v="\\192.168.24.208\images\R&amp;D\2-Test oestrogénique\OECD and AOPs\REACTIV oecd interlaboratory validation\Results WF\Résultats CBA\2021-CHG-CBA-Anastrozole\plaque 2/@06Anastrozole 0.16/C6_01.tif "/>
    <s v=" 20644.3135 "/>
    <s v=" 68.5817 "/>
    <x v="0"/>
    <n v="1415821"/>
    <m/>
    <m/>
    <m/>
  </r>
  <r>
    <x v="18"/>
    <x v="2"/>
    <s v="\\192.168.24.208\images\R&amp;D\2-Test oestrogénique\OECD and AOPs\REACTIV oecd interlaboratory validation\Results WF\Résultats CBA\2021-CHG-CBA-Anastrozole\plaque 2/@06Anastrozole 0.16/C6_02.tif "/>
    <s v=" 16837.4064 "/>
    <s v=" 68.8966 "/>
    <x v="0"/>
    <n v="1160041"/>
    <m/>
    <m/>
    <m/>
  </r>
  <r>
    <x v="18"/>
    <x v="2"/>
    <s v="\\192.168.24.208\images\R&amp;D\2-Test oestrogénique\OECD and AOPs\REACTIV oecd interlaboratory validation\Results WF\Résultats CBA\2021-CHG-CBA-Anastrozole\plaque 2/@06Anastrozole 0.16/C6_03.tif "/>
    <s v=" 16532.8538 "/>
    <s v=" 67.9579 "/>
    <x v="0"/>
    <n v="1123538"/>
    <m/>
    <m/>
    <m/>
  </r>
  <r>
    <x v="18"/>
    <x v="3"/>
    <s v="\\192.168.24.208\images\R&amp;D\2-Test oestrogénique\OECD and AOPs\REACTIV oecd interlaboratory validation\Results WF\Résultats CBA\2021-CHG-CBA-Anastrozole\plaque 2/@06Anastrozole 0.16/D6_01.tif "/>
    <s v=" 17468.2653 "/>
    <s v=" 68.3188 "/>
    <x v="0"/>
    <n v="1193411"/>
    <m/>
    <m/>
    <m/>
  </r>
  <r>
    <x v="18"/>
    <x v="3"/>
    <s v="\\192.168.24.208\images\R&amp;D\2-Test oestrogénique\OECD and AOPs\REACTIV oecd interlaboratory validation\Results WF\Résultats CBA\2021-CHG-CBA-Anastrozole\plaque 2/@06Anastrozole 0.16/D6_02.tif "/>
    <s v=" 19556.6257 "/>
    <s v=" 68.7653 "/>
    <x v="0"/>
    <n v="1344817"/>
    <m/>
    <m/>
    <m/>
  </r>
  <r>
    <x v="18"/>
    <x v="3"/>
    <s v="\\192.168.24.208\images\R&amp;D\2-Test oestrogénique\OECD and AOPs\REACTIV oecd interlaboratory validation\Results WF\Résultats CBA\2021-CHG-CBA-Anastrozole\plaque 2/@06Anastrozole 0.16/D6_03.tif "/>
    <s v=" 16489.3463 "/>
    <s v=" 67.9485 "/>
    <x v="0"/>
    <n v="1120427"/>
    <m/>
    <m/>
    <m/>
  </r>
  <r>
    <x v="18"/>
    <x v="4"/>
    <s v="\\192.168.24.208\images\R&amp;D\2-Test oestrogénique\OECD and AOPs\REACTIV oecd interlaboratory validation\Results WF\Résultats CBA\2021-CHG-CBA-Anastrozole\plaque 2/@06Anastrozole 0.16/E6_01.tif "/>
    <s v=" 3698.1384 "/>
    <s v=" 63.4824 "/>
    <x v="0"/>
    <n v="234767"/>
    <m/>
    <m/>
    <m/>
  </r>
  <r>
    <x v="18"/>
    <x v="4"/>
    <s v="\\192.168.24.208\images\R&amp;D\2-Test oestrogénique\OECD and AOPs\REACTIV oecd interlaboratory validation\Results WF\Résultats CBA\2021-CHG-CBA-Anastrozole\plaque 2/@06Anastrozole 0.16/E6_02.tif "/>
    <s v=" 4655.3036 "/>
    <s v=" 63.9813 "/>
    <x v="0"/>
    <n v="297852"/>
    <m/>
    <m/>
    <m/>
  </r>
  <r>
    <x v="18"/>
    <x v="4"/>
    <s v="\\192.168.24.208\images\R&amp;D\2-Test oestrogénique\OECD and AOPs\REACTIV oecd interlaboratory validation\Results WF\Résultats CBA\2021-CHG-CBA-Anastrozole\plaque 2/@06Anastrozole 0.16/E6_03.tif "/>
    <s v=" 4459.5198 "/>
    <s v=" 64.878 "/>
    <x v="0"/>
    <n v="289325"/>
    <m/>
    <m/>
    <m/>
  </r>
  <r>
    <x v="18"/>
    <x v="5"/>
    <s v="\\192.168.24.208\images\R&amp;D\2-Test oestrogénique\OECD and AOPs\REACTIV oecd interlaboratory validation\Results WF\Résultats CBA\2021-CHG-CBA-Anastrozole\plaque 2/@06Anastrozole 0.16/F6_01.tif "/>
    <s v=" 4524.781 "/>
    <s v=" 63.4856 "/>
    <x v="0"/>
    <n v="287258"/>
    <m/>
    <m/>
    <m/>
  </r>
  <r>
    <x v="18"/>
    <x v="5"/>
    <s v="\\192.168.24.208\images\R&amp;D\2-Test oestrogénique\OECD and AOPs\REACTIV oecd interlaboratory validation\Results WF\Résultats CBA\2021-CHG-CBA-Anastrozole\plaque 2/@06Anastrozole 0.16/F6_02.tif "/>
    <s v=" 5481.9463 "/>
    <s v=" 64.1111 "/>
    <x v="0"/>
    <n v="351454"/>
    <m/>
    <m/>
    <m/>
  </r>
  <r>
    <x v="18"/>
    <x v="5"/>
    <s v="\\192.168.24.208\images\R&amp;D\2-Test oestrogénique\OECD and AOPs\REACTIV oecd interlaboratory validation\Results WF\Résultats CBA\2021-CHG-CBA-Anastrozole\plaque 2/@06Anastrozole 0.16/F6_03.tif "/>
    <s v=" 3872.1684 "/>
    <s v=" 63.236 "/>
    <x v="0"/>
    <n v="244860"/>
    <m/>
    <m/>
    <m/>
  </r>
  <r>
    <x v="18"/>
    <x v="6"/>
    <s v="\\192.168.24.208\images\R&amp;D\2-Test oestrogénique\OECD and AOPs\REACTIV oecd interlaboratory validation\Results WF\Résultats CBA\2021-CHG-CBA-Anastrozole\plaque 2/@06Anastrozole 0.16/G6_01.tif "/>
    <s v=" 21427.4487 "/>
    <s v=" 67.2487 "/>
    <x v="0"/>
    <n v="1440969"/>
    <m/>
    <m/>
    <m/>
  </r>
  <r>
    <x v="18"/>
    <x v="6"/>
    <s v="\\192.168.24.208\images\R&amp;D\2-Test oestrogénique\OECD and AOPs\REACTIV oecd interlaboratory validation\Results WF\Résultats CBA\2021-CHG-CBA-Anastrozole\plaque 2/@06Anastrozole 0.16/G6_02- exclu.tif"/>
    <m/>
    <m/>
    <x v="1"/>
    <m/>
    <m/>
    <m/>
    <m/>
  </r>
  <r>
    <x v="18"/>
    <x v="6"/>
    <s v="\\192.168.24.208\images\R&amp;D\2-Test oestrogénique\OECD and AOPs\REACTIV oecd interlaboratory validation\Results WF\Résultats CBA\2021-CHG-CBA-Anastrozole\plaque 2/@06Anastrozole 0.16/G6_03.tif "/>
    <s v=" 20492.0372 "/>
    <s v=" 66.2346 "/>
    <x v="0"/>
    <n v="1357282"/>
    <m/>
    <m/>
    <m/>
  </r>
  <r>
    <x v="18"/>
    <x v="7"/>
    <s v="\\192.168.24.208\images\R&amp;D\2-Test oestrogénique\OECD and AOPs\REACTIV oecd interlaboratory validation\Results WF\Résultats CBA\2021-CHG-CBA-Anastrozole\plaque 2/@06Anastrozole 0.16/H6_01.tif "/>
    <s v=" 3741.6459 "/>
    <s v=" 64.4128 "/>
    <x v="0"/>
    <n v="241010"/>
    <m/>
    <m/>
    <m/>
  </r>
  <r>
    <x v="18"/>
    <x v="7"/>
    <s v="\\192.168.24.208\images\R&amp;D\2-Test oestrogénique\OECD and AOPs\REACTIV oecd interlaboratory validation\Results WF\Résultats CBA\2021-CHG-CBA-Anastrozole\plaque 2/@06Anastrozole 0.16/H6_02.tif "/>
    <s v=" 3002.0182 "/>
    <s v=" 63.8188 "/>
    <x v="0"/>
    <n v="191585"/>
    <m/>
    <m/>
    <m/>
  </r>
  <r>
    <x v="18"/>
    <x v="7"/>
    <s v="\\192.168.24.208\images\R&amp;D\2-Test oestrogénique\OECD and AOPs\REACTIV oecd interlaboratory validation\Results WF\Résultats CBA\2021-CHG-CBA-Anastrozole\plaque 2/@06Anastrozole 0.16/H6_03.tif "/>
    <s v=" 2958.5107 "/>
    <s v=" 64.5294 "/>
    <x v="0"/>
    <n v="190911"/>
    <m/>
    <m/>
    <m/>
  </r>
  <r>
    <x v="1"/>
    <x v="8"/>
    <s v=" "/>
    <m/>
    <m/>
    <x v="1"/>
    <m/>
    <m/>
    <m/>
    <m/>
  </r>
  <r>
    <x v="1"/>
    <x v="8"/>
    <s v="group "/>
    <s v=" "/>
    <s v=" mean of mean fluo "/>
    <x v="2"/>
    <s v=" mean of total fluo "/>
    <s v=" SD total fluo "/>
    <s v=" n fluorescent "/>
    <s v=" n total"/>
  </r>
  <r>
    <x v="18"/>
    <x v="9"/>
    <s v="\\192.168.24.208\images\R&amp;D\2-Test oestrogénique\OECD and AOPs\REACTIV oecd interlaboratory validation\Results WF\Résultats CBA\2021-CHG-CBA-Anastrozole\plaque 2/@06Anastrozole 0.16/ "/>
    <s v=" "/>
    <s v=" 66.2837 "/>
    <x v="20"/>
    <s v=" 827634.292 "/>
    <s v=" 699782.8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192.168.24.208\images\R&amp;D\2-Test oestrogénique\OECD and AOPs\REACTIV oecd interlaboratory validation\Results WF\Résultats CBA\2021-CHG-CBA-Anastrozole\plaque 2/@07 Anastrozole 0.8/A7_01.tif "/>
    <s v=" 696.1202 "/>
    <s v=" 63.5 "/>
    <x v="0"/>
    <n v="44204"/>
    <m/>
    <m/>
    <m/>
  </r>
  <r>
    <x v="19"/>
    <x v="0"/>
    <s v="\\192.168.24.208\images\R&amp;D\2-Test oestrogénique\OECD and AOPs\REACTIV oecd interlaboratory validation\Results WF\Résultats CBA\2021-CHG-CBA-Anastrozole\plaque 2/@07 Anastrozole 0.8/A7_02.tif "/>
    <s v=" 848.3964 "/>
    <s v=" 63.0513 "/>
    <x v="0"/>
    <n v="53492"/>
    <m/>
    <m/>
    <m/>
  </r>
  <r>
    <x v="19"/>
    <x v="0"/>
    <s v="\\192.168.24.208\images\R&amp;D\2-Test oestrogénique\OECD and AOPs\REACTIV oecd interlaboratory validation\Results WF\Résultats CBA\2021-CHG-CBA-Anastrozole\plaque 2/@07 Anastrozole 0.8/A7_03.tif "/>
    <s v=" 804.8889 "/>
    <s v=" 62.5676 "/>
    <x v="0"/>
    <n v="50360"/>
    <m/>
    <m/>
    <m/>
  </r>
  <r>
    <x v="19"/>
    <x v="1"/>
    <s v="\\192.168.24.208\images\R&amp;D\2-Test oestrogénique\OECD and AOPs\REACTIV oecd interlaboratory validation\Results WF\Résultats CBA\2021-CHG-CBA-Anastrozole\plaque 2/@07 Anastrozole 0.8/B7_01.tif "/>
    <s v=" 3197.802 "/>
    <n v="64"/>
    <x v="0"/>
    <n v="204659"/>
    <m/>
    <m/>
    <m/>
  </r>
  <r>
    <x v="19"/>
    <x v="1"/>
    <s v="\\192.168.24.208\images\R&amp;D\2-Test oestrogénique\OECD and AOPs\REACTIV oecd interlaboratory validation\Results WF\Résultats CBA\2021-CHG-CBA-Anastrozole\plaque 2/@07 Anastrozole 0.8/B7_02.tif "/>
    <s v=" 7526.7992 "/>
    <s v=" 64.2254 "/>
    <x v="0"/>
    <n v="483412"/>
    <m/>
    <m/>
    <m/>
  </r>
  <r>
    <x v="19"/>
    <x v="1"/>
    <s v="\\192.168.24.208\images\R&amp;D\2-Test oestrogénique\OECD and AOPs\REACTIV oecd interlaboratory validation\Results WF\Résultats CBA\2021-CHG-CBA-Anastrozole\plaque 2/@07 Anastrozole 0.8/B7_03- exclu.tif"/>
    <m/>
    <m/>
    <x v="1"/>
    <m/>
    <m/>
    <m/>
    <m/>
  </r>
  <r>
    <x v="19"/>
    <x v="2"/>
    <s v="\\192.168.24.208\images\R&amp;D\2-Test oestrogénique\OECD and AOPs\REACTIV oecd interlaboratory validation\Results WF\Résultats CBA\2021-CHG-CBA-Anastrozole\plaque 2/@07 Anastrozole 0.8/C7_01.tif "/>
    <s v=" 2936.7569 "/>
    <s v=" 67.5481 "/>
    <x v="0"/>
    <n v="198372"/>
    <m/>
    <m/>
    <m/>
  </r>
  <r>
    <x v="19"/>
    <x v="2"/>
    <s v="\\192.168.24.208\images\R&amp;D\2-Test oestrogénique\OECD and AOPs\REACTIV oecd interlaboratory validation\Results WF\Résultats CBA\2021-CHG-CBA-Anastrozole\plaque 2/@07 Anastrozole 0.8/C7_02.tif "/>
    <s v=" 4046.1984 "/>
    <s v=" 63.9731 "/>
    <x v="0"/>
    <n v="258848"/>
    <m/>
    <m/>
    <m/>
  </r>
  <r>
    <x v="19"/>
    <x v="2"/>
    <s v="\\192.168.24.208\images\R&amp;D\2-Test oestrogénique\OECD and AOPs\REACTIV oecd interlaboratory validation\Results WF\Résultats CBA\2021-CHG-CBA-Anastrozole\plaque 2/@07 Anastrozole 0.8/C7_03.tif "/>
    <s v=" 4481.2735 "/>
    <s v=" 63.3835 "/>
    <x v="0"/>
    <n v="284039"/>
    <m/>
    <m/>
    <m/>
  </r>
  <r>
    <x v="19"/>
    <x v="3"/>
    <s v="\\192.168.24.208\images\R&amp;D\2-Test oestrogénique\OECD and AOPs\REACTIV oecd interlaboratory validation\Results WF\Résultats CBA\2021-CHG-CBA-Anastrozole\plaque 2/@07 Anastrozole 0.8/D7_01.tif "/>
    <s v=" 326.3063 "/>
    <s v=" 62.4 "/>
    <x v="0"/>
    <n v="20362"/>
    <m/>
    <m/>
    <m/>
  </r>
  <r>
    <x v="19"/>
    <x v="3"/>
    <s v="\\192.168.24.208\images\R&amp;D\2-Test oestrogénique\OECD and AOPs\REACTIV oecd interlaboratory validation\Results WF\Résultats CBA\2021-CHG-CBA-Anastrozole\plaque 2/@07 Anastrozole 0.8/D7_02.tif "/>
    <s v=" 130.5225 "/>
    <s v=" 65.8333 "/>
    <x v="0"/>
    <n v="8593"/>
    <m/>
    <m/>
    <m/>
  </r>
  <r>
    <x v="19"/>
    <x v="3"/>
    <s v="\\192.168.24.208\images\R&amp;D\2-Test oestrogénique\OECD and AOPs\REACTIV oecd interlaboratory validation\Results WF\Résultats CBA\2021-CHG-CBA-Anastrozole\plaque 2/@07 Anastrozole 0.8/D7_03.tif "/>
    <s v=" 195.7838 "/>
    <s v=" 63.3333 "/>
    <x v="0"/>
    <n v="12400"/>
    <m/>
    <m/>
    <m/>
  </r>
  <r>
    <x v="19"/>
    <x v="4"/>
    <s v="\\192.168.24.208\images\R&amp;D\2-Test oestrogénique\OECD and AOPs\REACTIV oecd interlaboratory validation\Results WF\Résultats CBA\2021-CHG-CBA-Anastrozole\plaque 2/@07 Anastrozole 0.8/E7_01.tif "/>
    <s v=" 1283.4715 "/>
    <s v=" 64.5424 "/>
    <x v="0"/>
    <n v="82838"/>
    <m/>
    <m/>
    <m/>
  </r>
  <r>
    <x v="19"/>
    <x v="4"/>
    <s v="\\192.168.24.208\images\R&amp;D\2-Test oestrogénique\OECD and AOPs\REACTIV oecd interlaboratory validation\Results WF\Résultats CBA\2021-CHG-CBA-Anastrozole\plaque 2/@07 Anastrozole 0.8/E7_02.tif "/>
    <s v=" 282.7988 "/>
    <s v=" 63.6154 "/>
    <x v="0"/>
    <n v="17990"/>
    <m/>
    <m/>
    <m/>
  </r>
  <r>
    <x v="19"/>
    <x v="4"/>
    <s v="\\192.168.24.208\images\R&amp;D\2-Test oestrogénique\OECD and AOPs\REACTIV oecd interlaboratory validation\Results WF\Résultats CBA\2021-CHG-CBA-Anastrozole\plaque 2/@07 Anastrozole 0.8/E7_03.tif "/>
    <s v=" 369.8138 "/>
    <s v=" 64.3529 "/>
    <x v="0"/>
    <n v="23799"/>
    <m/>
    <m/>
    <m/>
  </r>
  <r>
    <x v="19"/>
    <x v="5"/>
    <s v="\\192.168.24.208\images\R&amp;D\2-Test oestrogénique\OECD and AOPs\REACTIV oecd interlaboratory validation\Results WF\Résultats CBA\2021-CHG-CBA-Anastrozole\plaque 2/@07 Anastrozole 0.8/F7_01.tif "/>
    <s v=" 4851.0874 "/>
    <s v=" 63.7892 "/>
    <x v="0"/>
    <n v="309447"/>
    <m/>
    <m/>
    <m/>
  </r>
  <r>
    <x v="19"/>
    <x v="5"/>
    <s v="\\192.168.24.208\images\R&amp;D\2-Test oestrogénique\OECD and AOPs\REACTIV oecd interlaboratory validation\Results WF\Résultats CBA\2021-CHG-CBA-Anastrozole\plaque 2/@07 Anastrozole 0.8/F7_02.tif "/>
    <s v=" 1892.5767 "/>
    <s v=" 63.3908 "/>
    <x v="0"/>
    <n v="119972"/>
    <m/>
    <m/>
    <m/>
  </r>
  <r>
    <x v="19"/>
    <x v="5"/>
    <s v="\\192.168.24.208\images\R&amp;D\2-Test oestrogénique\OECD and AOPs\REACTIV oecd interlaboratory validation\Results WF\Résultats CBA\2021-CHG-CBA-Anastrozole\plaque 2/@07 Anastrozole 0.8/F7_03.tif "/>
    <s v=" 2849.7419 "/>
    <s v=" 63.1985 "/>
    <x v="0"/>
    <n v="180099"/>
    <m/>
    <m/>
    <m/>
  </r>
  <r>
    <x v="19"/>
    <x v="6"/>
    <s v="\\192.168.24.208\images\R&amp;D\2-Test oestrogénique\OECD and AOPs\REACTIV oecd interlaboratory validation\Results WF\Résultats CBA\2021-CHG-CBA-Anastrozole\plaque 2/@07 Anastrozole 0.8/G7_01.tif "/>
    <s v=" 2327.6518 "/>
    <s v=" 64.2336 "/>
    <x v="0"/>
    <n v="149514"/>
    <m/>
    <m/>
    <m/>
  </r>
  <r>
    <x v="19"/>
    <x v="6"/>
    <s v="\\192.168.24.208\images\R&amp;D\2-Test oestrogénique\OECD and AOPs\REACTIV oecd interlaboratory validation\Results WF\Résultats CBA\2021-CHG-CBA-Anastrozole\plaque 2/@07 Anastrozole 0.8/G7_02.tif "/>
    <s v=" 2088.3605 "/>
    <s v=" 64.1458 "/>
    <x v="0"/>
    <n v="133960"/>
    <m/>
    <m/>
    <m/>
  </r>
  <r>
    <x v="19"/>
    <x v="6"/>
    <s v="\\192.168.24.208\images\R&amp;D\2-Test oestrogénique\OECD and AOPs\REACTIV oecd interlaboratory validation\Results WF\Résultats CBA\2021-CHG-CBA-Anastrozole\plaque 2/@07 Anastrozole 0.8/G7_03.tif "/>
    <s v=" 1805.5617 "/>
    <s v=" 63.3735 "/>
    <x v="0"/>
    <n v="114425"/>
    <m/>
    <m/>
    <m/>
  </r>
  <r>
    <x v="19"/>
    <x v="7"/>
    <s v="\\192.168.24.208\images\R&amp;D\2-Test oestrogénique\OECD and AOPs\REACTIV oecd interlaboratory validation\Results WF\Résultats CBA\2021-CHG-CBA-Anastrozole\plaque 2/@07 Anastrozole 0.8/H7_01.tif "/>
    <s v=" 2284.1443 "/>
    <s v=" 68.1333 "/>
    <x v="0"/>
    <n v="155626"/>
    <m/>
    <m/>
    <m/>
  </r>
  <r>
    <x v="19"/>
    <x v="7"/>
    <s v="\\192.168.24.208\images\R&amp;D\2-Test oestrogénique\OECD and AOPs\REACTIV oecd interlaboratory validation\Results WF\Résultats CBA\2021-CHG-CBA-Anastrozole\plaque 2/@07 Anastrozole 0.8/H7_02.tif "/>
    <s v=" 3132.5407 "/>
    <s v=" 69.4444 "/>
    <x v="0"/>
    <n v="217538"/>
    <m/>
    <m/>
    <m/>
  </r>
  <r>
    <x v="19"/>
    <x v="7"/>
    <s v="\\192.168.24.208\images\R&amp;D\2-Test oestrogénique\OECD and AOPs\REACTIV oecd interlaboratory validation\Results WF\Résultats CBA\2021-CHG-CBA-Anastrozole\plaque 2/@07 Anastrozole 0.8/H7_03.tif "/>
    <s v=" 2110.1142 "/>
    <s v=" 66.134 "/>
    <x v="0"/>
    <n v="139550"/>
    <m/>
    <m/>
    <m/>
  </r>
  <r>
    <x v="1"/>
    <x v="8"/>
    <s v=" "/>
    <m/>
    <m/>
    <x v="1"/>
    <m/>
    <m/>
    <m/>
    <m/>
  </r>
  <r>
    <x v="1"/>
    <x v="8"/>
    <s v="group "/>
    <s v=" "/>
    <s v=" mean of mean fluo "/>
    <x v="2"/>
    <s v=" mean of total fluo "/>
    <s v=" SD total fluo "/>
    <s v=" n fluorescent "/>
    <s v=" n total"/>
  </r>
  <r>
    <x v="19"/>
    <x v="9"/>
    <s v="\\192.168.24.208\images\R&amp;D\2-Test oestrogénique\OECD and AOPs\REACTIV oecd interlaboratory validation\Results WF\Résultats CBA\2021-CHG-CBA-Anastrozole\plaque 2/@07 Anastrozole 0.8/ "/>
    <s v=" "/>
    <s v=" 64.4203 "/>
    <x v="21"/>
    <s v=" 145132.917 "/>
    <s v=" 115736.6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192.168.24.208\images\R&amp;D\2-Test oestrogénique\OECD and AOPs\REACTIV oecd interlaboratory validation\Results WF\Résultats CBA\2021-CHG-CBA-Anastrozole\plaque 2/@08 Anastrozole 4/A8_01.tif "/>
    <s v=" 8614.487 "/>
    <s v=" 68.6061 "/>
    <x v="0"/>
    <n v="591006"/>
    <m/>
    <m/>
    <m/>
  </r>
  <r>
    <x v="20"/>
    <x v="0"/>
    <s v="\\192.168.24.208\images\R&amp;D\2-Test oestrogénique\OECD and AOPs\REACTIV oecd interlaboratory validation\Results WF\Résultats CBA\2021-CHG-CBA-Anastrozole\plaque 2/@08 Anastrozole 4/A8_02.tif "/>
    <s v=" 9549.8984 "/>
    <s v=" 73.3599 "/>
    <x v="0"/>
    <n v="700580"/>
    <m/>
    <m/>
    <m/>
  </r>
  <r>
    <x v="20"/>
    <x v="0"/>
    <s v="\\192.168.24.208\images\R&amp;D\2-Test oestrogénique\OECD and AOPs\REACTIV oecd interlaboratory validation\Results WF\Résultats CBA\2021-CHG-CBA-Anastrozole\plaque 2/@08 Anastrozole 4/A8_03.tif "/>
    <s v=" 12116.8415 "/>
    <s v=" 70.5206 "/>
    <x v="0"/>
    <n v="854487"/>
    <m/>
    <m/>
    <m/>
  </r>
  <r>
    <x v="20"/>
    <x v="1"/>
    <s v="\\192.168.24.208\images\R&amp;D\2-Test oestrogénique\OECD and AOPs\REACTIV oecd interlaboratory validation\Results WF\Résultats CBA\2021-CHG-CBA-Anastrozole\plaque 2/@08 Anastrozole 4/B8_01.tif "/>
    <s v=" 5112.1324 "/>
    <s v=" 71.566 "/>
    <x v="0"/>
    <n v="365855"/>
    <m/>
    <m/>
    <m/>
  </r>
  <r>
    <x v="20"/>
    <x v="1"/>
    <s v="\\192.168.24.208\images\R&amp;D\2-Test oestrogénique\OECD and AOPs\REACTIV oecd interlaboratory validation\Results WF\Résultats CBA\2021-CHG-CBA-Anastrozole\plaque 2/@08 Anastrozole 4/B8_02.tif "/>
    <s v=" 3437.0933 "/>
    <s v=" 63.9747 "/>
    <x v="0"/>
    <n v="219887"/>
    <m/>
    <m/>
    <m/>
  </r>
  <r>
    <x v="20"/>
    <x v="1"/>
    <s v="\\192.168.24.208\images\R&amp;D\2-Test oestrogénique\OECD and AOPs\REACTIV oecd interlaboratory validation\Results WF\Résultats CBA\2021-CHG-CBA-Anastrozole\plaque 2/@08 Anastrozole 4/B8_03.tif "/>
    <s v=" 7439.7842 "/>
    <s v=" 67.0497 "/>
    <x v="0"/>
    <n v="498835"/>
    <m/>
    <m/>
    <m/>
  </r>
  <r>
    <x v="20"/>
    <x v="2"/>
    <s v="\\192.168.24.208\images\R&amp;D\2-Test oestrogénique\OECD and AOPs\REACTIV oecd interlaboratory validation\Results WF\Résultats CBA\2021-CHG-CBA-Anastrozole\plaque 2/@08 Anastrozole 4/C8_01.tif "/>
    <s v=" 543.8439 "/>
    <s v=" 63.52 "/>
    <x v="0"/>
    <n v="34545"/>
    <m/>
    <m/>
    <m/>
  </r>
  <r>
    <x v="20"/>
    <x v="2"/>
    <s v="\\192.168.24.208\images\R&amp;D\2-Test oestrogénique\OECD and AOPs\REACTIV oecd interlaboratory validation\Results WF\Résultats CBA\2021-CHG-CBA-Anastrozole\plaque 2/@08 Anastrozole 4/C8_02.tif "/>
    <s v=" 761.3814 "/>
    <s v=" 62.8857 "/>
    <x v="0"/>
    <n v="47880"/>
    <m/>
    <m/>
    <m/>
  </r>
  <r>
    <x v="20"/>
    <x v="2"/>
    <s v="\\192.168.24.208\images\R&amp;D\2-Test oestrogénique\OECD and AOPs\REACTIV oecd interlaboratory validation\Results WF\Résultats CBA\2021-CHG-CBA-Anastrozole\plaque 2/@08 Anastrozole 4/C8_03.tif "/>
    <s v=" 674.3664 "/>
    <s v=" 63.4516 "/>
    <x v="0"/>
    <n v="42790"/>
    <m/>
    <m/>
    <m/>
  </r>
  <r>
    <x v="20"/>
    <x v="3"/>
    <s v="\\192.168.24.208\images\R&amp;D\2-Test oestrogénique\OECD and AOPs\REACTIV oecd interlaboratory validation\Results WF\Résultats CBA\2021-CHG-CBA-Anastrozole\plaque 2/@08 Anastrozole 4/D8_01.tif "/>
    <s v=" 1544.5166 "/>
    <s v=" 64.3099 "/>
    <x v="0"/>
    <n v="99328"/>
    <m/>
    <m/>
    <m/>
  </r>
  <r>
    <x v="20"/>
    <x v="3"/>
    <s v="\\192.168.24.208\images\R&amp;D\2-Test oestrogénique\OECD and AOPs\REACTIV oecd interlaboratory validation\Results WF\Résultats CBA\2021-CHG-CBA-Anastrozole\plaque 2/@08 Anastrozole 4/D8_02.tif "/>
    <s v=" 3589.3696 "/>
    <s v=" 65.8121 "/>
    <x v="0"/>
    <n v="236224"/>
    <m/>
    <m/>
    <m/>
  </r>
  <r>
    <x v="20"/>
    <x v="3"/>
    <s v="\\192.168.24.208\images\R&amp;D\2-Test oestrogénique\OECD and AOPs\REACTIV oecd interlaboratory validation\Results WF\Résultats CBA\2021-CHG-CBA-Anastrozole\plaque 2/@08 Anastrozole 4/D8_03.tif "/>
    <s v=" 935.4115 "/>
    <s v=" 63.3256 "/>
    <x v="0"/>
    <n v="59235"/>
    <m/>
    <m/>
    <m/>
  </r>
  <r>
    <x v="20"/>
    <x v="4"/>
    <s v="\\192.168.24.208\images\R&amp;D\2-Test oestrogénique\OECD and AOPs\REACTIV oecd interlaboratory validation\Results WF\Résultats CBA\2021-CHG-CBA-Anastrozole\plaque 2/@08 Anastrozole 4/E8_01.tif "/>
    <s v=" 1936.0842 "/>
    <s v=" 64.7303 "/>
    <x v="0"/>
    <n v="125323"/>
    <m/>
    <m/>
    <m/>
  </r>
  <r>
    <x v="20"/>
    <x v="4"/>
    <s v="\\192.168.24.208\images\R&amp;D\2-Test oestrogénique\OECD and AOPs\REACTIV oecd interlaboratory validation\Results WF\Résultats CBA\2021-CHG-CBA-Anastrozole\plaque 2/@08 Anastrozole 4/E8_02.tif "/>
    <s v=" 2088.3605 "/>
    <s v=" 63.9479 "/>
    <x v="0"/>
    <n v="133546"/>
    <m/>
    <m/>
    <m/>
  </r>
  <r>
    <x v="20"/>
    <x v="4"/>
    <s v="\\192.168.24.208\images\R&amp;D\2-Test oestrogénique\OECD and AOPs\REACTIV oecd interlaboratory validation\Results WF\Résultats CBA\2021-CHG-CBA-Anastrozole\plaque 2/@08 Anastrozole 4/E8_03.tif "/>
    <s v=" 2740.9731 "/>
    <s v=" 64.246 "/>
    <x v="0"/>
    <n v="176097"/>
    <m/>
    <m/>
    <m/>
  </r>
  <r>
    <x v="20"/>
    <x v="5"/>
    <s v="\\192.168.24.208\images\R&amp;D\2-Test oestrogénique\OECD and AOPs\REACTIV oecd interlaboratory validation\Results WF\Résultats CBA\2021-CHG-CBA-Anastrozole\plaque 2/@08 Anastrozole 4/F8_01.tif "/>
    <s v=" 848.3964 "/>
    <s v=" 63.4103 "/>
    <x v="0"/>
    <n v="53797"/>
    <m/>
    <m/>
    <m/>
  </r>
  <r>
    <x v="20"/>
    <x v="5"/>
    <s v="\\192.168.24.208\images\R&amp;D\2-Test oestrogénique\OECD and AOPs\REACTIV oecd interlaboratory validation\Results WF\Résultats CBA\2021-CHG-CBA-Anastrozole\plaque 2/@08 Anastrozole 4/F8_02.tif "/>
    <s v=" 1065.934 "/>
    <s v=" 63.1429 "/>
    <x v="0"/>
    <n v="67306"/>
    <m/>
    <m/>
    <m/>
  </r>
  <r>
    <x v="20"/>
    <x v="5"/>
    <s v="\\192.168.24.208\images\R&amp;D\2-Test oestrogénique\OECD and AOPs\REACTIV oecd interlaboratory validation\Results WF\Résultats CBA\2021-CHG-CBA-Anastrozole\plaque 2/@08 Anastrozole 4/F8_03.tif "/>
    <s v=" 1805.5617 "/>
    <s v=" 64.4096 "/>
    <x v="0"/>
    <n v="116296"/>
    <m/>
    <m/>
    <m/>
  </r>
  <r>
    <x v="20"/>
    <x v="6"/>
    <s v="\\192.168.24.208\images\R&amp;D\2-Test oestrogénique\OECD and AOPs\REACTIV oecd interlaboratory validation\Results WF\Résultats CBA\2021-CHG-CBA-Anastrozole\plaque 2/@08 Anastrozole 4/G8_01.tif "/>
    <s v=" 5764.7451 "/>
    <s v=" 72.4113 "/>
    <x v="0"/>
    <n v="417433"/>
    <m/>
    <m/>
    <m/>
  </r>
  <r>
    <x v="20"/>
    <x v="6"/>
    <s v="\\192.168.24.208\images\R&amp;D\2-Test oestrogénique\OECD and AOPs\REACTIV oecd interlaboratory validation\Results WF\Résultats CBA\2021-CHG-CBA-Anastrozole\plaque 2/@08 Anastrozole 4/G8_02.tif "/>
    <s v=" 5264.4087 "/>
    <s v=" 70.6777 "/>
    <x v="0"/>
    <n v="372076"/>
    <m/>
    <m/>
    <m/>
  </r>
  <r>
    <x v="20"/>
    <x v="6"/>
    <s v="\\192.168.24.208\images\R&amp;D\2-Test oestrogénique\OECD and AOPs\REACTIV oecd interlaboratory validation\Results WF\Résultats CBA\2021-CHG-CBA-Anastrozole\plaque 2/@08 Anastrozole 4/G8_03.tif "/>
    <s v=" 5220.9012 "/>
    <s v=" 71.4958 "/>
    <x v="0"/>
    <n v="373273"/>
    <m/>
    <m/>
    <m/>
  </r>
  <r>
    <x v="20"/>
    <x v="7"/>
    <s v="\\192.168.24.208\images\R&amp;D\2-Test oestrogénique\OECD and AOPs\REACTIV oecd interlaboratory validation\Results WF\Résultats CBA\2021-CHG-CBA-Anastrozole\plaque 2/@08 Anastrozole 4/H8_01.tif "/>
    <s v=" 8135.9044 "/>
    <s v=" 71.2005 "/>
    <x v="0"/>
    <n v="579281"/>
    <m/>
    <m/>
    <m/>
  </r>
  <r>
    <x v="20"/>
    <x v="7"/>
    <s v="\\192.168.24.208\images\R&amp;D\2-Test oestrogénique\OECD and AOPs\REACTIV oecd interlaboratory validation\Results WF\Résultats CBA\2021-CHG-CBA-Anastrozole\plaque 2/@08 Anastrozole 4/H8_02.tif "/>
    <s v=" 522.0901 "/>
    <s v=" 64.4583 "/>
    <x v="0"/>
    <n v="33653"/>
    <m/>
    <m/>
    <m/>
  </r>
  <r>
    <x v="20"/>
    <x v="7"/>
    <s v="\\192.168.24.208\images\R&amp;D\2-Test oestrogénique\OECD and AOPs\REACTIV oecd interlaboratory validation\Results WF\Résultats CBA\2021-CHG-CBA-Anastrozole\plaque 2/@08 Anastrozole 4/H8_03.tif "/>
    <s v=" 9288.8534 "/>
    <s v=" 75.5059 "/>
    <x v="0"/>
    <n v="701363"/>
    <m/>
    <m/>
    <m/>
  </r>
  <r>
    <x v="1"/>
    <x v="8"/>
    <s v=" "/>
    <m/>
    <m/>
    <x v="1"/>
    <m/>
    <m/>
    <m/>
    <m/>
  </r>
  <r>
    <x v="1"/>
    <x v="8"/>
    <s v="group "/>
    <s v=" "/>
    <s v=" mean of mean fluo "/>
    <x v="2"/>
    <s v=" mean of total fluo "/>
    <s v=" SD total fluo "/>
    <s v=" n fluorescent "/>
    <s v=" n total"/>
  </r>
  <r>
    <x v="20"/>
    <x v="9"/>
    <s v="\\192.168.24.208\images\R&amp;D\2-Test oestrogénique\OECD and AOPs\REACTIV oecd interlaboratory validation\Results WF\Résultats CBA\2021-CHG-CBA-Anastrozole\plaque 2/@08 Anastrozole 4/ "/>
    <s v=" "/>
    <s v=" 67.0008 "/>
    <x v="22"/>
    <n v="287504"/>
    <s v=" 251785.3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192.168.24.208\images\R&amp;D\2-Test oestrogénique\OECD and AOPs\REACTIV oecd interlaboratory validation\Results WF\Résultats CBA\2021-CHG-CBA-Anastrozole\plaque 2/@09 Anastrozole 20/A9_01.tif "/>
    <s v=" 4633.5498 "/>
    <s v=" 67.3709 "/>
    <x v="0"/>
    <n v="312166"/>
    <m/>
    <m/>
    <m/>
  </r>
  <r>
    <x v="21"/>
    <x v="0"/>
    <s v="\\192.168.24.208\images\R&amp;D\2-Test oestrogénique\OECD and AOPs\REACTIV oecd interlaboratory validation\Results WF\Résultats CBA\2021-CHG-CBA-Anastrozole\plaque 2/@09 Anastrozole 20/A9_02.tif "/>
    <s v=" 6700.1565 "/>
    <s v=" 79.4643 "/>
    <x v="0"/>
    <n v="532423"/>
    <m/>
    <m/>
    <m/>
  </r>
  <r>
    <x v="21"/>
    <x v="0"/>
    <s v="\\192.168.24.208\images\R&amp;D\2-Test oestrogénique\OECD and AOPs\REACTIV oecd interlaboratory validation\Results WF\Résultats CBA\2021-CHG-CBA-Anastrozole\plaque 2/@09 Anastrozole 20/A9_03.tif "/>
    <s v=" 3023.7719 "/>
    <s v=" 66.5468 "/>
    <x v="0"/>
    <n v="201222"/>
    <m/>
    <m/>
    <m/>
  </r>
  <r>
    <x v="21"/>
    <x v="1"/>
    <s v="\\192.168.24.208\images\R&amp;D\2-Test oestrogénique\OECD and AOPs\REACTIV oecd interlaboratory validation\Results WF\Résultats CBA\2021-CHG-CBA-Anastrozole\plaque 2/@09 Anastrozole 20/B9_01.tif "/>
    <s v=" 2719.2194 "/>
    <s v=" 64.048 "/>
    <x v="0"/>
    <n v="174161"/>
    <m/>
    <m/>
    <m/>
  </r>
  <r>
    <x v="21"/>
    <x v="1"/>
    <s v="\\192.168.24.208\images\R&amp;D\2-Test oestrogénique\OECD and AOPs\REACTIV oecd interlaboratory validation\Results WF\Résultats CBA\2021-CHG-CBA-Anastrozole\plaque 2/@09 Anastrozole 20/B9_02.tif "/>
    <s v=" 3632.8771 "/>
    <s v=" 63.982 "/>
    <x v="0"/>
    <n v="232439"/>
    <m/>
    <m/>
    <m/>
  </r>
  <r>
    <x v="21"/>
    <x v="1"/>
    <s v="\\192.168.24.208\images\R&amp;D\2-Test oestrogénique\OECD and AOPs\REACTIV oecd interlaboratory validation\Results WF\Résultats CBA\2021-CHG-CBA-Anastrozole\plaque 2/@09 Anastrozole 20/B9_03.tif "/>
    <s v=" 2392.9131 "/>
    <s v=" 63.9364 "/>
    <x v="0"/>
    <n v="152994"/>
    <m/>
    <m/>
    <m/>
  </r>
  <r>
    <x v="21"/>
    <x v="2"/>
    <s v="\\192.168.24.208\images\R&amp;D\2-Test oestrogénique\OECD and AOPs\REACTIV oecd interlaboratory validation\Results WF\Résultats CBA\2021-CHG-CBA-Anastrozole\plaque 2/@09 Anastrozole 20/C9_01.tif "/>
    <s v=" 7113.4779 "/>
    <s v=" 72.2294 "/>
    <x v="0"/>
    <n v="513802"/>
    <m/>
    <m/>
    <m/>
  </r>
  <r>
    <x v="21"/>
    <x v="2"/>
    <s v="\\192.168.24.208\images\R&amp;D\2-Test oestrogénique\OECD and AOPs\REACTIV oecd interlaboratory validation\Results WF\Résultats CBA\2021-CHG-CBA-Anastrozole\plaque 2/@09 Anastrozole 20/C9_02.tif "/>
    <s v=" 369.8138 "/>
    <s v=" 63.5294 "/>
    <x v="0"/>
    <n v="23494"/>
    <m/>
    <m/>
    <m/>
  </r>
  <r>
    <x v="21"/>
    <x v="2"/>
    <s v="\\192.168.24.208\images\R&amp;D\2-Test oestrogénique\OECD and AOPs\REACTIV oecd interlaboratory validation\Results WF\Résultats CBA\2021-CHG-CBA-Anastrozole\plaque 2/@09 Anastrozole 20/C9_03.tif "/>
    <s v=" 761.3814 "/>
    <s v=" 64.4571 "/>
    <x v="0"/>
    <n v="49076"/>
    <m/>
    <m/>
    <m/>
  </r>
  <r>
    <x v="21"/>
    <x v="3"/>
    <s v="\\192.168.24.208\images\R&amp;D\2-Test oestrogénique\OECD and AOPs\REACTIV oecd interlaboratory validation\Results WF\Résultats CBA\2021-CHG-CBA-Anastrozole\plaque 2/@09 Anastrozole 20/D9_01.tif "/>
    <s v=" 7004.7091 "/>
    <s v=" 77.4783 "/>
    <x v="0"/>
    <n v="542713"/>
    <m/>
    <m/>
    <m/>
  </r>
  <r>
    <x v="21"/>
    <x v="3"/>
    <s v="\\192.168.24.208\images\R&amp;D\2-Test oestrogénique\OECD and AOPs\REACTIV oecd interlaboratory validation\Results WF\Résultats CBA\2021-CHG-CBA-Anastrozole\plaque 2/@09 Anastrozole 20/D9_02.tif "/>
    <s v=" 739.6277 "/>
    <s v=" 62.8235 "/>
    <x v="0"/>
    <n v="46466"/>
    <m/>
    <m/>
    <m/>
  </r>
  <r>
    <x v="21"/>
    <x v="3"/>
    <s v="\\192.168.24.208\images\R&amp;D\2-Test oestrogénique\OECD and AOPs\REACTIV oecd interlaboratory validation\Results WF\Résultats CBA\2021-CHG-CBA-Anastrozole\plaque 2/@09 Anastrozole 20/D9_03.tif "/>
    <s v=" 6004.0364 "/>
    <s v=" 73.7464 "/>
    <x v="0"/>
    <n v="442776"/>
    <m/>
    <m/>
    <m/>
  </r>
  <r>
    <x v="21"/>
    <x v="4"/>
    <s v="\\192.168.24.208\images\R&amp;D\2-Test oestrogénique\OECD and AOPs\REACTIV oecd interlaboratory validation\Results WF\Résultats CBA\2021-CHG-CBA-Anastrozole\plaque 2/@09 Anastrozole 20/E9_01.tif "/>
    <s v=" 4981.6099 "/>
    <s v=" 69.869 "/>
    <x v="0"/>
    <n v="348060"/>
    <m/>
    <m/>
    <m/>
  </r>
  <r>
    <x v="21"/>
    <x v="4"/>
    <s v="\\192.168.24.208\images\R&amp;D\2-Test oestrogénique\OECD and AOPs\REACTIV oecd interlaboratory validation\Results WF\Résultats CBA\2021-CHG-CBA-Anastrozole\plaque 2/@09 Anastrozole 20/E9_02.tif "/>
    <s v=" 1087.6878 "/>
    <s v=" 64.26 "/>
    <x v="0"/>
    <n v="69895"/>
    <m/>
    <m/>
    <m/>
  </r>
  <r>
    <x v="21"/>
    <x v="4"/>
    <s v="\\192.168.24.208\images\R&amp;D\2-Test oestrogénique\OECD and AOPs\REACTIV oecd interlaboratory validation\Results WF\Résultats CBA\2021-CHG-CBA-Anastrozole\plaque 2/@09 Anastrozole 20/E9_03.tif "/>
    <s v=" 3045.5257 "/>
    <s v=" 69.1286 "/>
    <x v="0"/>
    <n v="210533"/>
    <m/>
    <m/>
    <m/>
  </r>
  <r>
    <x v="21"/>
    <x v="5"/>
    <s v="\\192.168.24.208\images\R&amp;D\2-Test oestrogénique\OECD and AOPs\REACTIV oecd interlaboratory validation\Results WF\Résultats CBA\2021-CHG-CBA-Anastrozole\plaque 2/@09 Anastrozole 20/F9_01.tif "/>
    <s v=" 2479.9281 "/>
    <s v=" 65.1404 "/>
    <x v="0"/>
    <n v="161543"/>
    <m/>
    <m/>
    <m/>
  </r>
  <r>
    <x v="21"/>
    <x v="5"/>
    <s v="\\192.168.24.208\images\R&amp;D\2-Test oestrogénique\OECD and AOPs\REACTIV oecd interlaboratory validation\Results WF\Résultats CBA\2021-CHG-CBA-Anastrozole\plaque 2/@09 Anastrozole 20/F9_02.tif "/>
    <s v=" 1239.964 "/>
    <s v=" 63.193 "/>
    <x v="0"/>
    <n v="78357"/>
    <m/>
    <m/>
    <m/>
  </r>
  <r>
    <x v="21"/>
    <x v="5"/>
    <s v="\\192.168.24.208\images\R&amp;D\2-Test oestrogénique\OECD and AOPs\REACTIV oecd interlaboratory validation\Results WF\Résultats CBA\2021-CHG-CBA-Anastrozole\plaque 2/@09 Anastrozole 20/F9_03.tif "/>
    <s v=" 696.1202 "/>
    <s v=" 61.7812 "/>
    <x v="0"/>
    <n v="43007"/>
    <m/>
    <m/>
    <m/>
  </r>
  <r>
    <x v="21"/>
    <x v="6"/>
    <s v="\\192.168.24.208\images\R&amp;D\2-Test oestrogénique\OECD and AOPs\REACTIV oecd interlaboratory validation\Results WF\Résultats CBA\2021-CHG-CBA-Anastrozole\plaque 2/@09 Anastrozole 20/G9_01.tif "/>
    <s v=" 282.7988 "/>
    <s v=" 64.0769 "/>
    <x v="0"/>
    <n v="18121"/>
    <m/>
    <m/>
    <m/>
  </r>
  <r>
    <x v="21"/>
    <x v="6"/>
    <s v="\\192.168.24.208\images\R&amp;D\2-Test oestrogénique\OECD and AOPs\REACTIV oecd interlaboratory validation\Results WF\Résultats CBA\2021-CHG-CBA-Anastrozole\plaque 2/@09 Anastrozole 20/G9_02.tif "/>
    <s v=" 239.2913 "/>
    <s v=" 64.5455 "/>
    <x v="0"/>
    <n v="15445"/>
    <m/>
    <m/>
    <m/>
  </r>
  <r>
    <x v="21"/>
    <x v="6"/>
    <s v="\\192.168.24.208\images\R&amp;D\2-Test oestrogénique\OECD and AOPs\REACTIV oecd interlaboratory validation\Results WF\Résultats CBA\2021-CHG-CBA-Anastrozole\plaque 2/@09 Anastrozole 20/G9_03.tif "/>
    <s v=" 174.03 "/>
    <n v="64"/>
    <x v="0"/>
    <n v="11138"/>
    <m/>
    <m/>
    <m/>
  </r>
  <r>
    <x v="21"/>
    <x v="7"/>
    <s v="\\192.168.24.208\images\R&amp;D\2-Test oestrogénique\OECD and AOPs\REACTIV oecd interlaboratory validation\Results WF\Résultats CBA\2021-CHG-CBA-Anastrozole\plaque 2/@09 Anastrozole 20/H9_01.tif "/>
    <s v=" 3567.6158 "/>
    <s v=" 63.8963 "/>
    <x v="0"/>
    <n v="227958"/>
    <m/>
    <m/>
    <m/>
  </r>
  <r>
    <x v="21"/>
    <x v="7"/>
    <s v="\\192.168.24.208\images\R&amp;D\2-Test oestrogénique\OECD and AOPs\REACTIV oecd interlaboratory validation\Results WF\Résultats CBA\2021-CHG-CBA-Anastrozole\plaque 2/@09 Anastrozole 20/H9_02.tif "/>
    <s v=" 10594.0787 "/>
    <s v=" 70.0185 "/>
    <x v="0"/>
    <n v="741781"/>
    <m/>
    <m/>
    <m/>
  </r>
  <r>
    <x v="21"/>
    <x v="7"/>
    <s v="\\192.168.24.208\images\R&amp;D\2-Test oestrogénique\OECD and AOPs\REACTIV oecd interlaboratory validation\Results WF\Résultats CBA\2021-CHG-CBA-Anastrozole\plaque 2/@09 Anastrozole 20/H9_03.tif "/>
    <s v=" 9549.8984 "/>
    <s v=" 74.6583 "/>
    <x v="0"/>
    <n v="712979"/>
    <m/>
    <m/>
    <m/>
  </r>
  <r>
    <x v="1"/>
    <x v="8"/>
    <s v=" "/>
    <m/>
    <m/>
    <x v="1"/>
    <m/>
    <m/>
    <m/>
    <m/>
  </r>
  <r>
    <x v="1"/>
    <x v="8"/>
    <s v="group "/>
    <s v=" "/>
    <s v=" mean of mean fluo "/>
    <x v="2"/>
    <s v=" mean of total fluo "/>
    <s v=" SD total fluo "/>
    <s v=" n fluorescent "/>
    <s v=" n total"/>
  </r>
  <r>
    <x v="21"/>
    <x v="9"/>
    <s v="\\192.168.24.208\images\R&amp;D\2-Test oestrogénique\OECD and AOPs\REACTIV oecd interlaboratory validation\Results WF\Résultats CBA\2021-CHG-CBA-Anastrozole\plaque 2/@09 Anastrozole 20/ "/>
    <s v=" "/>
    <s v=" 67.2575 "/>
    <x v="23"/>
    <s v=" 244272.875 "/>
    <s v=" 225782.915 "/>
    <n v="24"/>
    <n v="24"/>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325\plaque 1/@01 Evian + 0.2% DMSO/A1_01.tif "/>
    <s v=" 735.4164 "/>
    <s v=" 69.1471 "/>
    <x v="0"/>
    <n v="50852"/>
    <m/>
    <m/>
    <m/>
  </r>
  <r>
    <x v="0"/>
    <x v="0"/>
    <s v="F:\images\20210325\plaque 1/@01 Evian + 0.2% DMSO/A1_02.tif "/>
    <s v=" 108.1495 "/>
    <s v=" 62.2 "/>
    <x v="0"/>
    <n v="6727"/>
    <m/>
    <m/>
    <m/>
  </r>
  <r>
    <x v="0"/>
    <x v="0"/>
    <s v="F:\images\20210325\plaque 1/@01 Evian + 0.2% DMSO/A1_03.tif "/>
    <s v=" 302.8185 "/>
    <s v=" 66.2143 "/>
    <x v="0"/>
    <n v="20051"/>
    <m/>
    <m/>
    <m/>
  </r>
  <r>
    <x v="0"/>
    <x v="1"/>
    <s v="F:\images\20210325\plaque 1/@01 Evian + 0.2% DMSO/B1_01.tif "/>
    <s v=" 1211.2741 "/>
    <s v=" 64.8393 "/>
    <x v="0"/>
    <n v="78538"/>
    <m/>
    <m/>
    <m/>
  </r>
  <r>
    <x v="0"/>
    <x v="1"/>
    <s v="F:\images\20210325\plaque 1/@01 Evian + 0.2% DMSO/B1_02.tif "/>
    <s v=" 4088.0501 "/>
    <s v=" 67.2328 "/>
    <x v="0"/>
    <n v="274851"/>
    <m/>
    <m/>
    <m/>
  </r>
  <r>
    <x v="0"/>
    <x v="1"/>
    <s v="F:\images\20210325\plaque 1/@01 Evian + 0.2% DMSO/B1_03.tif "/>
    <s v=" 1968.3204 "/>
    <s v=" 64.4945 "/>
    <x v="0"/>
    <n v="126946"/>
    <m/>
    <m/>
    <m/>
  </r>
  <r>
    <x v="0"/>
    <x v="2"/>
    <s v="F:\images\20210325\plaque 1/@01 Evian + 0.2% DMSO/C1_01.tif "/>
    <s v=" 1254.5339 "/>
    <s v=" 65.6897 "/>
    <x v="0"/>
    <n v="82410"/>
    <m/>
    <m/>
    <m/>
  </r>
  <r>
    <x v="0"/>
    <x v="2"/>
    <s v="F:\images\20210325\plaque 1/@01 Evian + 0.2% DMSO/C1_02.tif "/>
    <s v=" 1405.9432 "/>
    <s v=" 65.2308 "/>
    <x v="0"/>
    <n v="91711"/>
    <m/>
    <m/>
    <m/>
  </r>
  <r>
    <x v="0"/>
    <x v="2"/>
    <s v="F:\images\20210325\plaque 1/@01 Evian + 0.2% DMSO/C1_03.tif "/>
    <s v=" 1622.2421 "/>
    <s v=" 64.5067 "/>
    <x v="0"/>
    <n v="104645"/>
    <m/>
    <m/>
    <m/>
  </r>
  <r>
    <x v="0"/>
    <x v="3"/>
    <s v="F:\images\20210325\plaque 1/@01 Evian + 0.2% DMSO/D1_01.tif "/>
    <s v=" 1449.2029 "/>
    <s v=" 63.597 "/>
    <x v="0"/>
    <n v="92165"/>
    <m/>
    <m/>
    <m/>
  </r>
  <r>
    <x v="0"/>
    <x v="3"/>
    <s v="F:\images\20210325\plaque 1/@01 Evian + 0.2% DMSO/D1_02.tif "/>
    <s v=" 2746.9966 "/>
    <s v=" 64.9764 "/>
    <x v="0"/>
    <n v="178490"/>
    <m/>
    <m/>
    <m/>
  </r>
  <r>
    <x v="0"/>
    <x v="3"/>
    <s v="F:\images\20210325\plaque 1/@01 Evian + 0.2% DMSO/D1_03.tif "/>
    <s v=" 1989.9503 "/>
    <s v=" 64.7174 "/>
    <x v="0"/>
    <n v="128784"/>
    <m/>
    <m/>
    <m/>
  </r>
  <r>
    <x v="0"/>
    <x v="4"/>
    <s v="F:\images\20210325\plaque 1/@01 Evian + 0.2% DMSO/E1_01.tif "/>
    <s v=" 1752.0215 "/>
    <s v=" 65.0123 "/>
    <x v="0"/>
    <n v="113903"/>
    <m/>
    <m/>
    <m/>
  </r>
  <r>
    <x v="0"/>
    <x v="4"/>
    <s v="F:\images\20210325\plaque 1/@01 Evian + 0.2% DMSO/E1_02.tif "/>
    <s v=" 1124.7545 "/>
    <s v=" 65.6731 "/>
    <x v="0"/>
    <n v="73866"/>
    <m/>
    <m/>
    <m/>
  </r>
  <r>
    <x v="0"/>
    <x v="4"/>
    <s v="F:\images\20210325\plaque 1/@01 Evian + 0.2% DMSO/E1_03.tif "/>
    <s v=" 410.968 "/>
    <s v=" 62.9474 "/>
    <x v="0"/>
    <n v="25869"/>
    <m/>
    <m/>
    <m/>
  </r>
  <r>
    <x v="0"/>
    <x v="5"/>
    <s v="F:\images\20210325\plaque 1/@01 Evian + 0.2% DMSO/F1_01.tif "/>
    <s v=" 4325.9789 "/>
    <s v=" 69.61 "/>
    <x v="0"/>
    <n v="301131"/>
    <m/>
    <m/>
    <m/>
  </r>
  <r>
    <x v="0"/>
    <x v="5"/>
    <s v="F:\images\20210325\plaque 1/@01 Evian + 0.2% DMSO/F1_02.tif "/>
    <s v=" 757.0463 "/>
    <s v=" 63.2286 "/>
    <x v="0"/>
    <n v="47867"/>
    <m/>
    <m/>
    <m/>
  </r>
  <r>
    <x v="0"/>
    <x v="5"/>
    <s v="F:\images\20210325\plaque 1/@01 Evian + 0.2% DMSO/F1_03.tif "/>
    <s v=" 670.5267 "/>
    <s v=" 63.4839 "/>
    <x v="0"/>
    <n v="42568"/>
    <m/>
    <m/>
    <m/>
  </r>
  <r>
    <x v="0"/>
    <x v="6"/>
    <s v="F:\images\20210325\plaque 1/@01 Evian + 0.2% DMSO/G1_01.tif "/>
    <s v=" 778.6762 "/>
    <s v=" 63.0278 "/>
    <x v="0"/>
    <n v="49078"/>
    <m/>
    <m/>
    <m/>
  </r>
  <r>
    <x v="0"/>
    <x v="6"/>
    <s v="F:\images\20210325\plaque 1/@01 Evian + 0.2% DMSO/G1_02.tif "/>
    <s v=" 994.9752 "/>
    <s v=" 64.0217 "/>
    <x v="0"/>
    <n v="63700"/>
    <m/>
    <m/>
    <m/>
  </r>
  <r>
    <x v="0"/>
    <x v="6"/>
    <s v="F:\images\20210325\plaque 1/@01 Evian + 0.2% DMSO/G1_03.tif "/>
    <s v=" 2011.5802 "/>
    <s v=" 65.0645 "/>
    <x v="0"/>
    <n v="130882"/>
    <m/>
    <m/>
    <m/>
  </r>
  <r>
    <x v="0"/>
    <x v="7"/>
    <s v="F:\images\20210325\plaque 1/@01 Evian + 0.2% DMSO/H1_01.tif "/>
    <s v=" 1860.1709 "/>
    <s v=" 69.2209 "/>
    <x v="0"/>
    <n v="128763"/>
    <m/>
    <m/>
    <m/>
  </r>
  <r>
    <x v="0"/>
    <x v="7"/>
    <s v="F:\images\20210325\plaque 1/@01 Evian + 0.2% DMSO/H1_02.tif "/>
    <s v=" 475.8577 "/>
    <s v=" 63.5909 "/>
    <x v="0"/>
    <n v="30260"/>
    <m/>
    <m/>
    <m/>
  </r>
  <r>
    <x v="0"/>
    <x v="7"/>
    <s v="F:\images\20210325\plaque 1/@01 Evian + 0.2% DMSO/H1_03.tif "/>
    <s v=" 670.5267 "/>
    <s v=" 63.5484 "/>
    <x v="0"/>
    <n v="42611"/>
    <m/>
    <m/>
    <m/>
  </r>
  <r>
    <x v="1"/>
    <x v="8"/>
    <s v=" "/>
    <m/>
    <m/>
    <x v="1"/>
    <m/>
    <m/>
    <m/>
    <m/>
  </r>
  <r>
    <x v="1"/>
    <x v="8"/>
    <s v="group "/>
    <s v=" "/>
    <s v=" mean of mean fluo "/>
    <x v="2"/>
    <s v=" mean of total fluo "/>
    <s v=" SD total fluo "/>
    <s v=" n fluorescent "/>
    <s v=" n total"/>
  </r>
  <r>
    <x v="0"/>
    <x v="9"/>
    <s v="F:\images\20210325\plaque 1/@01 Evian + 0.2% DMSO/ "/>
    <s v=" "/>
    <s v=" 65.0531 "/>
    <x v="3"/>
    <s v=" 95277.8333 "/>
    <s v=" 73090.90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25\plaque 1/@02 EE2 33.8/A2_01.tif "/>
    <s v=" 432.5979 "/>
    <s v=" 62.85 "/>
    <x v="0"/>
    <n v="27189"/>
    <m/>
    <m/>
    <m/>
  </r>
  <r>
    <x v="2"/>
    <x v="0"/>
    <s v="F:\images\20210325\plaque 1/@02 EE2 33.8/A2_02.tif "/>
    <s v=" 3244.4842 "/>
    <s v=" 64.62 "/>
    <x v="0"/>
    <n v="209659"/>
    <m/>
    <m/>
    <m/>
  </r>
  <r>
    <x v="2"/>
    <x v="0"/>
    <s v="F:\images\20210325\plaque 1/@02 EE2 33.8/A2_03.tif "/>
    <s v=" 5580.5128 "/>
    <n v="66"/>
    <x v="0"/>
    <n v="368314"/>
    <m/>
    <m/>
    <m/>
  </r>
  <r>
    <x v="2"/>
    <x v="1"/>
    <s v="F:\images\20210325\plaque 1/@02 EE2 33.8/B2_01.tif "/>
    <s v=" 4109.68 "/>
    <s v=" 68.5526 "/>
    <x v="0"/>
    <n v="281729"/>
    <m/>
    <m/>
    <m/>
  </r>
  <r>
    <x v="2"/>
    <x v="1"/>
    <s v="F:\images\20210325\plaque 1/@02 EE2 33.8/B2_02.tif "/>
    <s v=" 3828.4913 "/>
    <s v=" 69.4915 "/>
    <x v="0"/>
    <n v="266048"/>
    <m/>
    <m/>
    <m/>
  </r>
  <r>
    <x v="2"/>
    <x v="1"/>
    <s v="F:\images\20210325\plaque 1/@02 EE2 33.8/B2_03.tif "/>
    <s v=" 4845.0964 "/>
    <s v=" 69.6161 "/>
    <x v="0"/>
    <n v="337297"/>
    <m/>
    <m/>
    <m/>
  </r>
  <r>
    <x v="2"/>
    <x v="2"/>
    <s v="F:\images\20210325\plaque 1/@02 EE2 33.8/C2_01.tif "/>
    <s v=" 4282.7191 "/>
    <s v=" 68.9596 "/>
    <x v="0"/>
    <n v="295335"/>
    <m/>
    <m/>
    <m/>
  </r>
  <r>
    <x v="2"/>
    <x v="2"/>
    <s v="F:\images\20210325\plaque 1/@02 EE2 33.8/C2_02.tif "/>
    <s v=" 627.2669 "/>
    <s v=" 65.7931 "/>
    <x v="0"/>
    <n v="41270"/>
    <m/>
    <m/>
    <m/>
  </r>
  <r>
    <x v="2"/>
    <x v="2"/>
    <s v="F:\images\20210325\plaque 1/@02 EE2 33.8/C2_03.tif "/>
    <s v=" 540.7474 "/>
    <s v=" 63.88 "/>
    <x v="0"/>
    <n v="34543"/>
    <m/>
    <m/>
    <m/>
  </r>
  <r>
    <x v="2"/>
    <x v="3"/>
    <s v="F:\images\20210325\plaque 1/@02 EE2 33.8/D2_01.tif "/>
    <s v=" 281.1886 "/>
    <n v="64"/>
    <x v="0"/>
    <n v="17996"/>
    <m/>
    <m/>
    <m/>
  </r>
  <r>
    <x v="2"/>
    <x v="3"/>
    <s v="F:\images\20210325\plaque 1/@02 EE2 33.8/D2_02.tif "/>
    <s v=" 108.1495 "/>
    <s v=" 62.8 "/>
    <x v="0"/>
    <n v="6792"/>
    <m/>
    <m/>
    <m/>
  </r>
  <r>
    <x v="2"/>
    <x v="3"/>
    <s v="F:\images\20210325\plaque 1/@02 EE2 33.8/D2_03- exclu.tif"/>
    <m/>
    <m/>
    <x v="1"/>
    <m/>
    <m/>
    <m/>
    <m/>
  </r>
  <r>
    <x v="2"/>
    <x v="4"/>
    <s v="F:\images\20210325\plaque 1/@02 EE2 33.8/E2_01.tif "/>
    <s v=" 2790.2564 "/>
    <s v=" 64.938 "/>
    <x v="0"/>
    <n v="181194"/>
    <m/>
    <m/>
    <m/>
  </r>
  <r>
    <x v="2"/>
    <x v="4"/>
    <s v="F:\images\20210325\plaque 1/@02 EE2 33.8/E2_02.tif "/>
    <s v=" 584.0072 "/>
    <s v=" 62.7037 "/>
    <x v="0"/>
    <n v="36619"/>
    <m/>
    <m/>
    <m/>
  </r>
  <r>
    <x v="2"/>
    <x v="4"/>
    <s v="F:\images\20210325\plaque 1/@02 EE2 33.8/E2_03.tif "/>
    <s v=" 2725.3667 "/>
    <s v=" 65.4365 "/>
    <x v="0"/>
    <n v="178338"/>
    <m/>
    <m/>
    <m/>
  </r>
  <r>
    <x v="2"/>
    <x v="5"/>
    <s v="F:\images\20210325\plaque 1/@02 EE2 33.8/F2_01.tif "/>
    <s v=" 648.8968 "/>
    <s v=" 64.4 "/>
    <x v="0"/>
    <n v="41789"/>
    <m/>
    <m/>
    <m/>
  </r>
  <r>
    <x v="2"/>
    <x v="5"/>
    <s v="F:\images\20210325\plaque 1/@02 EE2 33.8/F2_02.tif "/>
    <s v=" 2292.7688 "/>
    <s v=" 65.4151 "/>
    <x v="0"/>
    <n v="149982"/>
    <m/>
    <m/>
    <m/>
  </r>
  <r>
    <x v="2"/>
    <x v="5"/>
    <s v="F:\images\20210325\plaque 1/@02 EE2 33.8/F2_03.tif "/>
    <s v=" 108.1495 "/>
    <s v=" 63.6 "/>
    <x v="0"/>
    <n v="6878"/>
    <m/>
    <m/>
    <m/>
  </r>
  <r>
    <x v="2"/>
    <x v="6"/>
    <s v="F:\images\20210325\plaque 1/@02 EE2 33.8/G2_01.tif "/>
    <s v=" 843.5659 "/>
    <s v=" 64.0513 "/>
    <x v="0"/>
    <n v="54031"/>
    <m/>
    <m/>
    <m/>
  </r>
  <r>
    <x v="2"/>
    <x v="6"/>
    <s v="F:\images\20210325\plaque 1/@02 EE2 33.8/G2_02.tif "/>
    <s v=" 324.4484 "/>
    <s v=" 62.0667 "/>
    <x v="0"/>
    <n v="20137"/>
    <m/>
    <m/>
    <m/>
  </r>
  <r>
    <x v="2"/>
    <x v="6"/>
    <s v="F:\images\20210325\plaque 1/@02 EE2 33.8/G2_03.tif "/>
    <s v=" 237.9288 "/>
    <s v=" 63.7273 "/>
    <x v="0"/>
    <n v="15163"/>
    <m/>
    <m/>
    <m/>
  </r>
  <r>
    <x v="2"/>
    <x v="7"/>
    <s v="F:\images\20210325\plaque 1/@02 EE2 33.8/H2_01.tif "/>
    <s v=" 648.8968 "/>
    <s v=" 63.9667 "/>
    <x v="0"/>
    <n v="41508"/>
    <m/>
    <m/>
    <m/>
  </r>
  <r>
    <x v="2"/>
    <x v="7"/>
    <s v="F:\images\20210325\plaque 1/@02 EE2 33.8/H2_02.tif "/>
    <s v=" 562.3773 "/>
    <s v=" 63.7308 "/>
    <x v="0"/>
    <n v="35841"/>
    <m/>
    <m/>
    <m/>
  </r>
  <r>
    <x v="2"/>
    <x v="7"/>
    <s v="F:\images\20210325\plaque 1/@02 EE2 33.8/H2_03.tif "/>
    <s v=" 973.3453 "/>
    <s v=" 63.1556 "/>
    <x v="0"/>
    <n v="61472"/>
    <m/>
    <m/>
    <m/>
  </r>
  <r>
    <x v="1"/>
    <x v="8"/>
    <s v=" "/>
    <m/>
    <m/>
    <x v="1"/>
    <m/>
    <m/>
    <m/>
    <m/>
  </r>
  <r>
    <x v="1"/>
    <x v="8"/>
    <s v="group "/>
    <s v=" "/>
    <s v=" mean of mean fluo "/>
    <x v="2"/>
    <s v=" mean of total fluo "/>
    <s v=" SD total fluo "/>
    <s v=" n fluorescent "/>
    <s v=" n total"/>
  </r>
  <r>
    <x v="2"/>
    <x v="9"/>
    <s v="F:\images\20210325\plaque 1/@02 EE2 33.8/ "/>
    <s v=" "/>
    <s v=" 64.9064 "/>
    <x v="4"/>
    <s v=" 113399.292 "/>
    <s v=" 119218.1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25\plaque 1/@03 EE2 50.6/A3_01.tif "/>
    <s v=" 5818.4417 "/>
    <s v=" 68.0297 "/>
    <x v="0"/>
    <n v="395827"/>
    <m/>
    <m/>
    <m/>
  </r>
  <r>
    <x v="3"/>
    <x v="0"/>
    <s v="F:\images\20210325\plaque 1/@03 EE2 50.6/A3_02.tif "/>
    <s v=" 5191.1747 "/>
    <s v=" 66.9625 "/>
    <x v="0"/>
    <n v="347614"/>
    <m/>
    <m/>
    <m/>
  </r>
  <r>
    <x v="3"/>
    <x v="0"/>
    <s v="F:\images\20210325\plaque 1/@03 EE2 50.6/A3_03.tif "/>
    <s v=" 4736.9469 "/>
    <s v=" 68.6667 "/>
    <x v="0"/>
    <n v="325270"/>
    <m/>
    <m/>
    <m/>
  </r>
  <r>
    <x v="3"/>
    <x v="1"/>
    <s v="F:\images\20210325\plaque 1/@03 EE2 50.6/B3_01.tif "/>
    <s v=" 1752.0215 "/>
    <s v=" 63.8272 "/>
    <x v="0"/>
    <n v="111827"/>
    <m/>
    <m/>
    <m/>
  </r>
  <r>
    <x v="3"/>
    <x v="1"/>
    <s v="F:\images\20210325\plaque 1/@03 EE2 50.6/B3_02.tif "/>
    <s v=" 1687.1318 "/>
    <s v=" 64.6282 "/>
    <x v="0"/>
    <n v="109036"/>
    <m/>
    <m/>
    <m/>
  </r>
  <r>
    <x v="3"/>
    <x v="1"/>
    <s v="F:\images\20210325\plaque 1/@03 EE2 50.6/B3_03.tif "/>
    <s v=" 2941.6657 "/>
    <s v=" 67.2721 "/>
    <x v="0"/>
    <n v="197892"/>
    <m/>
    <m/>
    <m/>
  </r>
  <r>
    <x v="3"/>
    <x v="2"/>
    <s v="F:\images\20210325\plaque 1/@03 EE2 50.6/C3_01.tif "/>
    <s v=" 886.8257 "/>
    <s v=" 63.878 "/>
    <x v="0"/>
    <n v="56649"/>
    <m/>
    <m/>
    <m/>
  </r>
  <r>
    <x v="3"/>
    <x v="2"/>
    <s v="F:\images\20210325\plaque 1/@03 EE2 50.6/C3_02.tif "/>
    <s v=" 648.8968 "/>
    <s v=" 62.9333 "/>
    <x v="0"/>
    <n v="40837"/>
    <m/>
    <m/>
    <m/>
  </r>
  <r>
    <x v="3"/>
    <x v="2"/>
    <s v="F:\images\20210325\plaque 1/@03 EE2 50.6/C3_03.tif "/>
    <s v=" 1384.3133 "/>
    <s v=" 64.7344 "/>
    <x v="0"/>
    <n v="89613"/>
    <m/>
    <m/>
    <m/>
  </r>
  <r>
    <x v="3"/>
    <x v="3"/>
    <s v="F:\images\20210325\plaque 1/@03 EE2 50.6/D3_01.tif "/>
    <s v=" 886.8257 "/>
    <s v=" 63.7073 "/>
    <x v="0"/>
    <n v="56497"/>
    <m/>
    <m/>
    <m/>
  </r>
  <r>
    <x v="3"/>
    <x v="3"/>
    <s v="F:\images\20210325\plaque 1/@03 EE2 50.6/D3_02.tif "/>
    <s v=" 973.3453 "/>
    <s v=" 63.1111 "/>
    <x v="0"/>
    <n v="61429"/>
    <m/>
    <m/>
    <m/>
  </r>
  <r>
    <x v="3"/>
    <x v="3"/>
    <s v="F:\images\20210325\plaque 1/@03 EE2 50.6/D3_03.tif "/>
    <s v=" 2768.6265 "/>
    <s v=" 64.1953 "/>
    <x v="0"/>
    <n v="177733"/>
    <m/>
    <m/>
    <m/>
  </r>
  <r>
    <x v="3"/>
    <x v="4"/>
    <s v="F:\images\20210325\plaque 1/@03 EE2 50.6/E3_01.tif "/>
    <s v=" 540.7474 "/>
    <s v=" 62.6 "/>
    <x v="0"/>
    <n v="33851"/>
    <m/>
    <m/>
    <m/>
  </r>
  <r>
    <x v="3"/>
    <x v="4"/>
    <s v="F:\images\20210325\plaque 1/@03 EE2 50.6/E3_02.tif "/>
    <s v=" 454.2278 "/>
    <s v=" 63.4762 "/>
    <x v="0"/>
    <n v="28833"/>
    <m/>
    <m/>
    <m/>
  </r>
  <r>
    <x v="3"/>
    <x v="4"/>
    <s v="F:\images\20210325\plaque 1/@03 EE2 50.6/E3_03.tif "/>
    <s v=" 475.8577 "/>
    <s v=" 67.7273 "/>
    <x v="0"/>
    <n v="32229"/>
    <m/>
    <m/>
    <m/>
  </r>
  <r>
    <x v="3"/>
    <x v="5"/>
    <s v="F:\images\20210325\plaque 1/@03 EE2 50.6/F3_01.tif "/>
    <s v=" 627.2669 "/>
    <n v="66"/>
    <x v="0"/>
    <n v="41400"/>
    <m/>
    <m/>
    <m/>
  </r>
  <r>
    <x v="3"/>
    <x v="5"/>
    <s v="F:\images\20210325\plaque 1/@03 EE2 50.6/F3_02.tif "/>
    <s v=" 584.0072 "/>
    <s v=" 63.4444 "/>
    <x v="0"/>
    <n v="37052"/>
    <m/>
    <m/>
    <m/>
  </r>
  <r>
    <x v="3"/>
    <x v="5"/>
    <s v="F:\images\20210325\plaque 1/@03 EE2 50.6/F3_03.tif "/>
    <s v=" 237.9288 "/>
    <s v=" 62.1818 "/>
    <x v="0"/>
    <n v="14795"/>
    <m/>
    <m/>
    <m/>
  </r>
  <r>
    <x v="3"/>
    <x v="6"/>
    <s v="F:\images\20210325\plaque 1/@03 EE2 50.6/G3_01.tif "/>
    <s v=" 1319.4236 "/>
    <s v=" 62.4262 "/>
    <x v="0"/>
    <n v="82367"/>
    <m/>
    <m/>
    <m/>
  </r>
  <r>
    <x v="3"/>
    <x v="6"/>
    <s v="F:\images\20210325\plaque 1/@03 EE2 50.6/G3_02.tif "/>
    <s v=" 973.3453 "/>
    <s v=" 62.5111 "/>
    <x v="0"/>
    <n v="60845"/>
    <m/>
    <m/>
    <m/>
  </r>
  <r>
    <x v="3"/>
    <x v="6"/>
    <s v="F:\images\20210325\plaque 1/@03 EE2 50.6/G3_03.tif "/>
    <s v=" 1059.8648 "/>
    <s v=" 62.8571 "/>
    <x v="0"/>
    <n v="66620"/>
    <m/>
    <m/>
    <m/>
  </r>
  <r>
    <x v="3"/>
    <x v="7"/>
    <s v="F:\images\20210325\plaque 1/@03 EE2 50.6/H3_01.tif "/>
    <s v=" 10555.3886 "/>
    <s v=" 67.3012 "/>
    <x v="0"/>
    <n v="710391"/>
    <m/>
    <m/>
    <m/>
  </r>
  <r>
    <x v="3"/>
    <x v="7"/>
    <s v="F:\images\20210325\plaque 1/@03 EE2 50.6/H3_02.tif "/>
    <s v=" 8305.8795 "/>
    <s v=" 65.9766 "/>
    <x v="0"/>
    <n v="547993"/>
    <m/>
    <m/>
    <m/>
  </r>
  <r>
    <x v="3"/>
    <x v="7"/>
    <s v="F:\images\20210325\plaque 1/@03 EE2 50.6/H3_03.tif "/>
    <s v=" 10641.9082 "/>
    <s v=" 66.5894 "/>
    <x v="0"/>
    <n v="708639"/>
    <m/>
    <m/>
    <m/>
  </r>
  <r>
    <x v="1"/>
    <x v="8"/>
    <s v=" "/>
    <m/>
    <m/>
    <x v="1"/>
    <m/>
    <m/>
    <m/>
    <m/>
  </r>
  <r>
    <x v="1"/>
    <x v="8"/>
    <s v="group "/>
    <s v=" "/>
    <s v=" mean of mean fluo "/>
    <x v="2"/>
    <s v=" mean of total fluo "/>
    <s v=" SD total fluo "/>
    <s v=" n fluorescent "/>
    <s v=" n total"/>
  </r>
  <r>
    <x v="3"/>
    <x v="9"/>
    <s v="F:\images\20210325\plaque 1/@03 EE2 50.6/ "/>
    <s v=" "/>
    <s v=" 64.7932 "/>
    <x v="5"/>
    <s v=" 180634.958 "/>
    <s v=" 213011.90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25\plaque 1/@04 EE2 76/A4_01.tif "/>
    <s v=" 2941.6657 "/>
    <s v=" 64.9338 "/>
    <x v="0"/>
    <n v="191014"/>
    <m/>
    <m/>
    <m/>
  </r>
  <r>
    <x v="4"/>
    <x v="0"/>
    <s v="F:\images\20210325\plaque 1/@04 EE2 76/A4_02.tif "/>
    <s v=" 2682.1069 "/>
    <s v=" 63.8468 "/>
    <x v="0"/>
    <n v="171244"/>
    <m/>
    <m/>
    <m/>
  </r>
  <r>
    <x v="4"/>
    <x v="0"/>
    <s v="F:\images\20210325\plaque 1/@04 EE2 76/A4_03.tif "/>
    <s v=" 3590.5625 "/>
    <s v=" 65.4337 "/>
    <x v="0"/>
    <n v="234944"/>
    <m/>
    <m/>
    <m/>
  </r>
  <r>
    <x v="4"/>
    <x v="1"/>
    <s v="F:\images\20210325\plaque 1/@04 EE2 76/B4_01.tif "/>
    <s v=" 12285.7801 "/>
    <s v=" 65.868 "/>
    <x v="0"/>
    <n v="809239"/>
    <m/>
    <m/>
    <m/>
  </r>
  <r>
    <x v="4"/>
    <x v="1"/>
    <s v="F:\images\20210325\plaque 1/@04 EE2 76/B4_02.tif "/>
    <s v=" 9127.8155 "/>
    <s v=" 64.8981 "/>
    <x v="0"/>
    <n v="592378"/>
    <m/>
    <m/>
    <m/>
  </r>
  <r>
    <x v="4"/>
    <x v="1"/>
    <s v="F:\images\20210325\plaque 1/@04 EE2 76/B4_03.tif "/>
    <s v=" 11225.9153 "/>
    <s v=" 65.4547 "/>
    <x v="0"/>
    <n v="734789"/>
    <m/>
    <m/>
    <m/>
  </r>
  <r>
    <x v="4"/>
    <x v="2"/>
    <s v="F:\images\20210325\plaque 1/@04 EE2 76/C4_01- exclu.tif"/>
    <m/>
    <m/>
    <x v="1"/>
    <m/>
    <m/>
    <m/>
    <m/>
  </r>
  <r>
    <x v="4"/>
    <x v="2"/>
    <s v="F:\images\20210325\plaque 1/@04 EE2 76/C4_02.tif "/>
    <s v=" 1968.3204 "/>
    <s v=" 63.3956 "/>
    <x v="0"/>
    <n v="124783"/>
    <m/>
    <m/>
    <m/>
  </r>
  <r>
    <x v="4"/>
    <x v="2"/>
    <s v="F:\images\20210325\plaque 1/@04 EE2 76/C4_03- exclu.tif"/>
    <m/>
    <m/>
    <x v="1"/>
    <m/>
    <m/>
    <m/>
    <m/>
  </r>
  <r>
    <x v="4"/>
    <x v="3"/>
    <s v="F:\images\20210325\plaque 1/@04 EE2 76/D4_01.tif "/>
    <s v=" 12415.5595 "/>
    <s v=" 64.6568 "/>
    <x v="0"/>
    <n v="802750"/>
    <m/>
    <m/>
    <m/>
  </r>
  <r>
    <x v="4"/>
    <x v="3"/>
    <s v="F:\images\20210325\plaque 1/@04 EE2 76/D4_02.tif "/>
    <s v=" 11701.773 "/>
    <s v=" 65.4954 "/>
    <x v="0"/>
    <n v="766412"/>
    <m/>
    <m/>
    <m/>
  </r>
  <r>
    <x v="4"/>
    <x v="3"/>
    <s v="F:\images\20210325\plaque 1/@04 EE2 76/D4_03.tif "/>
    <s v=" 9928.1216 "/>
    <s v=" 64.3028 "/>
    <x v="0"/>
    <n v="638406"/>
    <m/>
    <m/>
    <m/>
  </r>
  <r>
    <x v="4"/>
    <x v="4"/>
    <s v="F:\images\20210325\plaque 1/@04 EE2 76/E4_01.tif "/>
    <s v=" 1773.6514 "/>
    <s v=" 63.3293 "/>
    <x v="0"/>
    <n v="112324"/>
    <m/>
    <m/>
    <m/>
  </r>
  <r>
    <x v="4"/>
    <x v="4"/>
    <s v="F:\images\20210325\plaque 1/@04 EE2 76/E4_02.tif "/>
    <s v=" 4088.0501 "/>
    <s v=" 64.9683 "/>
    <x v="0"/>
    <n v="265593"/>
    <m/>
    <m/>
    <m/>
  </r>
  <r>
    <x v="4"/>
    <x v="4"/>
    <s v="F:\images\20210325\plaque 1/@04 EE2 76/E4_03.tif "/>
    <s v=" 4282.7191 "/>
    <s v=" 64.5253 "/>
    <x v="0"/>
    <n v="276344"/>
    <m/>
    <m/>
    <m/>
  </r>
  <r>
    <x v="4"/>
    <x v="5"/>
    <s v="F:\images\20210325\plaque 1/@04 EE2 76/F4_01.tif "/>
    <s v=" 7851.6518 "/>
    <s v=" 64.7686 "/>
    <x v="0"/>
    <n v="508540"/>
    <m/>
    <m/>
    <m/>
  </r>
  <r>
    <x v="4"/>
    <x v="5"/>
    <s v="F:\images\20210325\plaque 1/@04 EE2 76/F4_02.tif "/>
    <s v=" 9041.296 "/>
    <s v=" 64.7368 "/>
    <x v="0"/>
    <n v="585305"/>
    <m/>
    <m/>
    <m/>
  </r>
  <r>
    <x v="4"/>
    <x v="5"/>
    <s v="F:\images\20210325\plaque 1/@04 EE2 76/F4_03.tif "/>
    <s v=" 6640.3777 "/>
    <s v=" 64.4658 "/>
    <x v="0"/>
    <n v="428077"/>
    <m/>
    <m/>
    <m/>
  </r>
  <r>
    <x v="4"/>
    <x v="6"/>
    <s v="F:\images\20210325\plaque 1/@04 EE2 76/G4_01.tif "/>
    <s v=" 6488.9684 "/>
    <s v=" 71.0067 "/>
    <x v="0"/>
    <n v="460760"/>
    <m/>
    <m/>
    <m/>
  </r>
  <r>
    <x v="4"/>
    <x v="6"/>
    <s v="F:\images\20210325\plaque 1/@04 EE2 76/G4_02.tif "/>
    <s v=" 3439.1532 "/>
    <s v=" 66.8616 "/>
    <x v="0"/>
    <n v="229947"/>
    <m/>
    <m/>
    <m/>
  </r>
  <r>
    <x v="4"/>
    <x v="6"/>
    <s v="F:\images\20210325\plaque 1/@04 EE2 76/G4_03.tif "/>
    <s v=" 4131.3099 "/>
    <s v=" 67.5026 "/>
    <x v="0"/>
    <n v="278874"/>
    <m/>
    <m/>
    <m/>
  </r>
  <r>
    <x v="4"/>
    <x v="7"/>
    <s v="F:\images\20210325\plaque 1/@04 EE2 76/H4_01.tif "/>
    <s v=" 3093.0749 "/>
    <s v=" 66.0839 "/>
    <x v="0"/>
    <n v="204403"/>
    <m/>
    <m/>
    <m/>
  </r>
  <r>
    <x v="4"/>
    <x v="7"/>
    <s v="F:\images\20210325\plaque 1/@04 EE2 76/H4_02.tif "/>
    <s v=" 2141.3596 "/>
    <s v=" 64.4141 "/>
    <x v="0"/>
    <n v="137934"/>
    <m/>
    <m/>
    <m/>
  </r>
  <r>
    <x v="4"/>
    <x v="7"/>
    <s v="F:\images\20210325\plaque 1/@04 EE2 76/H4_03.tif "/>
    <s v=" 3936.6408 "/>
    <s v=" 63.7253 "/>
    <x v="0"/>
    <n v="250864"/>
    <m/>
    <m/>
    <m/>
  </r>
  <r>
    <x v="1"/>
    <x v="8"/>
    <s v=" "/>
    <m/>
    <m/>
    <x v="1"/>
    <m/>
    <m/>
    <m/>
    <m/>
  </r>
  <r>
    <x v="1"/>
    <x v="8"/>
    <s v="group "/>
    <s v=" "/>
    <s v=" mean of mean fluo "/>
    <x v="2"/>
    <s v=" mean of total fluo "/>
    <s v=" SD total fluo "/>
    <s v=" n fluorescent "/>
    <s v=" n total"/>
  </r>
  <r>
    <x v="4"/>
    <x v="9"/>
    <s v="F:\images\20210325\plaque 1/@04 EE2 76/ "/>
    <s v=" "/>
    <s v=" 65.0623 "/>
    <x v="6"/>
    <s v=" 369214.167 "/>
    <s v=" 252168.3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25\plaque 1/@05 EE2 114/A5_01.tif "/>
    <s v=" 7354.1642 "/>
    <s v=" 64.25 "/>
    <x v="0"/>
    <n v="472505"/>
    <m/>
    <m/>
    <m/>
  </r>
  <r>
    <x v="5"/>
    <x v="0"/>
    <s v="F:\images\20210325\plaque 1/@05 EE2 114/A5_02- exclu.tif"/>
    <m/>
    <m/>
    <x v="1"/>
    <m/>
    <m/>
    <m/>
    <m/>
  </r>
  <r>
    <x v="5"/>
    <x v="0"/>
    <s v="F:\images\20210325\plaque 1/@05 EE2 114/A5_03.tif "/>
    <s v=" 7894.9115 "/>
    <s v=" 63.737 "/>
    <x v="0"/>
    <n v="503198"/>
    <m/>
    <m/>
    <m/>
  </r>
  <r>
    <x v="5"/>
    <x v="1"/>
    <s v="F:\images\20210325\plaque 1/@05 EE2 114/B5_01.tif "/>
    <s v=" 43108.38 "/>
    <s v=" 71.0617 "/>
    <x v="0"/>
    <n v="3063355"/>
    <m/>
    <m/>
    <m/>
  </r>
  <r>
    <x v="5"/>
    <x v="1"/>
    <s v="F:\images\20210325\plaque 1/@05 EE2 114/B5_02.tif "/>
    <s v=" 43259.7893 "/>
    <s v=" 71.6515 "/>
    <x v="0"/>
    <n v="3099629"/>
    <m/>
    <m/>
    <m/>
  </r>
  <r>
    <x v="5"/>
    <x v="1"/>
    <s v="F:\images\20210325\plaque 1/@05 EE2 114/B5_03.tif "/>
    <s v=" 37311.5682 "/>
    <s v=" 71.1896 "/>
    <x v="0"/>
    <n v="2656194"/>
    <m/>
    <m/>
    <m/>
  </r>
  <r>
    <x v="5"/>
    <x v="2"/>
    <s v="F:\images\20210325\plaque 1/@05 EE2 114/C5_01.tif "/>
    <s v=" 21197.2967 "/>
    <s v=" 67.8602 "/>
    <x v="0"/>
    <n v="1438453"/>
    <m/>
    <m/>
    <m/>
  </r>
  <r>
    <x v="5"/>
    <x v="2"/>
    <s v="F:\images\20210325\plaque 1/@05 EE2 114/C5_02.tif "/>
    <s v=" 16568.4993 "/>
    <s v=" 66.4504 "/>
    <x v="0"/>
    <n v="1100983"/>
    <m/>
    <m/>
    <m/>
  </r>
  <r>
    <x v="5"/>
    <x v="2"/>
    <s v="F:\images\20210325\plaque 1/@05 EE2 114/C5_03.tif "/>
    <s v=" 20007.6525 "/>
    <s v=" 66.7978 "/>
    <x v="0"/>
    <n v="1336468"/>
    <m/>
    <m/>
    <m/>
  </r>
  <r>
    <x v="5"/>
    <x v="3"/>
    <s v="F:\images\20210325\plaque 1/@05 EE2 114/D5_01.tif "/>
    <s v=" 10814.9473 "/>
    <s v=" 64.696 "/>
    <x v="0"/>
    <n v="699684"/>
    <m/>
    <m/>
    <m/>
  </r>
  <r>
    <x v="5"/>
    <x v="3"/>
    <s v="F:\images\20210325\plaque 1/@05 EE2 114/D5_02.tif "/>
    <s v=" 9928.1216 "/>
    <s v=" 64.9063 "/>
    <x v="0"/>
    <n v="644398"/>
    <m/>
    <m/>
    <m/>
  </r>
  <r>
    <x v="5"/>
    <x v="3"/>
    <s v="F:\images\20210325\plaque 1/@05 EE2 114/D5_03.tif "/>
    <s v=" 9668.5629 "/>
    <s v=" 65.1521 "/>
    <x v="0"/>
    <n v="629927"/>
    <m/>
    <m/>
    <m/>
  </r>
  <r>
    <x v="5"/>
    <x v="4"/>
    <s v="F:\images\20210325\plaque 1/@05 EE2 114/E5_01.tif "/>
    <s v=" 28270.2723 "/>
    <s v=" 67.9962 "/>
    <x v="0"/>
    <n v="1922270"/>
    <m/>
    <m/>
    <m/>
  </r>
  <r>
    <x v="5"/>
    <x v="4"/>
    <s v="F:\images\20210325\plaque 1/@05 EE2 114/E5_02.tif "/>
    <s v=" 23338.6563 "/>
    <s v=" 69.8397 "/>
    <x v="0"/>
    <n v="1629964"/>
    <m/>
    <m/>
    <m/>
  </r>
  <r>
    <x v="5"/>
    <x v="4"/>
    <s v="F:\images\20210325\plaque 1/@05 EE2 114/E5_03.tif "/>
    <s v=" 24355.2614 "/>
    <s v=" 68.4174 "/>
    <x v="0"/>
    <n v="1666324"/>
    <m/>
    <m/>
    <m/>
  </r>
  <r>
    <x v="5"/>
    <x v="5"/>
    <s v="F:\images\20210325\plaque 1/@05 EE2 114/F5_01.tif "/>
    <s v=" 11355.6947 "/>
    <s v=" 67.48 "/>
    <x v="0"/>
    <n v="766282"/>
    <m/>
    <m/>
    <m/>
  </r>
  <r>
    <x v="5"/>
    <x v="5"/>
    <s v="F:\images\20210325\plaque 1/@05 EE2 114/F5_02.tif "/>
    <s v=" 13561.9439 "/>
    <s v=" 66.89 "/>
    <x v="0"/>
    <n v="907158"/>
    <m/>
    <m/>
    <m/>
  </r>
  <r>
    <x v="5"/>
    <x v="5"/>
    <s v="F:\images\20210325\plaque 1/@05 EE2 114/F5_03.tif "/>
    <s v=" 8889.8867 "/>
    <s v=" 65.9878 "/>
    <x v="0"/>
    <n v="586624"/>
    <m/>
    <m/>
    <m/>
  </r>
  <r>
    <x v="5"/>
    <x v="6"/>
    <s v="F:\images\20210325\plaque 1/@05 EE2 114/G5_01.tif "/>
    <s v=" 21889.4534 "/>
    <s v=" 66.8231 "/>
    <x v="0"/>
    <n v="1462722"/>
    <m/>
    <m/>
    <m/>
  </r>
  <r>
    <x v="5"/>
    <x v="6"/>
    <s v="F:\images\20210325\plaque 1/@05 EE2 114/G5_02.tif "/>
    <s v=" 26756.1797 "/>
    <s v=" 68.3209 "/>
    <x v="0"/>
    <n v="1828007"/>
    <m/>
    <m/>
    <m/>
  </r>
  <r>
    <x v="5"/>
    <x v="6"/>
    <s v="F:\images\20210325\plaque 1/@05 EE2 114/G5_03.tif "/>
    <s v=" 22473.4605 "/>
    <s v=" 67.1357 "/>
    <x v="0"/>
    <n v="1508772"/>
    <m/>
    <m/>
    <m/>
  </r>
  <r>
    <x v="5"/>
    <x v="7"/>
    <s v="F:\images\20210325\plaque 1/@05 EE2 114/H5_01.tif "/>
    <s v=" 30303.4824 "/>
    <s v=" 79.7837 "/>
    <x v="0"/>
    <n v="2417725"/>
    <m/>
    <m/>
    <m/>
  </r>
  <r>
    <x v="5"/>
    <x v="7"/>
    <s v="F:\images\20210325\plaque 1/@05 EE2 114/H5_02.tif "/>
    <s v=" 30303.4824 "/>
    <s v=" 77.0464 "/>
    <x v="0"/>
    <n v="2334774"/>
    <m/>
    <m/>
    <m/>
  </r>
  <r>
    <x v="5"/>
    <x v="7"/>
    <s v="F:\images\20210325\plaque 1/@05 EE2 114/H5_03.tif "/>
    <s v=" 31601.2761 "/>
    <s v=" 78.1157 "/>
    <x v="0"/>
    <n v="2468555"/>
    <m/>
    <m/>
    <m/>
  </r>
  <r>
    <x v="1"/>
    <x v="8"/>
    <s v=" "/>
    <m/>
    <m/>
    <x v="1"/>
    <m/>
    <m/>
    <m/>
    <m/>
  </r>
  <r>
    <x v="1"/>
    <x v="8"/>
    <s v="group "/>
    <s v=" "/>
    <s v=" mean of mean fluo "/>
    <x v="2"/>
    <s v=" mean of total fluo "/>
    <s v=" SD total fluo "/>
    <s v=" n fluorescent "/>
    <s v=" n total"/>
  </r>
  <r>
    <x v="5"/>
    <x v="9"/>
    <s v="F:\images\20210325\plaque 1/@05 EE2 114/ "/>
    <s v=" "/>
    <s v=" 68.6619 "/>
    <x v="7"/>
    <s v=" 1526948.88 "/>
    <s v=" 813582.8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25\plaque 1/@06 EE2 170.9/A6_01.tif "/>
    <s v=" 57449.0001 "/>
    <s v=" 83.218 "/>
    <x v="0"/>
    <n v="4780791"/>
    <m/>
    <m/>
    <m/>
  </r>
  <r>
    <x v="6"/>
    <x v="0"/>
    <s v="F:\images\20210325\plaque 1/@06 EE2 170.9/A6_02.tif "/>
    <s v=" 57038.0321 "/>
    <s v=" 85.0174 "/>
    <x v="0"/>
    <n v="4849228"/>
    <m/>
    <m/>
    <m/>
  </r>
  <r>
    <x v="6"/>
    <x v="0"/>
    <s v="F:\images\20210325\plaque 1/@06 EE2 170.9/A6_03.tif "/>
    <s v=" 58876.5732 "/>
    <s v=" 81.5059 "/>
    <x v="0"/>
    <n v="4798787"/>
    <m/>
    <m/>
    <m/>
  </r>
  <r>
    <x v="6"/>
    <x v="1"/>
    <s v="F:\images\20210325\plaque 1/@06 EE2 170.9/B6_01.tif "/>
    <s v=" 19986.0226 "/>
    <s v=" 76.6569 "/>
    <x v="0"/>
    <n v="1532067"/>
    <m/>
    <m/>
    <m/>
  </r>
  <r>
    <x v="6"/>
    <x v="1"/>
    <s v="F:\images\20210325\plaque 1/@06 EE2 170.9/B6_02.tif "/>
    <s v=" 17152.5064 "/>
    <s v=" 72.0958 "/>
    <x v="0"/>
    <n v="1236624"/>
    <m/>
    <m/>
    <m/>
  </r>
  <r>
    <x v="6"/>
    <x v="1"/>
    <s v="F:\images\20210325\plaque 1/@06 EE2 170.9/B6_03.tif "/>
    <s v=" 22841.1687 "/>
    <s v=" 74.6799 "/>
    <x v="0"/>
    <n v="1705777"/>
    <m/>
    <m/>
    <m/>
  </r>
  <r>
    <x v="6"/>
    <x v="2"/>
    <s v="F:\images\20210325\plaque 1/@06 EE2 170.9/C6_01.tif "/>
    <s v=" 28075.6032 "/>
    <s v=" 70.8737 "/>
    <x v="0"/>
    <n v="1989821"/>
    <m/>
    <m/>
    <m/>
  </r>
  <r>
    <x v="6"/>
    <x v="2"/>
    <s v="F:\images\20210325\plaque 1/@06 EE2 170.9/C6_02.tif "/>
    <s v=" 27513.226 "/>
    <s v=" 72.5204 "/>
    <x v="0"/>
    <n v="1995271"/>
    <m/>
    <m/>
    <m/>
  </r>
  <r>
    <x v="6"/>
    <x v="2"/>
    <s v="F:\images\20210325\plaque 1/@06 EE2 170.9/C6_03.tif "/>
    <s v=" 24809.4891 "/>
    <s v=" 69.884 "/>
    <x v="0"/>
    <n v="1733787"/>
    <m/>
    <m/>
    <m/>
  </r>
  <r>
    <x v="6"/>
    <x v="3"/>
    <s v="F:\images\20210325\plaque 1/@06 EE2 170.9/D6_01.tif "/>
    <s v=" 42848.8213 "/>
    <s v=" 86.9763 "/>
    <x v="0"/>
    <n v="3726831"/>
    <m/>
    <m/>
    <m/>
  </r>
  <r>
    <x v="6"/>
    <x v="3"/>
    <s v="F:\images\20210325\plaque 1/@06 EE2 170.9/D6_02.tif "/>
    <s v=" 36381.4828 "/>
    <s v=" 86.5196 "/>
    <x v="0"/>
    <n v="3147712"/>
    <m/>
    <m/>
    <m/>
  </r>
  <r>
    <x v="6"/>
    <x v="3"/>
    <s v="F:\images\20210325\plaque 1/@06 EE2 170.9/D6_03.tif "/>
    <s v=" 39863.8958 "/>
    <s v=" 83.522 "/>
    <x v="0"/>
    <n v="3329511"/>
    <m/>
    <m/>
    <m/>
  </r>
  <r>
    <x v="6"/>
    <x v="4"/>
    <s v="F:\images\20210325\plaque 1/@06 EE2 170.9/E6_01.tif "/>
    <s v=" 50765.3627 "/>
    <s v=" 75.7158 "/>
    <x v="0"/>
    <n v="3843740"/>
    <m/>
    <m/>
    <m/>
  </r>
  <r>
    <x v="6"/>
    <x v="4"/>
    <s v="F:\images\20210325\plaque 1/@06 EE2 170.9/E6_02.tif "/>
    <s v=" 49662.2381 "/>
    <s v=" 73.9225 "/>
    <x v="0"/>
    <n v="3671155"/>
    <m/>
    <m/>
    <m/>
  </r>
  <r>
    <x v="6"/>
    <x v="4"/>
    <s v="F:\images\20210325\plaque 1/@06 EE2 170.9/E6_03.tif "/>
    <s v=" 47607.3981 "/>
    <s v=" 74.8678 "/>
    <x v="0"/>
    <n v="3564261"/>
    <m/>
    <m/>
    <m/>
  </r>
  <r>
    <x v="6"/>
    <x v="5"/>
    <s v="F:\images\20210325\plaque 1/@06 EE2 170.9/F6_01.tif "/>
    <s v=" 50916.772 "/>
    <s v=" 81.9601 "/>
    <x v="0"/>
    <n v="4173142"/>
    <m/>
    <m/>
    <m/>
  </r>
  <r>
    <x v="6"/>
    <x v="5"/>
    <s v="F:\images\20210325\plaque 1/@06 EE2 170.9/F6_02.tif "/>
    <s v=" 59785.0288 "/>
    <s v=" 74.1628 "/>
    <x v="0"/>
    <n v="4433826"/>
    <m/>
    <m/>
    <m/>
  </r>
  <r>
    <x v="6"/>
    <x v="5"/>
    <s v="F:\images\20210325\plaque 1/@06 EE2 170.9/F6_03.tif "/>
    <s v=" 57297.5909 "/>
    <s v=" 75.5923 "/>
    <x v="0"/>
    <n v="4331257"/>
    <m/>
    <m/>
    <m/>
  </r>
  <r>
    <x v="6"/>
    <x v="6"/>
    <s v="F:\images\20210325\plaque 1/@06 EE2 170.9/G6_01.tif "/>
    <s v=" 46114.9353 "/>
    <s v=" 79.7214 "/>
    <x v="0"/>
    <n v="3676347"/>
    <m/>
    <m/>
    <m/>
  </r>
  <r>
    <x v="6"/>
    <x v="6"/>
    <s v="F:\images\20210325\plaque 1/@06 EE2 170.9/G6_02.tif "/>
    <s v=" 38328.1733 "/>
    <s v=" 77.0875 "/>
    <x v="0"/>
    <n v="2954622"/>
    <m/>
    <m/>
    <m/>
  </r>
  <r>
    <x v="6"/>
    <x v="6"/>
    <s v="F:\images\20210325\plaque 1/@06 EE2 170.9/G6_03.tif "/>
    <s v=" 46158.1951 "/>
    <s v=" 74.2235 "/>
    <x v="0"/>
    <n v="3426024"/>
    <m/>
    <m/>
    <m/>
  </r>
  <r>
    <x v="6"/>
    <x v="7"/>
    <s v="F:\images\20210325\plaque 1/@06 EE2 170.9/H6_01.tif "/>
    <s v=" 52236.1955 "/>
    <s v=" 82.1743 "/>
    <x v="0"/>
    <n v="4292474"/>
    <m/>
    <m/>
    <m/>
  </r>
  <r>
    <x v="6"/>
    <x v="7"/>
    <s v="F:\images\20210325\plaque 1/@06 EE2 170.9/H6_02.tif "/>
    <s v=" 47672.2878 "/>
    <s v=" 75.4959 "/>
    <x v="0"/>
    <n v="3599063"/>
    <m/>
    <m/>
    <m/>
  </r>
  <r>
    <x v="6"/>
    <x v="7"/>
    <s v="F:\images\20210325\plaque 1/@06 EE2 170.9/H6_03.tif "/>
    <s v=" 51695.4482 "/>
    <s v=" 82.0975 "/>
    <x v="0"/>
    <n v="4244067"/>
    <m/>
    <m/>
    <m/>
  </r>
  <r>
    <x v="1"/>
    <x v="8"/>
    <s v=" "/>
    <m/>
    <m/>
    <x v="1"/>
    <m/>
    <m/>
    <m/>
    <m/>
  </r>
  <r>
    <x v="1"/>
    <x v="8"/>
    <s v="group "/>
    <s v=" "/>
    <s v=" mean of mean fluo "/>
    <x v="2"/>
    <s v=" mean of total fluo "/>
    <s v=" SD total fluo "/>
    <s v=" n fluorescent "/>
    <s v=" n total"/>
  </r>
  <r>
    <x v="6"/>
    <x v="9"/>
    <s v="F:\images\20210325\plaque 1/@06 EE2 170.9/ "/>
    <s v=" "/>
    <s v=" 77.9371 "/>
    <x v="8"/>
    <s v=" 3376507.71 "/>
    <s v=" 1114308.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25\plaque 1/@07 EE2 488/A7_01.tif "/>
    <s v=" 49510.8288 "/>
    <s v=" 99.4395 "/>
    <x v="0"/>
    <n v="4923332"/>
    <m/>
    <m/>
    <m/>
  </r>
  <r>
    <x v="7"/>
    <x v="0"/>
    <s v="F:\images\20210325\plaque 1/@07 EE2 488/A7_02.tif "/>
    <s v=" 58790.0536 "/>
    <s v=" 97.9864 "/>
    <x v="0"/>
    <n v="5760625"/>
    <m/>
    <m/>
    <m/>
  </r>
  <r>
    <x v="7"/>
    <x v="0"/>
    <s v="F:\images\20210325\plaque 1/@07 EE2 488/A7_03.tif "/>
    <s v=" 61883.1285 "/>
    <s v=" 95.1744 "/>
    <x v="0"/>
    <n v="5889691"/>
    <m/>
    <m/>
    <m/>
  </r>
  <r>
    <x v="7"/>
    <x v="1"/>
    <s v="F:\images\20210325\plaque 1/@07 EE2 488/B7_01.tif "/>
    <s v=" 42135.0347 "/>
    <s v=" 77.6109 "/>
    <x v="0"/>
    <n v="3270137"/>
    <m/>
    <m/>
    <m/>
  </r>
  <r>
    <x v="7"/>
    <x v="1"/>
    <s v="F:\images\20210325\plaque 1/@07 EE2 488/B7_02.tif "/>
    <s v=" 42719.0419 "/>
    <s v=" 79.719 "/>
    <x v="0"/>
    <n v="3405519"/>
    <m/>
    <m/>
    <m/>
  </r>
  <r>
    <x v="7"/>
    <x v="1"/>
    <s v="F:\images\20210325\plaque 1/@07 EE2 488/B7_03.tif "/>
    <s v=" 43887.0562 "/>
    <s v=" 79.4756 "/>
    <x v="0"/>
    <n v="3487950"/>
    <m/>
    <m/>
    <m/>
  </r>
  <r>
    <x v="7"/>
    <x v="2"/>
    <s v="F:\images\20210325\plaque 1/@07 EE2 488/C7_01.tif "/>
    <s v=" 30087.1834 "/>
    <s v=" 70.2868 "/>
    <x v="0"/>
    <n v="2114733"/>
    <m/>
    <m/>
    <m/>
  </r>
  <r>
    <x v="7"/>
    <x v="2"/>
    <s v="F:\images\20210325\plaque 1/@07 EE2 488/C7_02- exclu.tif"/>
    <m/>
    <m/>
    <x v="1"/>
    <m/>
    <m/>
    <m/>
    <m/>
  </r>
  <r>
    <x v="7"/>
    <x v="2"/>
    <s v="F:\images\20210325\plaque 1/@07 EE2 488/C7_03.tif "/>
    <s v=" 29611.3257 "/>
    <s v=" 70.2688 "/>
    <x v="0"/>
    <n v="2080753"/>
    <m/>
    <m/>
    <m/>
  </r>
  <r>
    <x v="7"/>
    <x v="3"/>
    <s v="F:\images\20210325\plaque 1/@07 EE2 488/D7_01.tif "/>
    <s v=" 60996.3029 "/>
    <s v=" 94.4167 "/>
    <x v="0"/>
    <n v="5759068"/>
    <m/>
    <m/>
    <m/>
  </r>
  <r>
    <x v="7"/>
    <x v="3"/>
    <s v="F:\images\20210325\plaque 1/@07 EE2 488/D7_02.tif "/>
    <s v=" 62575.2852 "/>
    <s v=" 95.4331 "/>
    <x v="0"/>
    <n v="5971754"/>
    <m/>
    <m/>
    <m/>
  </r>
  <r>
    <x v="7"/>
    <x v="3"/>
    <s v="F:\images\20210325\plaque 1/@07 EE2 488/D7_03.tif "/>
    <s v=" 55523.9395 "/>
    <s v=" 101.418 "/>
    <x v="0"/>
    <n v="5631127"/>
    <m/>
    <m/>
    <m/>
  </r>
  <r>
    <x v="7"/>
    <x v="4"/>
    <s v="F:\images\20210325\plaque 1/@07 EE2 488/E7_01.tif "/>
    <s v=" 40772.3514 "/>
    <s v=" 97.5809 "/>
    <x v="0"/>
    <n v="3978603"/>
    <m/>
    <m/>
    <m/>
  </r>
  <r>
    <x v="7"/>
    <x v="4"/>
    <s v="F:\images\20210325\plaque 1/@07 EE2 488/E7_02.tif "/>
    <s v=" 38306.5434 "/>
    <s v=" 97.8605 "/>
    <x v="0"/>
    <n v="3748699"/>
    <m/>
    <m/>
    <m/>
  </r>
  <r>
    <x v="7"/>
    <x v="4"/>
    <s v="F:\images\20210325\plaque 1/@07 EE2 488/E7_03.tif "/>
    <s v=" 34780.8706 "/>
    <s v=" 100.3762 "/>
    <x v="0"/>
    <n v="3491173"/>
    <m/>
    <m/>
    <m/>
  </r>
  <r>
    <x v="7"/>
    <x v="5"/>
    <s v="F:\images\20210325\plaque 1/@07 EE2 488/F7_01.tif "/>
    <s v=" 41875.476 "/>
    <s v=" 88.4835 "/>
    <x v="0"/>
    <n v="3705287"/>
    <m/>
    <m/>
    <m/>
  </r>
  <r>
    <x v="7"/>
    <x v="5"/>
    <s v="F:\images\20210325\plaque 1/@07 EE2 488/F7_02.tif "/>
    <s v=" 42026.8853 "/>
    <s v=" 88.4282 "/>
    <x v="0"/>
    <n v="3716362"/>
    <m/>
    <m/>
    <m/>
  </r>
  <r>
    <x v="7"/>
    <x v="5"/>
    <s v="F:\images\20210325\plaque 1/@07 EE2 488/F7_03.tif "/>
    <s v=" 43454.4583 "/>
    <s v=" 84.7466 "/>
    <x v="0"/>
    <n v="3682619"/>
    <m/>
    <m/>
    <m/>
  </r>
  <r>
    <x v="7"/>
    <x v="6"/>
    <s v="F:\images\20210325\plaque 1/@07 EE2 488/G7_01.tif "/>
    <s v=" 42026.8853 "/>
    <s v=" 106.5322 "/>
    <x v="0"/>
    <n v="4477215"/>
    <m/>
    <m/>
    <m/>
  </r>
  <r>
    <x v="7"/>
    <x v="6"/>
    <s v="F:\images\20210325\plaque 1/@07 EE2 488/G7_02- exclu.tif"/>
    <m/>
    <m/>
    <x v="1"/>
    <m/>
    <m/>
    <m/>
    <m/>
  </r>
  <r>
    <x v="7"/>
    <x v="6"/>
    <s v="F:\images\20210325\plaque 1/@07 EE2 488/G7_03.tif "/>
    <s v=" 49618.9783 "/>
    <s v=" 94.9106 "/>
    <x v="0"/>
    <n v="4709369"/>
    <m/>
    <m/>
    <m/>
  </r>
  <r>
    <x v="7"/>
    <x v="7"/>
    <s v="F:\images\20210325\plaque 1/@07 EE2 488/H7_01.tif "/>
    <s v=" 55048.0818 "/>
    <s v=" 104.4648 "/>
    <x v="0"/>
    <n v="5750589"/>
    <m/>
    <m/>
    <m/>
  </r>
  <r>
    <x v="7"/>
    <x v="7"/>
    <s v="F:\images\20210325\plaque 1/@07 EE2 488/H7_02.tif "/>
    <s v=" 55632.089 "/>
    <s v=" 101.1757 "/>
    <x v="0"/>
    <n v="5628618"/>
    <m/>
    <m/>
    <m/>
  </r>
  <r>
    <x v="7"/>
    <x v="7"/>
    <s v="F:\images\20210325\plaque 1/@07 EE2 488/H7_03.tif "/>
    <s v=" 56129.5766 "/>
    <s v=" 98.4929 "/>
    <x v="0"/>
    <n v="5528363"/>
    <m/>
    <m/>
    <m/>
  </r>
  <r>
    <x v="1"/>
    <x v="8"/>
    <s v=" "/>
    <m/>
    <m/>
    <x v="1"/>
    <m/>
    <m/>
    <m/>
    <m/>
  </r>
  <r>
    <x v="1"/>
    <x v="8"/>
    <s v="group "/>
    <s v=" "/>
    <s v=" mean of mean fluo "/>
    <x v="2"/>
    <s v=" mean of total fluo "/>
    <s v=" SD total fluo "/>
    <s v=" n fluorescent "/>
    <s v=" n total"/>
  </r>
  <r>
    <x v="7"/>
    <x v="9"/>
    <s v="F:\images\20210325\plaque 1/@07 EE2 488/ "/>
    <s v=" "/>
    <s v=" 91.4273 "/>
    <x v="9"/>
    <n v="4238322"/>
    <s v=" 1339278.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25\plaque 1/@08 Anastrozole 0.032 µg_L/A8_01.tif "/>
    <s v=" 1881.8008 "/>
    <s v=" 66.9425 "/>
    <x v="0"/>
    <n v="125973"/>
    <m/>
    <m/>
    <m/>
  </r>
  <r>
    <x v="8"/>
    <x v="0"/>
    <s v="F:\images\20210325\plaque 1/@08 Anastrozole 0.032 µg_L/A8_02.tif "/>
    <s v=" 389.3381 "/>
    <s v=" 62.5 "/>
    <x v="0"/>
    <n v="24334"/>
    <m/>
    <m/>
    <m/>
  </r>
  <r>
    <x v="8"/>
    <x v="0"/>
    <s v="F:\images\20210325\plaque 1/@08 Anastrozole 0.032 µg_L/A8_03.tif "/>
    <s v=" 1232.904 "/>
    <s v=" 64.8596 "/>
    <x v="0"/>
    <n v="79966"/>
    <m/>
    <m/>
    <m/>
  </r>
  <r>
    <x v="8"/>
    <x v="1"/>
    <s v="F:\images\20210325\plaque 1/@08 Anastrozole 0.032 µg_L/B8_01.tif "/>
    <s v=" 1449.2029 "/>
    <s v=" 66.8209 "/>
    <x v="0"/>
    <n v="96837"/>
    <m/>
    <m/>
    <m/>
  </r>
  <r>
    <x v="8"/>
    <x v="1"/>
    <s v="F:\images\20210325\plaque 1/@08 Anastrozole 0.032 µg_L/B8_02.tif "/>
    <s v=" 129.7794 "/>
    <n v="64"/>
    <x v="0"/>
    <n v="8306"/>
    <m/>
    <m/>
    <m/>
  </r>
  <r>
    <x v="8"/>
    <x v="1"/>
    <s v="F:\images\20210325\plaque 1/@08 Anastrozole 0.032 µg_L/B8_03.tif "/>
    <s v=" 346.0783 "/>
    <s v=" 63.8125 "/>
    <x v="0"/>
    <n v="22084"/>
    <m/>
    <m/>
    <m/>
  </r>
  <r>
    <x v="8"/>
    <x v="2"/>
    <s v="F:\images\20210325\plaque 1/@08 Anastrozole 0.032 µg_L/C8_01.tif "/>
    <s v=" 973.3453 "/>
    <s v=" 66.8222 "/>
    <x v="0"/>
    <n v="65041"/>
    <m/>
    <m/>
    <m/>
  </r>
  <r>
    <x v="8"/>
    <x v="2"/>
    <s v="F:\images\20210325\plaque 1/@08 Anastrozole 0.032 µg_L/C8_02.tif "/>
    <s v=" 389.3381 "/>
    <s v=" 64.3333 "/>
    <x v="0"/>
    <n v="25047"/>
    <m/>
    <m/>
    <m/>
  </r>
  <r>
    <x v="8"/>
    <x v="2"/>
    <s v="F:\images\20210325\plaque 1/@08 Anastrozole 0.032 µg_L/C8_03.tif "/>
    <s v=" 821.936 "/>
    <s v=" 68.8684 "/>
    <x v="0"/>
    <n v="56605"/>
    <m/>
    <m/>
    <m/>
  </r>
  <r>
    <x v="8"/>
    <x v="3"/>
    <s v="F:\images\20210325\plaque 1/@08 Anastrozole 0.032 µg_L/D8_01.tif "/>
    <s v=" 2984.9255 "/>
    <s v=" 64.971 "/>
    <x v="0"/>
    <n v="193934"/>
    <m/>
    <m/>
    <m/>
  </r>
  <r>
    <x v="8"/>
    <x v="3"/>
    <s v="F:\images\20210325\plaque 1/@08 Anastrozole 0.032 µg_L/D8_02.tif "/>
    <s v=" 2292.7688 "/>
    <s v=" 65.1038 "/>
    <x v="0"/>
    <n v="149268"/>
    <m/>
    <m/>
    <m/>
  </r>
  <r>
    <x v="8"/>
    <x v="3"/>
    <s v="F:\images\20210325\plaque 1/@08 Anastrozole 0.032 µg_L/D8_03.tif "/>
    <s v=" 692.1566 "/>
    <s v=" 63.9375 "/>
    <x v="0"/>
    <n v="44255"/>
    <m/>
    <m/>
    <m/>
  </r>
  <r>
    <x v="8"/>
    <x v="4"/>
    <s v="F:\images\20210325\plaque 1/@08 Anastrozole 0.032 µg_L/E8_01.tif "/>
    <s v=" 2682.1069 "/>
    <s v=" 67.9919 "/>
    <x v="0"/>
    <n v="182362"/>
    <m/>
    <m/>
    <m/>
  </r>
  <r>
    <x v="8"/>
    <x v="4"/>
    <s v="F:\images\20210325\plaque 1/@08 Anastrozole 0.032 µg_L/E8_02.tif "/>
    <s v=" 2465.808 "/>
    <s v=" 66.5263 "/>
    <x v="0"/>
    <n v="164041"/>
    <m/>
    <m/>
    <m/>
  </r>
  <r>
    <x v="8"/>
    <x v="4"/>
    <s v="F:\images\20210325\plaque 1/@08 Anastrozole 0.032 µg_L/E8_03.tif "/>
    <s v=" 2855.1461 "/>
    <s v=" 66.4545 "/>
    <x v="0"/>
    <n v="189737"/>
    <m/>
    <m/>
    <m/>
  </r>
  <r>
    <x v="8"/>
    <x v="5"/>
    <s v="F:\images\20210325\plaque 1/@08 Anastrozole 0.032 µg_L/F8_01.tif "/>
    <s v=" 4477.3882 "/>
    <s v=" 67.3671 "/>
    <x v="0"/>
    <n v="301629"/>
    <m/>
    <m/>
    <m/>
  </r>
  <r>
    <x v="8"/>
    <x v="5"/>
    <s v="F:\images\20210325\plaque 1/@08 Anastrozole 0.032 µg_L/F8_02.tif "/>
    <s v=" 1687.1318 "/>
    <s v=" 67.7051 "/>
    <x v="0"/>
    <n v="114227"/>
    <m/>
    <m/>
    <m/>
  </r>
  <r>
    <x v="8"/>
    <x v="5"/>
    <s v="F:\images\20210325\plaque 1/@08 Anastrozole 0.032 µg_L/F8_03.tif "/>
    <s v=" 216.2989 "/>
    <s v=" 62.7 "/>
    <x v="0"/>
    <n v="13562"/>
    <m/>
    <m/>
    <m/>
  </r>
  <r>
    <x v="8"/>
    <x v="6"/>
    <s v="F:\images\20210325\plaque 1/@08 Anastrozole 0.032 µg_L/G8_01.tif "/>
    <s v=" 1816.9111 "/>
    <s v=" 64.75 "/>
    <x v="0"/>
    <n v="117645"/>
    <m/>
    <m/>
    <m/>
  </r>
  <r>
    <x v="8"/>
    <x v="6"/>
    <s v="F:\images\20210325\plaque 1/@08 Anastrozole 0.032 µg_L/G8_02.tif "/>
    <s v=" 886.8257 "/>
    <s v=" 65.4878 "/>
    <x v="0"/>
    <n v="58076"/>
    <m/>
    <m/>
    <m/>
  </r>
  <r>
    <x v="8"/>
    <x v="6"/>
    <s v="F:\images\20210325\plaque 1/@08 Anastrozole 0.032 µg_L/G8_03.tif "/>
    <s v=" 1449.2029 "/>
    <s v=" 66.7612 "/>
    <x v="0"/>
    <n v="96751"/>
    <m/>
    <m/>
    <m/>
  </r>
  <r>
    <x v="8"/>
    <x v="7"/>
    <s v="F:\images\20210325\plaque 1/@08 Anastrozole 0.032 µg_L/H8_01.tif "/>
    <s v=" 2271.1389 "/>
    <s v=" 64.8476 "/>
    <x v="0"/>
    <n v="147278"/>
    <m/>
    <m/>
    <m/>
  </r>
  <r>
    <x v="8"/>
    <x v="7"/>
    <s v="F:\images\20210325\plaque 1/@08 Anastrozole 0.032 µg_L/H8_02.tif "/>
    <s v=" 2422.5482 "/>
    <s v=" 63.8571 "/>
    <x v="0"/>
    <n v="154697"/>
    <m/>
    <m/>
    <m/>
  </r>
  <r>
    <x v="8"/>
    <x v="7"/>
    <s v="F:\images\20210325\plaque 1/@08 Anastrozole 0.032 µg_L/H8_03.tif "/>
    <s v=" 2509.0678 "/>
    <s v=" 65.6724 "/>
    <x v="0"/>
    <n v="164777"/>
    <m/>
    <m/>
    <m/>
  </r>
  <r>
    <x v="1"/>
    <x v="8"/>
    <s v=" "/>
    <m/>
    <m/>
    <x v="1"/>
    <m/>
    <m/>
    <m/>
    <m/>
  </r>
  <r>
    <x v="1"/>
    <x v="8"/>
    <s v="group "/>
    <s v=" "/>
    <s v=" mean of mean fluo "/>
    <x v="2"/>
    <s v=" mean of total fluo "/>
    <s v=" SD total fluo "/>
    <s v=" n fluorescent "/>
    <s v=" n total"/>
  </r>
  <r>
    <x v="8"/>
    <x v="9"/>
    <s v="F:\images\20210325\plaque 1/@08 Anastrozole 0.032 µg_L/ "/>
    <s v=" "/>
    <s v=" 65.5455 "/>
    <x v="10"/>
    <s v=" 108184.667 "/>
    <s v=" 72691.16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25\plaque 1/@09 Anastrozole 0.16 µg_L/A9_01.tif "/>
    <s v=" 1427.573 "/>
    <s v=" 66.1212 "/>
    <x v="0"/>
    <n v="94393"/>
    <m/>
    <m/>
    <m/>
  </r>
  <r>
    <x v="9"/>
    <x v="0"/>
    <s v="F:\images\20210325\plaque 1/@09 Anastrozole 0.16 µg_L/A9_02.tif "/>
    <s v=" 3331.0038 "/>
    <s v=" 64.6883 "/>
    <x v="0"/>
    <n v="215477"/>
    <m/>
    <m/>
    <m/>
  </r>
  <r>
    <x v="9"/>
    <x v="0"/>
    <s v="F:\images\20210325\plaque 1/@09 Anastrozole 0.16 µg_L/A9_03.tif "/>
    <s v=" 1903.4307 "/>
    <s v=" 66.1023 "/>
    <x v="0"/>
    <n v="125821"/>
    <m/>
    <m/>
    <m/>
  </r>
  <r>
    <x v="9"/>
    <x v="1"/>
    <s v="F:\images\20210325\plaque 1/@09 Anastrozole 0.16 µg_L/B9_01.tif "/>
    <s v=" 259.5587 "/>
    <s v=" 62.8333 "/>
    <x v="0"/>
    <n v="16309"/>
    <m/>
    <m/>
    <m/>
  </r>
  <r>
    <x v="9"/>
    <x v="1"/>
    <s v="F:\images\20210325\plaque 1/@09 Anastrozole 0.16 µg_L/B9_02.tif "/>
    <s v=" 1059.8648 "/>
    <s v=" 66.7551 "/>
    <x v="0"/>
    <n v="70751"/>
    <m/>
    <m/>
    <m/>
  </r>
  <r>
    <x v="9"/>
    <x v="1"/>
    <s v="F:\images\20210325\plaque 1/@09 Anastrozole 0.16 µg_L/B9_03.tif "/>
    <s v=" 843.5659 "/>
    <s v=" 63.4615 "/>
    <x v="0"/>
    <n v="53534"/>
    <m/>
    <m/>
    <m/>
  </r>
  <r>
    <x v="9"/>
    <x v="2"/>
    <s v="F:\images\20210325\plaque 1/@09 Anastrozole 0.16 µg_L/C9_01.tif "/>
    <s v=" 1038.2349 "/>
    <s v=" 64.125 "/>
    <x v="0"/>
    <n v="66577"/>
    <m/>
    <m/>
    <m/>
  </r>
  <r>
    <x v="9"/>
    <x v="2"/>
    <s v="F:\images\20210325\plaque 1/@09 Anastrozole 0.16 µg_L/C9_02.tif "/>
    <s v=" 497.4876 "/>
    <s v=" 63.4783 "/>
    <x v="0"/>
    <n v="31580"/>
    <m/>
    <m/>
    <m/>
  </r>
  <r>
    <x v="9"/>
    <x v="2"/>
    <s v="F:\images\20210325\plaque 1/@09 Anastrozole 0.16 µg_L/C9_03.tif "/>
    <s v=" 1276.1638 "/>
    <s v=" 68.4068 "/>
    <x v="0"/>
    <n v="87298"/>
    <m/>
    <m/>
    <m/>
  </r>
  <r>
    <x v="9"/>
    <x v="3"/>
    <s v="F:\images\20210325\plaque 1/@09 Anastrozole 0.16 µg_L/D9_01.tif "/>
    <s v=" 3244.4842 "/>
    <s v=" 66.54 "/>
    <x v="0"/>
    <n v="215888"/>
    <m/>
    <m/>
    <m/>
  </r>
  <r>
    <x v="9"/>
    <x v="3"/>
    <s v="F:\images\20210325\plaque 1/@09 Anastrozole 0.16 µg_L/D9_02.tif "/>
    <s v=" 2811.8863 "/>
    <s v=" 65.6615 "/>
    <x v="0"/>
    <n v="184633"/>
    <m/>
    <m/>
    <m/>
  </r>
  <r>
    <x v="9"/>
    <x v="3"/>
    <s v="F:\images\20210325\plaque 1/@09 Anastrozole 0.16 µg_L/D9_03.tif "/>
    <s v=" 6424.0787 "/>
    <s v=" 69.1111 "/>
    <x v="0"/>
    <n v="443975"/>
    <m/>
    <m/>
    <m/>
  </r>
  <r>
    <x v="9"/>
    <x v="4"/>
    <s v="F:\images\20210325\plaque 1/@09 Anastrozole 0.16 µg_L/E9_01.tif "/>
    <s v=" 1081.4947 "/>
    <s v=" 65.78 "/>
    <x v="0"/>
    <n v="71141"/>
    <m/>
    <m/>
    <m/>
  </r>
  <r>
    <x v="9"/>
    <x v="4"/>
    <s v="F:\images\20210325\plaque 1/@09 Anastrozole 0.16 µg_L/E9_02.tif "/>
    <s v=" 1427.573 "/>
    <s v=" 65.8485 "/>
    <x v="0"/>
    <n v="94004"/>
    <m/>
    <m/>
    <m/>
  </r>
  <r>
    <x v="9"/>
    <x v="4"/>
    <s v="F:\images\20210325\plaque 1/@09 Anastrozole 0.16 µg_L/E9_03.tif "/>
    <s v=" 1103.1246 "/>
    <s v=" 66.2353 "/>
    <x v="0"/>
    <n v="73066"/>
    <m/>
    <m/>
    <m/>
  </r>
  <r>
    <x v="9"/>
    <x v="5"/>
    <s v="F:\images\20210325\plaque 1/@09 Anastrozole 0.16 µg_L/F9_01.tif "/>
    <s v=" 1297.7937 "/>
    <s v=" 65.3833 "/>
    <x v="0"/>
    <n v="84854"/>
    <m/>
    <m/>
    <m/>
  </r>
  <r>
    <x v="9"/>
    <x v="5"/>
    <s v="F:\images\20210325\plaque 1/@09 Anastrozole 0.16 µg_L/F9_02.tif "/>
    <s v=" 2076.4699 "/>
    <s v=" 68.3021 "/>
    <x v="0"/>
    <n v="141827"/>
    <m/>
    <m/>
    <m/>
  </r>
  <r>
    <x v="9"/>
    <x v="5"/>
    <s v="F:\images\20210325\plaque 1/@09 Anastrozole 0.16 µg_L/F9_03.tif "/>
    <s v=" 800.3061 "/>
    <s v=" 64.027 "/>
    <x v="0"/>
    <n v="51241"/>
    <m/>
    <m/>
    <m/>
  </r>
  <r>
    <x v="9"/>
    <x v="6"/>
    <s v="F:\images\20210325\plaque 1/@09 Anastrozole 0.16 µg_L/G9_01.tif "/>
    <s v=" 2941.6657 "/>
    <s v=" 66.1471 "/>
    <x v="0"/>
    <n v="194583"/>
    <m/>
    <m/>
    <m/>
  </r>
  <r>
    <x v="9"/>
    <x v="6"/>
    <s v="F:\images\20210325\plaque 1/@09 Anastrozole 0.16 µg_L/G9_02.tif "/>
    <s v=" 302.8185 "/>
    <s v=" 63.5714 "/>
    <x v="0"/>
    <n v="19251"/>
    <m/>
    <m/>
    <m/>
  </r>
  <r>
    <x v="9"/>
    <x v="6"/>
    <s v="F:\images\20210325\plaque 1/@09 Anastrozole 0.16 µg_L/G9_03.tif "/>
    <s v=" 1319.4236 "/>
    <n v="65"/>
    <x v="0"/>
    <n v="85763"/>
    <m/>
    <m/>
    <m/>
  </r>
  <r>
    <x v="9"/>
    <x v="7"/>
    <s v="F:\images\20210325\plaque 1/@09 Anastrozole 0.16 µg_L/H9_01.tif "/>
    <s v=" 3460.7831 "/>
    <s v=" 65.1 "/>
    <x v="0"/>
    <n v="225297"/>
    <m/>
    <m/>
    <m/>
  </r>
  <r>
    <x v="9"/>
    <x v="7"/>
    <s v="F:\images\20210325\plaque 1/@09 Anastrozole 0.16 µg_L/H9_02.tif "/>
    <s v=" 4390.8686 "/>
    <s v=" 65.5616 "/>
    <x v="0"/>
    <n v="287872"/>
    <m/>
    <m/>
    <m/>
  </r>
  <r>
    <x v="9"/>
    <x v="7"/>
    <s v="F:\images\20210325\plaque 1/@09 Anastrozole 0.16 µg_L/H9_03.tif "/>
    <s v=" 3633.8223 "/>
    <s v=" 66.2083 "/>
    <x v="0"/>
    <n v="240589"/>
    <m/>
    <m/>
    <m/>
  </r>
  <r>
    <x v="1"/>
    <x v="8"/>
    <s v=" "/>
    <m/>
    <m/>
    <x v="1"/>
    <m/>
    <m/>
    <m/>
    <m/>
  </r>
  <r>
    <x v="1"/>
    <x v="8"/>
    <s v="group "/>
    <s v=" "/>
    <s v=" mean of mean fluo "/>
    <x v="2"/>
    <s v=" mean of total fluo "/>
    <s v=" SD total fluo "/>
    <s v=" n fluorescent "/>
    <s v=" n total"/>
  </r>
  <r>
    <x v="9"/>
    <x v="9"/>
    <s v="F:\images\20210325\plaque 1/@09 Anastrozole 0.16 µg_L/ "/>
    <s v=" "/>
    <s v=" 65.602 "/>
    <x v="11"/>
    <s v=" 132321.833 "/>
    <s v=" 101345.3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25\plaque 1/@10 Anastrozole 0.8 µg_L/A10_01.tif "/>
    <s v=" 6921.5663 "/>
    <s v=" 66.5062 "/>
    <x v="0"/>
    <n v="460327"/>
    <m/>
    <m/>
    <m/>
  </r>
  <r>
    <x v="10"/>
    <x v="0"/>
    <s v="F:\images\20210325\plaque 1/@10 Anastrozole 0.8 µg_L/A10_02.tif "/>
    <s v=" 5796.8118 "/>
    <s v=" 68.3619 "/>
    <x v="0"/>
    <n v="396281"/>
    <m/>
    <m/>
    <m/>
  </r>
  <r>
    <x v="10"/>
    <x v="0"/>
    <s v="F:\images\20210325\plaque 1/@10 Anastrozole 0.8 µg_L/A10_03.tif "/>
    <s v=" 6488.9684 "/>
    <s v=" 67.6467 "/>
    <x v="0"/>
    <n v="438957"/>
    <m/>
    <m/>
    <m/>
  </r>
  <r>
    <x v="10"/>
    <x v="1"/>
    <s v="F:\images\20210325\plaque 1/@10 Anastrozole 0.8 µg_L/B10_01.tif "/>
    <s v=" 1168.0143 "/>
    <s v=" 65.463 "/>
    <x v="0"/>
    <n v="76462"/>
    <m/>
    <m/>
    <m/>
  </r>
  <r>
    <x v="10"/>
    <x v="1"/>
    <s v="F:\images\20210325\plaque 1/@10 Anastrozole 0.8 µg_L/B10_02.tif "/>
    <s v=" 1297.7937 "/>
    <s v=" 63.45 "/>
    <x v="0"/>
    <n v="82345"/>
    <m/>
    <m/>
    <m/>
  </r>
  <r>
    <x v="10"/>
    <x v="1"/>
    <s v="F:\images\20210325\plaque 1/@10 Anastrozole 0.8 µg_L/B10_03- exclu.tif"/>
    <m/>
    <m/>
    <x v="1"/>
    <m/>
    <m/>
    <m/>
    <m/>
  </r>
  <r>
    <x v="10"/>
    <x v="2"/>
    <s v="F:\images\20210325\plaque 1/@10 Anastrozole 0.8 µg_L/C10_01.tif "/>
    <s v=" 6186.1499 "/>
    <s v=" 69.6469 "/>
    <x v="0"/>
    <n v="430846"/>
    <m/>
    <m/>
    <m/>
  </r>
  <r>
    <x v="10"/>
    <x v="2"/>
    <s v="F:\images\20210325\plaque 1/@10 Anastrozole 0.8 µg_L/C10_02.tif "/>
    <s v=" 3915.0109 "/>
    <s v=" 67.1326 "/>
    <x v="0"/>
    <n v="262825"/>
    <m/>
    <m/>
    <m/>
  </r>
  <r>
    <x v="10"/>
    <x v="2"/>
    <s v="F:\images\20210325\plaque 1/@10 Anastrozole 0.8 µg_L/C10_03.tif "/>
    <s v=" 4520.648 "/>
    <s v=" 66.7895 "/>
    <x v="0"/>
    <n v="301932"/>
    <m/>
    <m/>
    <m/>
  </r>
  <r>
    <x v="10"/>
    <x v="3"/>
    <s v="F:\images\20210325\plaque 1/@10 Anastrozole 0.8 µg_L/D10_01.tif "/>
    <s v=" 1557.3524 "/>
    <s v=" 64.4861 "/>
    <x v="0"/>
    <n v="100428"/>
    <m/>
    <m/>
    <m/>
  </r>
  <r>
    <x v="10"/>
    <x v="3"/>
    <s v="F:\images\20210325\plaque 1/@10 Anastrozole 0.8 µg_L/D10_02.tif "/>
    <s v=" 2379.2884 "/>
    <s v=" 69.2 "/>
    <x v="0"/>
    <n v="164647"/>
    <m/>
    <m/>
    <m/>
  </r>
  <r>
    <x v="10"/>
    <x v="3"/>
    <s v="F:\images\20210325\plaque 1/@10 Anastrozole 0.8 µg_L/D10_03.tif "/>
    <s v=" 713.7865 "/>
    <s v=" 62.8788 "/>
    <x v="0"/>
    <n v="44882"/>
    <m/>
    <m/>
    <m/>
  </r>
  <r>
    <x v="10"/>
    <x v="4"/>
    <s v="F:\images\20210325\plaque 1/@10 Anastrozole 0.8 µg_L/E10_01.tif "/>
    <s v=" 9949.7515 "/>
    <s v=" 67.7022 "/>
    <x v="0"/>
    <n v="673620"/>
    <m/>
    <m/>
    <m/>
  </r>
  <r>
    <x v="10"/>
    <x v="4"/>
    <s v="F:\images\20210325\plaque 1/@10 Anastrozole 0.8 µg_L/E10_02.tif "/>
    <s v=" 6337.5591 "/>
    <s v=" 67.157 "/>
    <x v="0"/>
    <n v="425611"/>
    <m/>
    <m/>
    <m/>
  </r>
  <r>
    <x v="10"/>
    <x v="4"/>
    <s v="F:\images\20210325\plaque 1/@10 Anastrozole 0.8 µg_L/E10_03.tif "/>
    <s v=" 6359.189 "/>
    <s v=" 66.4558 "/>
    <x v="0"/>
    <n v="422605"/>
    <m/>
    <m/>
    <m/>
  </r>
  <r>
    <x v="10"/>
    <x v="5"/>
    <s v="F:\images\20210325\plaque 1/@10 Anastrozole 0.8 µg_L/F10_01- exclu.tif"/>
    <m/>
    <m/>
    <x v="1"/>
    <m/>
    <m/>
    <m/>
    <m/>
  </r>
  <r>
    <x v="10"/>
    <x v="5"/>
    <s v="F:\images\20210325\plaque 1/@10 Anastrozole 0.8 µg_L/F10_02.tif "/>
    <s v=" 2811.8863 "/>
    <s v=" 67.1462 "/>
    <x v="0"/>
    <n v="188807"/>
    <m/>
    <m/>
    <m/>
  </r>
  <r>
    <x v="10"/>
    <x v="5"/>
    <s v="F:\images\20210325\plaque 1/@10 Anastrozole 0.8 µg_L/F10_03.tif "/>
    <s v=" 865.1958 "/>
    <s v=" 64.125 "/>
    <x v="0"/>
    <n v="55481"/>
    <m/>
    <m/>
    <m/>
  </r>
  <r>
    <x v="10"/>
    <x v="6"/>
    <s v="F:\images\20210325\plaque 1/@10 Anastrozole 0.8 µg_L/G10_01- exclu.tif"/>
    <m/>
    <m/>
    <x v="1"/>
    <m/>
    <m/>
    <m/>
    <m/>
  </r>
  <r>
    <x v="10"/>
    <x v="6"/>
    <s v="F:\images\20210325\plaque 1/@10 Anastrozole 0.8 µg_L/G10_02- exclu.tif"/>
    <m/>
    <m/>
    <x v="1"/>
    <m/>
    <m/>
    <m/>
    <m/>
  </r>
  <r>
    <x v="10"/>
    <x v="6"/>
    <s v="F:\images\20210325\plaque 1/@10 Anastrozole 0.8 µg_L/G10_03- exclu.tif"/>
    <m/>
    <m/>
    <x v="1"/>
    <m/>
    <m/>
    <m/>
    <m/>
  </r>
  <r>
    <x v="10"/>
    <x v="7"/>
    <s v="F:\images\20210325\plaque 1/@10 Anastrozole 0.8 µg_L/H10_01.tif "/>
    <s v=" 2595.5874 "/>
    <s v=" 63.9583 "/>
    <x v="0"/>
    <n v="166009"/>
    <m/>
    <m/>
    <m/>
  </r>
  <r>
    <x v="10"/>
    <x v="7"/>
    <s v="F:\images\20210325\plaque 1/@10 Anastrozole 0.8 µg_L/H10_02.tif "/>
    <s v=" 3222.8543 "/>
    <s v=" 65.9866 "/>
    <x v="0"/>
    <n v="212665"/>
    <m/>
    <m/>
    <m/>
  </r>
  <r>
    <x v="10"/>
    <x v="7"/>
    <s v="F:\images\20210325\plaque 1/@10 Anastrozole 0.8 µg_L/H10_03.tif "/>
    <s v=" 713.7865 "/>
    <s v=" 62.3939 "/>
    <x v="0"/>
    <n v="44536"/>
    <m/>
    <m/>
    <m/>
  </r>
  <r>
    <x v="1"/>
    <x v="8"/>
    <s v=" "/>
    <m/>
    <m/>
    <x v="1"/>
    <m/>
    <m/>
    <m/>
    <m/>
  </r>
  <r>
    <x v="1"/>
    <x v="8"/>
    <s v="group "/>
    <s v=" "/>
    <s v=" mean of mean fluo "/>
    <x v="2"/>
    <s v=" mean of total fluo "/>
    <s v=" SD total fluo "/>
    <s v=" n fluorescent "/>
    <s v=" n total"/>
  </r>
  <r>
    <x v="10"/>
    <x v="9"/>
    <s v="F:\images\20210325\plaque 1/@10 Anastrozole 0.8 µg_L/ "/>
    <s v=" "/>
    <s v=" 65.9755 "/>
    <x v="12"/>
    <s v=" 248598.667 "/>
    <s v=" 169066.6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25\plaque 1/@11 Anastrozole 4µg_L/A11_01.tif "/>
    <s v=" 1903.4307 "/>
    <s v=" 66.5909 "/>
    <x v="0"/>
    <n v="126751"/>
    <m/>
    <m/>
    <m/>
  </r>
  <r>
    <x v="11"/>
    <x v="0"/>
    <s v="F:\images\20210325\plaque 1/@11 Anastrozole 4µg_L/A11_02.tif "/>
    <s v=" 259.5587 "/>
    <s v=" 62.1667 "/>
    <x v="0"/>
    <n v="16136"/>
    <m/>
    <m/>
    <m/>
  </r>
  <r>
    <x v="11"/>
    <x v="0"/>
    <s v="F:\images\20210325\plaque 1/@11 Anastrozole 4µg_L/A11_03.tif "/>
    <s v=" 1600.6122 "/>
    <s v=" 63.473 "/>
    <x v="0"/>
    <n v="101596"/>
    <m/>
    <m/>
    <m/>
  </r>
  <r>
    <x v="11"/>
    <x v="1"/>
    <s v="F:\images\20210325\plaque 1/@11 Anastrozole 4µg_L/B11_01.tif "/>
    <s v=" 3915.0109 "/>
    <s v=" 64.9779 "/>
    <x v="0"/>
    <n v="254389"/>
    <m/>
    <m/>
    <m/>
  </r>
  <r>
    <x v="11"/>
    <x v="1"/>
    <s v="F:\images\20210325\plaque 1/@11 Anastrozole 4µg_L/B11_02.tif "/>
    <s v=" 2530.6977 "/>
    <s v=" 64.2991 "/>
    <x v="0"/>
    <n v="162722"/>
    <m/>
    <m/>
    <m/>
  </r>
  <r>
    <x v="11"/>
    <x v="1"/>
    <s v="F:\images\20210325\plaque 1/@11 Anastrozole 4µg_L/B11_03.tif "/>
    <s v=" 1708.7617 "/>
    <s v=" 65.6329 "/>
    <x v="0"/>
    <n v="112151"/>
    <m/>
    <m/>
    <m/>
  </r>
  <r>
    <x v="11"/>
    <x v="2"/>
    <s v="F:\images\20210325\plaque 1/@11 Anastrozole 4µg_L/C11_01.tif "/>
    <s v=" 2400.9183 "/>
    <s v=" 64.7838 "/>
    <x v="0"/>
    <n v="155541"/>
    <m/>
    <m/>
    <m/>
  </r>
  <r>
    <x v="11"/>
    <x v="2"/>
    <s v="F:\images\20210325\plaque 1/@11 Anastrozole 4µg_L/C11_02.tif "/>
    <s v=" 951.7154 "/>
    <s v=" 64.0909 "/>
    <x v="0"/>
    <n v="60996"/>
    <m/>
    <m/>
    <m/>
  </r>
  <r>
    <x v="11"/>
    <x v="2"/>
    <s v="F:\images\20210325\plaque 1/@11 Anastrozole 4µg_L/C11_03.tif "/>
    <s v=" 2682.1069 "/>
    <s v=" 64.0645 "/>
    <x v="0"/>
    <n v="171828"/>
    <m/>
    <m/>
    <m/>
  </r>
  <r>
    <x v="11"/>
    <x v="3"/>
    <s v="F:\images\20210325\plaque 1/@11 Anastrozole 4µg_L/D11_01.tif "/>
    <s v=" 1492.4627 "/>
    <s v=" 65.8551 "/>
    <x v="0"/>
    <n v="98286"/>
    <m/>
    <m/>
    <m/>
  </r>
  <r>
    <x v="11"/>
    <x v="3"/>
    <s v="F:\images\20210325\plaque 1/@11 Anastrozole 4µg_L/D11_02.tif "/>
    <s v=" 324.4484 "/>
    <s v=" 63.6667 "/>
    <x v="0"/>
    <n v="20657"/>
    <m/>
    <m/>
    <m/>
  </r>
  <r>
    <x v="11"/>
    <x v="3"/>
    <s v="F:\images\20210325\plaque 1/@11 Anastrozole 4µg_L/D11_03.tif "/>
    <s v=" 1643.872 "/>
    <s v=" 64.7763 "/>
    <x v="0"/>
    <n v="106484"/>
    <m/>
    <m/>
    <m/>
  </r>
  <r>
    <x v="11"/>
    <x v="4"/>
    <s v="F:\images\20210325\plaque 1/@11 Anastrozole 4µg_L/E11_01.tif "/>
    <s v=" 1557.3524 "/>
    <s v=" 66.5278 "/>
    <x v="0"/>
    <n v="103607"/>
    <m/>
    <m/>
    <m/>
  </r>
  <r>
    <x v="11"/>
    <x v="4"/>
    <s v="F:\images\20210325\plaque 1/@11 Anastrozole 4µg_L/E11_02.tif "/>
    <s v=" 1059.8648 "/>
    <s v=" 64.2653 "/>
    <x v="0"/>
    <n v="68113"/>
    <m/>
    <m/>
    <m/>
  </r>
  <r>
    <x v="11"/>
    <x v="4"/>
    <s v="F:\images\20210325\plaque 1/@11 Anastrozole 4µg_L/E11_03.tif "/>
    <s v=" 757.0463 "/>
    <s v=" 66.8 "/>
    <x v="0"/>
    <n v="50571"/>
    <m/>
    <m/>
    <m/>
  </r>
  <r>
    <x v="11"/>
    <x v="5"/>
    <s v="F:\images\20210325\plaque 1/@11 Anastrozole 4µg_L/F11_01.tif "/>
    <s v=" 2227.8791 "/>
    <s v=" 62.6311 "/>
    <x v="0"/>
    <n v="139534"/>
    <m/>
    <m/>
    <m/>
  </r>
  <r>
    <x v="11"/>
    <x v="5"/>
    <s v="F:\images\20210325\plaque 1/@11 Anastrozole 4µg_L/F11_02.tif "/>
    <s v=" 2963.2956 "/>
    <s v=" 64.6788 "/>
    <x v="0"/>
    <n v="191662"/>
    <m/>
    <m/>
    <m/>
  </r>
  <r>
    <x v="11"/>
    <x v="5"/>
    <s v="F:\images\20210325\plaque 1/@11 Anastrozole 4µg_L/F11_03.tif "/>
    <s v=" 2033.2101 "/>
    <s v=" 63.6489 "/>
    <x v="0"/>
    <n v="129412"/>
    <m/>
    <m/>
    <m/>
  </r>
  <r>
    <x v="11"/>
    <x v="6"/>
    <s v="F:\images\20210325\plaque 1/@11 Anastrozole 4µg_L/G11_01- exclu.tif"/>
    <m/>
    <m/>
    <x v="1"/>
    <m/>
    <m/>
    <m/>
    <m/>
  </r>
  <r>
    <x v="11"/>
    <x v="6"/>
    <s v="F:\images\20210325\plaque 1/@11 Anastrozole 4µg_L/G11_02- exclu.tif"/>
    <m/>
    <m/>
    <x v="1"/>
    <m/>
    <m/>
    <m/>
    <m/>
  </r>
  <r>
    <x v="11"/>
    <x v="6"/>
    <s v="F:\images\20210325\plaque 1/@11 Anastrozole 4µg_L/G11_03- exclu.tif"/>
    <m/>
    <m/>
    <x v="1"/>
    <m/>
    <m/>
    <m/>
    <m/>
  </r>
  <r>
    <x v="11"/>
    <x v="7"/>
    <s v="F:\images\20210325\plaque 1/@11 Anastrozole 4µg_L/H11_01.tif "/>
    <s v=" 173.0392 "/>
    <s v=" 63.375 "/>
    <x v="0"/>
    <n v="10966"/>
    <m/>
    <m/>
    <m/>
  </r>
  <r>
    <x v="11"/>
    <x v="7"/>
    <s v="F:\images\20210325\plaque 1/@11 Anastrozole 4µg_L/H11_02.tif "/>
    <s v=" 757.0463 "/>
    <s v=" 63.3143 "/>
    <x v="0"/>
    <n v="47932"/>
    <m/>
    <m/>
    <m/>
  </r>
  <r>
    <x v="11"/>
    <x v="7"/>
    <s v="F:\images\20210325\plaque 1/@11 Anastrozole 4µg_L/H11_03.tif "/>
    <s v=" 562.3773 "/>
    <s v=" 64.8077 "/>
    <x v="0"/>
    <n v="36446"/>
    <m/>
    <m/>
    <m/>
  </r>
  <r>
    <x v="1"/>
    <x v="8"/>
    <s v=" "/>
    <m/>
    <m/>
    <x v="1"/>
    <m/>
    <m/>
    <m/>
    <m/>
  </r>
  <r>
    <x v="1"/>
    <x v="8"/>
    <s v="group "/>
    <s v=" "/>
    <s v=" mean of mean fluo "/>
    <x v="2"/>
    <s v=" mean of total fluo "/>
    <s v=" SD total fluo "/>
    <s v=" n fluorescent "/>
    <s v=" n total"/>
  </r>
  <r>
    <x v="11"/>
    <x v="9"/>
    <s v="F:\images\20210325\plaque 1/@11 Anastrozole 4µg_L/ "/>
    <s v=" "/>
    <s v=" 64.2728 "/>
    <x v="13"/>
    <s v=" 91432.2917 "/>
    <s v=" 67113.459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25\plaque 1/@12 Anastrozole 20 µg_L/A12_01.tif "/>
    <s v=" 389.3381 "/>
    <s v=" 63.1667 "/>
    <x v="0"/>
    <n v="24593"/>
    <m/>
    <m/>
    <m/>
  </r>
  <r>
    <x v="12"/>
    <x v="0"/>
    <s v="F:\images\20210325\plaque 1/@12 Anastrozole 20 µg_L/A12_02.tif "/>
    <s v=" 173.0392 "/>
    <s v=" 63.875 "/>
    <x v="0"/>
    <n v="11053"/>
    <m/>
    <m/>
    <m/>
  </r>
  <r>
    <x v="12"/>
    <x v="0"/>
    <s v="F:\images\20210325\plaque 1/@12 Anastrozole 20 µg_L/A12_03.tif "/>
    <s v=" 757.0463 "/>
    <s v=" 63.6 "/>
    <x v="0"/>
    <n v="48148"/>
    <m/>
    <m/>
    <m/>
  </r>
  <r>
    <x v="12"/>
    <x v="1"/>
    <s v="F:\images\20210325\plaque 1/@12 Anastrozole 20 µg_L/B12_01.tif "/>
    <s v=" 3179.5945 "/>
    <s v=" 64.966 "/>
    <x v="0"/>
    <n v="206565"/>
    <m/>
    <m/>
    <m/>
  </r>
  <r>
    <x v="12"/>
    <x v="1"/>
    <s v="F:\images\20210325\plaque 1/@12 Anastrozole 20 µg_L/B12_02.tif "/>
    <s v=" 1752.0215 "/>
    <s v=" 64.4321 "/>
    <x v="0"/>
    <n v="112886"/>
    <m/>
    <m/>
    <m/>
  </r>
  <r>
    <x v="12"/>
    <x v="1"/>
    <s v="F:\images\20210325\plaque 1/@12 Anastrozole 20 µg_L/B12_03.tif "/>
    <s v=" 2162.9895 "/>
    <s v=" 63.84 "/>
    <x v="0"/>
    <n v="138085"/>
    <m/>
    <m/>
    <m/>
  </r>
  <r>
    <x v="12"/>
    <x v="2"/>
    <s v="F:\images\20210325\plaque 1/@12 Anastrozole 20 µg_L/C12_01.tif "/>
    <s v=" 367.7082 "/>
    <s v=" 64.8824 "/>
    <x v="0"/>
    <n v="23858"/>
    <m/>
    <m/>
    <m/>
  </r>
  <r>
    <x v="12"/>
    <x v="2"/>
    <s v="F:\images\20210325\plaque 1/@12 Anastrozole 20 µg_L/C12_02.tif "/>
    <s v=" 519.1175 "/>
    <s v=" 63.9167 "/>
    <x v="0"/>
    <n v="33180"/>
    <m/>
    <m/>
    <m/>
  </r>
  <r>
    <x v="12"/>
    <x v="2"/>
    <s v="F:\images\20210325\plaque 1/@12 Anastrozole 20 µg_L/C12_03.tif "/>
    <s v=" 302.8185 "/>
    <s v=" 64.2857 "/>
    <x v="0"/>
    <n v="19467"/>
    <m/>
    <m/>
    <m/>
  </r>
  <r>
    <x v="12"/>
    <x v="3"/>
    <s v="F:\images\20210325\plaque 1/@12 Anastrozole 20 µg_L/D12_01.tif "/>
    <s v=" 2033.2101 "/>
    <s v=" 68.3404 "/>
    <x v="0"/>
    <n v="138950"/>
    <m/>
    <m/>
    <m/>
  </r>
  <r>
    <x v="12"/>
    <x v="3"/>
    <s v="F:\images\20210325\plaque 1/@12 Anastrozole 20 µg_L/D12_02.tif "/>
    <s v=" 2811.8863 "/>
    <s v=" 64.7538 "/>
    <x v="0"/>
    <n v="182080"/>
    <m/>
    <m/>
    <m/>
  </r>
  <r>
    <x v="12"/>
    <x v="3"/>
    <s v="F:\images\20210325\plaque 1/@12 Anastrozole 20 µg_L/D12_03.tif "/>
    <s v=" 1946.6905 "/>
    <s v=" 63.6889 "/>
    <x v="0"/>
    <n v="123983"/>
    <m/>
    <m/>
    <m/>
  </r>
  <r>
    <x v="12"/>
    <x v="4"/>
    <s v="F:\images\20210325\plaque 1/@12 Anastrozole 20 µg_L/E12_01.tif "/>
    <s v=" 1989.9503 "/>
    <s v=" 63.913 "/>
    <x v="0"/>
    <n v="127184"/>
    <m/>
    <m/>
    <m/>
  </r>
  <r>
    <x v="12"/>
    <x v="4"/>
    <s v="F:\images\20210325\plaque 1/@12 Anastrozole 20 µg_L/E12_02.tif "/>
    <s v=" 2379.2884 "/>
    <s v=" 65.9636 "/>
    <x v="0"/>
    <n v="156947"/>
    <m/>
    <m/>
    <m/>
  </r>
  <r>
    <x v="12"/>
    <x v="4"/>
    <s v="F:\images\20210325\plaque 1/@12 Anastrozole 20 µg_L/E12_03.tif "/>
    <s v=" 843.5659 "/>
    <s v=" 62.0769 "/>
    <x v="0"/>
    <n v="52366"/>
    <m/>
    <m/>
    <m/>
  </r>
  <r>
    <x v="12"/>
    <x v="5"/>
    <s v="F:\images\20210325\plaque 1/@12 Anastrozole 20 µg_L/F12_01.tif "/>
    <s v=" 1405.9432 "/>
    <s v=" 66.2615 "/>
    <x v="0"/>
    <n v="93160"/>
    <m/>
    <m/>
    <m/>
  </r>
  <r>
    <x v="12"/>
    <x v="5"/>
    <s v="F:\images\20210325\plaque 1/@12 Anastrozole 20 µg_L/F12_02.tif "/>
    <s v=" 2984.9255 "/>
    <s v=" 64.471 "/>
    <x v="0"/>
    <n v="192441"/>
    <m/>
    <m/>
    <m/>
  </r>
  <r>
    <x v="12"/>
    <x v="5"/>
    <s v="F:\images\20210325\plaque 1/@12 Anastrozole 20 µg_L/F12_03.tif "/>
    <s v=" 4585.5377 "/>
    <s v=" 66.2358 "/>
    <x v="0"/>
    <n v="303727"/>
    <m/>
    <m/>
    <m/>
  </r>
  <r>
    <x v="12"/>
    <x v="6"/>
    <s v="F:\images\20210325\plaque 1/@12 Anastrozole 20 µg_L/G12_01- exclu.tif"/>
    <m/>
    <m/>
    <x v="1"/>
    <m/>
    <m/>
    <m/>
    <m/>
  </r>
  <r>
    <x v="12"/>
    <x v="6"/>
    <s v="F:\images\20210325\plaque 1/@12 Anastrozole 20 µg_L/G12_02- exclu.tif"/>
    <m/>
    <m/>
    <x v="1"/>
    <m/>
    <m/>
    <m/>
    <m/>
  </r>
  <r>
    <x v="12"/>
    <x v="6"/>
    <s v="F:\images\20210325\plaque 1/@12 Anastrozole 20 µg_L/G12_03- exclu.tif"/>
    <m/>
    <m/>
    <x v="1"/>
    <m/>
    <m/>
    <m/>
    <m/>
  </r>
  <r>
    <x v="12"/>
    <x v="7"/>
    <s v="F:\images\20210325\plaque 1/@12 Anastrozole 20 µg_L/H12_01.tif "/>
    <s v=" 410.968 "/>
    <s v=" 64.2105 "/>
    <x v="0"/>
    <n v="26388"/>
    <m/>
    <m/>
    <m/>
  </r>
  <r>
    <x v="12"/>
    <x v="7"/>
    <s v="F:\images\20210325\plaque 1/@12 Anastrozole 20 µg_L/H12_02.tif "/>
    <s v=" 800.3061 "/>
    <s v=" 63.6216 "/>
    <x v="0"/>
    <n v="50917"/>
    <m/>
    <m/>
    <m/>
  </r>
  <r>
    <x v="12"/>
    <x v="7"/>
    <s v="F:\images\20210325\plaque 1/@12 Anastrozole 20 µg_L/H12_03.tif "/>
    <s v=" 346.0783 "/>
    <s v=" 63.5 "/>
    <x v="0"/>
    <n v="21976"/>
    <m/>
    <m/>
    <m/>
  </r>
  <r>
    <x v="1"/>
    <x v="8"/>
    <s v=" "/>
    <m/>
    <m/>
    <x v="1"/>
    <m/>
    <m/>
    <m/>
    <m/>
  </r>
  <r>
    <x v="1"/>
    <x v="8"/>
    <s v="group "/>
    <s v=" "/>
    <s v=" mean of mean fluo "/>
    <x v="2"/>
    <s v=" mean of total fluo "/>
    <s v=" SD total fluo "/>
    <s v=" n fluorescent "/>
    <s v=" n total"/>
  </r>
  <r>
    <x v="12"/>
    <x v="9"/>
    <s v="F:\images\20210325\plaque 1/@12 Anastrozole 20 µg_L/ "/>
    <s v=" "/>
    <s v=" 66.0027 "/>
    <x v="14"/>
    <s v=" 171552.042 "/>
    <s v=" 208653.2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25\plaque 2/@01 Testo 30/A1_01.tif "/>
    <s v=" 2746.9966 "/>
    <s v=" 67.1575 "/>
    <x v="0"/>
    <n v="184481"/>
    <m/>
    <m/>
    <m/>
  </r>
  <r>
    <x v="13"/>
    <x v="0"/>
    <s v="F:\images\20210325\plaque 2/@01 Testo 30/A1_02.tif "/>
    <s v=" 6705.2673 "/>
    <s v=" 72.4742 "/>
    <x v="0"/>
    <n v="485959"/>
    <m/>
    <m/>
    <m/>
  </r>
  <r>
    <x v="13"/>
    <x v="0"/>
    <s v="F:\images\20210325\plaque 2/@01 Testo 30/A1_03.tif "/>
    <s v=" 3157.9646 "/>
    <s v=" 70.2397 "/>
    <x v="0"/>
    <n v="221815"/>
    <m/>
    <m/>
    <m/>
  </r>
  <r>
    <x v="13"/>
    <x v="1"/>
    <s v="F:\images\20210325\plaque 2/@01 Testo 30/B1_01.tif "/>
    <s v=" 865.1958 "/>
    <s v=" 64.6 "/>
    <x v="0"/>
    <n v="55892"/>
    <m/>
    <m/>
    <m/>
  </r>
  <r>
    <x v="13"/>
    <x v="1"/>
    <s v="F:\images\20210325\plaque 2/@01 Testo 30/B1_02.tif "/>
    <s v=" 173.0392 "/>
    <s v=" 65.125 "/>
    <x v="0"/>
    <n v="11269"/>
    <m/>
    <m/>
    <m/>
  </r>
  <r>
    <x v="13"/>
    <x v="1"/>
    <s v="F:\images\20210325\plaque 2/@01 Testo 30/B1_03.tif "/>
    <s v=" 2076.4699 "/>
    <s v=" 65.2396 "/>
    <x v="0"/>
    <n v="135468"/>
    <m/>
    <m/>
    <m/>
  </r>
  <r>
    <x v="13"/>
    <x v="2"/>
    <s v="F:\images\20210325\plaque 2/@01 Testo 30/C1_01.tif "/>
    <s v=" 37462.9775 "/>
    <s v=" 71.168 "/>
    <x v="0"/>
    <n v="2666166"/>
    <m/>
    <m/>
    <m/>
  </r>
  <r>
    <x v="13"/>
    <x v="2"/>
    <s v="F:\images\20210325\plaque 2/@01 Testo 30/C1_02.tif "/>
    <s v=" 33483.0769 "/>
    <s v=" 70.8786 "/>
    <x v="0"/>
    <n v="2373232"/>
    <m/>
    <m/>
    <m/>
  </r>
  <r>
    <x v="13"/>
    <x v="2"/>
    <s v="F:\images\20210325\plaque 2/@01 Testo 30/C1_03.tif "/>
    <s v=" 35256.7282 "/>
    <s v=" 70.4675 "/>
    <x v="0"/>
    <n v="2484453"/>
    <m/>
    <m/>
    <m/>
  </r>
  <r>
    <x v="13"/>
    <x v="3"/>
    <s v="F:\images\20210325\plaque 2/@01 Testo 30/D1_01.tif "/>
    <s v=" 47023.3909 "/>
    <s v=" 79.075 "/>
    <x v="0"/>
    <n v="3718374"/>
    <m/>
    <m/>
    <m/>
  </r>
  <r>
    <x v="13"/>
    <x v="3"/>
    <s v="F:\images\20210325\plaque 2/@01 Testo 30/D1_02.tif "/>
    <s v=" 46785.4621 "/>
    <s v=" 78.5636 "/>
    <x v="0"/>
    <n v="3675633"/>
    <m/>
    <m/>
    <m/>
  </r>
  <r>
    <x v="13"/>
    <x v="3"/>
    <s v="F:\images\20210325\plaque 2/@01 Testo 30/D1_03.tif "/>
    <s v=" 44427.8036 "/>
    <s v=" 77.6344 "/>
    <x v="0"/>
    <n v="3449125"/>
    <m/>
    <m/>
    <m/>
  </r>
  <r>
    <x v="13"/>
    <x v="4"/>
    <s v="F:\images\20210325\plaque 2/@01 Testo 30/E1_01.tif "/>
    <s v=" 47520.8785 "/>
    <s v=" 80.1598 "/>
    <x v="0"/>
    <n v="3809262"/>
    <m/>
    <m/>
    <m/>
  </r>
  <r>
    <x v="13"/>
    <x v="4"/>
    <s v="F:\images\20210325\plaque 2/@01 Testo 30/E1_02.tif "/>
    <s v=" 43540.9779 "/>
    <s v=" 79.5181 "/>
    <x v="0"/>
    <n v="3462297"/>
    <m/>
    <m/>
    <m/>
  </r>
  <r>
    <x v="13"/>
    <x v="4"/>
    <s v="F:\images\20210325\plaque 2/@01 Testo 30/E1_03.tif "/>
    <s v=" 39647.5969 "/>
    <s v=" 75.8522 "/>
    <x v="0"/>
    <n v="3007356"/>
    <m/>
    <m/>
    <m/>
  </r>
  <r>
    <x v="13"/>
    <x v="5"/>
    <s v="F:\images\20210325\plaque 2/@01 Testo 30/F1_01.tif "/>
    <s v=" 25544.9056 "/>
    <s v=" 71.9272 "/>
    <x v="0"/>
    <n v="1837373"/>
    <m/>
    <m/>
    <m/>
  </r>
  <r>
    <x v="13"/>
    <x v="5"/>
    <s v="F:\images\20210325\plaque 2/@01 Testo 30/F1_02.tif "/>
    <s v=" 23468.4357 "/>
    <s v=" 72.5613 "/>
    <x v="0"/>
    <n v="1702900"/>
    <m/>
    <m/>
    <m/>
  </r>
  <r>
    <x v="13"/>
    <x v="5"/>
    <s v="F:\images\20210325\plaque 2/@01 Testo 30/F1_03.tif "/>
    <s v=" 20267.2113 "/>
    <s v=" 70.1387 "/>
    <x v="0"/>
    <n v="1421517"/>
    <m/>
    <m/>
    <m/>
  </r>
  <r>
    <x v="13"/>
    <x v="6"/>
    <s v="F:\images\20210325\plaque 2/@01 Testo 30/G1_01.tif "/>
    <s v=" 15162.5561 "/>
    <s v=" 77.3267 "/>
    <x v="0"/>
    <n v="1172470"/>
    <m/>
    <m/>
    <m/>
  </r>
  <r>
    <x v="13"/>
    <x v="6"/>
    <s v="F:\images\20210325\plaque 2/@01 Testo 30/G1_02.tif "/>
    <s v=" 30065.5535 "/>
    <s v=" 80.641 "/>
    <x v="0"/>
    <n v="2424517"/>
    <m/>
    <m/>
    <m/>
  </r>
  <r>
    <x v="13"/>
    <x v="6"/>
    <s v="F:\images\20210325\plaque 2/@01 Testo 30/G1_03.tif "/>
    <s v=" 8132.8404 "/>
    <s v=" 70.3005 "/>
    <x v="0"/>
    <n v="571743"/>
    <m/>
    <m/>
    <m/>
  </r>
  <r>
    <x v="13"/>
    <x v="7"/>
    <s v="F:\images\20210325\plaque 2/@01 Testo 30/H1_01.tif "/>
    <s v=" 60585.3349 "/>
    <s v=" 75.6373 "/>
    <x v="0"/>
    <n v="4582509"/>
    <m/>
    <m/>
    <m/>
  </r>
  <r>
    <x v="13"/>
    <x v="7"/>
    <s v="F:\images\20210325\plaque 2/@01 Testo 30/H1_02.tif "/>
    <s v=" 46525.9033 "/>
    <s v=" 74.9823 "/>
    <x v="0"/>
    <n v="3488621"/>
    <m/>
    <m/>
    <m/>
  </r>
  <r>
    <x v="13"/>
    <x v="7"/>
    <s v="F:\images\20210325\plaque 2/@01 Testo 30/H1_03.tif "/>
    <s v=" 52084.7863 "/>
    <s v=" 74.5669 "/>
    <x v="0"/>
    <n v="3883799"/>
    <m/>
    <m/>
    <m/>
  </r>
  <r>
    <x v="1"/>
    <x v="8"/>
    <s v=" "/>
    <m/>
    <m/>
    <x v="1"/>
    <m/>
    <m/>
    <m/>
    <m/>
  </r>
  <r>
    <x v="1"/>
    <x v="8"/>
    <s v="group "/>
    <s v=" "/>
    <s v=" mean of mean fluo "/>
    <x v="2"/>
    <s v=" mean of total fluo "/>
    <s v=" SD total fluo "/>
    <s v=" n fluorescent "/>
    <s v=" n total"/>
  </r>
  <r>
    <x v="13"/>
    <x v="9"/>
    <s v="F:\images\20210325\plaque 2/@01 Testo 30/ "/>
    <s v=" "/>
    <s v=" 73.1765 "/>
    <x v="15"/>
    <s v=" 2117759.62 "/>
    <s v=" 1482092.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25\plaque 2/@02 Testo 30/A2_01.tif "/>
    <s v=" 40837.2411 "/>
    <s v=" 74.0493 "/>
    <x v="0"/>
    <n v="3023967"/>
    <m/>
    <m/>
    <m/>
  </r>
  <r>
    <x v="14"/>
    <x v="0"/>
    <s v="F:\images\20210325\plaque 2/@02 Testo 30/A2_02.tif "/>
    <s v=" 45574.188 "/>
    <s v=" 71.7295 "/>
    <x v="0"/>
    <n v="3269012"/>
    <m/>
    <m/>
    <m/>
  </r>
  <r>
    <x v="14"/>
    <x v="0"/>
    <s v="F:\images\20210325\plaque 2/@02 Testo 30/A2_03.tif "/>
    <s v=" 39928.7855 "/>
    <s v=" 74.2936 "/>
    <x v="0"/>
    <n v="2966454"/>
    <m/>
    <m/>
    <m/>
  </r>
  <r>
    <x v="14"/>
    <x v="1"/>
    <s v="F:\images\20210325\plaque 2/@02 Testo 30/B2_01.tif "/>
    <s v=" 17996.0723 "/>
    <s v=" 69.7548 "/>
    <x v="0"/>
    <n v="1255313"/>
    <m/>
    <m/>
    <m/>
  </r>
  <r>
    <x v="14"/>
    <x v="1"/>
    <s v="F:\images\20210325\plaque 2/@02 Testo 30/B2_02.tif "/>
    <s v=" 14838.1077 "/>
    <s v=" 68.0831 "/>
    <x v="0"/>
    <n v="1010224"/>
    <m/>
    <m/>
    <m/>
  </r>
  <r>
    <x v="14"/>
    <x v="1"/>
    <s v="F:\images\20210325\plaque 2/@02 Testo 30/B2_03.tif "/>
    <s v=" 14275.7305 "/>
    <s v=" 67.647 "/>
    <x v="0"/>
    <n v="965710"/>
    <m/>
    <m/>
    <m/>
  </r>
  <r>
    <x v="14"/>
    <x v="2"/>
    <s v="F:\images\20210325\plaque 2/@02 Testo 30/C2_01.tif "/>
    <s v=" 14254.1006 "/>
    <s v=" 67.61 "/>
    <x v="0"/>
    <n v="963720"/>
    <m/>
    <m/>
    <m/>
  </r>
  <r>
    <x v="14"/>
    <x v="2"/>
    <s v="F:\images\20210325\plaque 2/@02 Testo 30/C2_02.tif "/>
    <s v=" 15724.9334 "/>
    <s v=" 66.8487 "/>
    <x v="0"/>
    <n v="1051191"/>
    <m/>
    <m/>
    <m/>
  </r>
  <r>
    <x v="14"/>
    <x v="2"/>
    <s v="F:\images\20210325\plaque 2/@02 Testo 30/C2_03.tif "/>
    <s v=" 12740.0079 "/>
    <s v=" 65.8336 "/>
    <x v="0"/>
    <n v="838721"/>
    <m/>
    <m/>
    <m/>
  </r>
  <r>
    <x v="14"/>
    <x v="3"/>
    <s v="F:\images\20210325\plaque 2/@02 Testo 30/D2_01.tif "/>
    <s v=" 37506.2373 "/>
    <s v=" 75.2768 "/>
    <x v="0"/>
    <n v="2823350"/>
    <m/>
    <m/>
    <m/>
  </r>
  <r>
    <x v="14"/>
    <x v="3"/>
    <s v="F:\images\20210325\plaque 2/@02 Testo 30/D2_02.tif "/>
    <s v=" 36532.892 "/>
    <s v=" 75.1403 "/>
    <x v="0"/>
    <n v="2745093"/>
    <m/>
    <m/>
    <m/>
  </r>
  <r>
    <x v="14"/>
    <x v="3"/>
    <s v="F:\images\20210325\plaque 2/@02 Testo 30/D2_03.tif "/>
    <s v=" 38371.4331 "/>
    <s v=" 74.137 "/>
    <x v="0"/>
    <n v="2844742"/>
    <m/>
    <m/>
    <m/>
  </r>
  <r>
    <x v="14"/>
    <x v="4"/>
    <s v="F:\images\20210325\plaque 2/@02 Testo 30/E2_01.tif "/>
    <s v=" 33288.4078 "/>
    <s v=" 69.8025 "/>
    <x v="0"/>
    <n v="2323613"/>
    <m/>
    <m/>
    <m/>
  </r>
  <r>
    <x v="14"/>
    <x v="4"/>
    <s v="F:\images\20210325\plaque 2/@02 Testo 30/E2_02.tif "/>
    <s v=" 33721.0057 "/>
    <s v=" 71.9795 "/>
    <x v="0"/>
    <n v="2427220"/>
    <m/>
    <m/>
    <m/>
  </r>
  <r>
    <x v="14"/>
    <x v="4"/>
    <s v="F:\images\20210325\plaque 2/@02 Testo 30/E2_03.tif "/>
    <s v=" 29157.098 "/>
    <s v=" 71.1751 "/>
    <x v="0"/>
    <n v="2075259"/>
    <m/>
    <m/>
    <m/>
  </r>
  <r>
    <x v="14"/>
    <x v="5"/>
    <s v="F:\images\20210325\plaque 2/@02 Testo 30/F2_01.tif "/>
    <s v=" 35732.5859 "/>
    <s v=" 77.9976 "/>
    <x v="0"/>
    <n v="2787055"/>
    <m/>
    <m/>
    <m/>
  </r>
  <r>
    <x v="14"/>
    <x v="5"/>
    <s v="F:\images\20210325\plaque 2/@02 Testo 30/F2_02.tif "/>
    <s v=" 36338.223 "/>
    <s v=" 73.1357 "/>
    <x v="0"/>
    <n v="2657622"/>
    <m/>
    <m/>
    <m/>
  </r>
  <r>
    <x v="14"/>
    <x v="5"/>
    <s v="F:\images\20210325\plaque 2/@02 Testo 30/F2_03- exclu.tif"/>
    <m/>
    <m/>
    <x v="1"/>
    <m/>
    <m/>
    <m/>
    <m/>
  </r>
  <r>
    <x v="14"/>
    <x v="6"/>
    <s v="F:\images\20210325\plaque 2/@02 Testo 30/G2_01.tif "/>
    <s v=" 47715.5476 "/>
    <s v=" 73.1881 "/>
    <x v="0"/>
    <n v="3492211"/>
    <m/>
    <m/>
    <m/>
  </r>
  <r>
    <x v="14"/>
    <x v="6"/>
    <s v="F:\images\20210325\plaque 2/@02 Testo 30/G2_02.tif "/>
    <s v=" 54485.7046 "/>
    <s v=" 74.1211 "/>
    <x v="0"/>
    <n v="4038539"/>
    <m/>
    <m/>
    <m/>
  </r>
  <r>
    <x v="14"/>
    <x v="6"/>
    <s v="F:\images\20210325\plaque 2/@02 Testo 30/G2_03.tif "/>
    <s v=" 48840.3021 "/>
    <s v=" 73.4504 "/>
    <x v="0"/>
    <n v="3587340"/>
    <m/>
    <m/>
    <m/>
  </r>
  <r>
    <x v="14"/>
    <x v="7"/>
    <s v="F:\images\20210325\plaque 2/@02 Testo 30/H2_01.tif "/>
    <s v=" 49013.3412 "/>
    <s v=" 78.8358 "/>
    <x v="0"/>
    <n v="3864008"/>
    <m/>
    <m/>
    <m/>
  </r>
  <r>
    <x v="14"/>
    <x v="7"/>
    <s v="F:\images\20210325\plaque 2/@02 Testo 30/H2_02.tif "/>
    <s v=" 46980.1311 "/>
    <s v=" 77.4245 "/>
    <x v="0"/>
    <n v="3637413"/>
    <m/>
    <m/>
    <m/>
  </r>
  <r>
    <x v="14"/>
    <x v="7"/>
    <s v="F:\images\20210325\plaque 2/@02 Testo 30/H2_03.tif "/>
    <s v=" 45920.2663 "/>
    <s v=" 78.4366 "/>
    <x v="0"/>
    <n v="3601832"/>
    <m/>
    <m/>
    <m/>
  </r>
  <r>
    <x v="1"/>
    <x v="8"/>
    <s v=" "/>
    <m/>
    <m/>
    <x v="1"/>
    <m/>
    <m/>
    <m/>
    <m/>
  </r>
  <r>
    <x v="1"/>
    <x v="8"/>
    <s v="group "/>
    <s v=" "/>
    <s v=" mean of mean fluo "/>
    <x v="2"/>
    <s v=" mean of total fluo "/>
    <s v=" SD total fluo "/>
    <s v=" n fluorescent "/>
    <s v=" n total"/>
  </r>
  <r>
    <x v="14"/>
    <x v="9"/>
    <s v="F:\images\20210325\plaque 2/@02 Testo 30/ "/>
    <s v=" "/>
    <s v=" 72.4897 "/>
    <x v="16"/>
    <s v=" 2474625.79 "/>
    <s v=" 1058408.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25\plaque 2/@03 Testo+ EE2 64/A3_01.tif "/>
    <s v=" 48450.964 "/>
    <s v=" 82.3299 "/>
    <x v="0"/>
    <n v="3988964"/>
    <m/>
    <m/>
    <m/>
  </r>
  <r>
    <x v="15"/>
    <x v="0"/>
    <s v="F:\images\20210325\plaque 2/@03 Testo+ EE2 64/A3_02.tif "/>
    <s v=" 50722.1029 "/>
    <s v=" 85.1974 "/>
    <x v="0"/>
    <n v="4321393"/>
    <m/>
    <m/>
    <m/>
  </r>
  <r>
    <x v="15"/>
    <x v="0"/>
    <s v="F:\images\20210325\plaque 2/@03 Testo+ EE2 64/A3_03.tif "/>
    <s v=" 52885.0924 "/>
    <s v=" 81.7137 "/>
    <x v="0"/>
    <n v="4321437"/>
    <m/>
    <m/>
    <m/>
  </r>
  <r>
    <x v="15"/>
    <x v="1"/>
    <s v="F:\images\20210325\plaque 2/@03 Testo+ EE2 64/B3_01.tif "/>
    <s v=" 40967.0204 "/>
    <s v=" 74.6484 "/>
    <x v="0"/>
    <n v="3058121"/>
    <m/>
    <m/>
    <m/>
  </r>
  <r>
    <x v="15"/>
    <x v="1"/>
    <s v="F:\images\20210325\plaque 2/@03 Testo+ EE2 64/B3_02.tif "/>
    <s v=" 35948.8849 "/>
    <s v=" 74.9158 "/>
    <x v="0"/>
    <n v="2693138"/>
    <m/>
    <m/>
    <m/>
  </r>
  <r>
    <x v="15"/>
    <x v="1"/>
    <s v="F:\images\20210325\plaque 2/@03 Testo+ EE2 64/B3_03.tif "/>
    <s v=" 43216.5295 "/>
    <s v=" 75.6416 "/>
    <x v="0"/>
    <n v="3268969"/>
    <m/>
    <m/>
    <m/>
  </r>
  <r>
    <x v="15"/>
    <x v="2"/>
    <s v="F:\images\20210325\plaque 2/@03 Testo+ EE2 64/C3_01.tif "/>
    <s v=" 37873.9455 "/>
    <s v=" 75.0988 "/>
    <x v="0"/>
    <n v="2844288"/>
    <m/>
    <m/>
    <m/>
  </r>
  <r>
    <x v="15"/>
    <x v="2"/>
    <s v="F:\images\20210325\plaque 2/@03 Testo+ EE2 64/C3_02.tif "/>
    <s v=" 45595.8179 "/>
    <s v=" 75.1945 "/>
    <x v="0"/>
    <n v="3428555"/>
    <m/>
    <m/>
    <m/>
  </r>
  <r>
    <x v="15"/>
    <x v="2"/>
    <s v="F:\images\20210325\plaque 2/@03 Testo+ EE2 64/C3_03.tif "/>
    <s v=" 45833.7467 "/>
    <s v=" 83.8433 "/>
    <x v="0"/>
    <n v="3842854"/>
    <m/>
    <m/>
    <m/>
  </r>
  <r>
    <x v="15"/>
    <x v="3"/>
    <s v="F:\images\20210325\plaque 2/@03 Testo+ EE2 64/D3_01.tif "/>
    <s v=" 46525.9033 "/>
    <s v=" 75.6625 "/>
    <x v="0"/>
    <n v="3520265"/>
    <m/>
    <m/>
    <m/>
  </r>
  <r>
    <x v="15"/>
    <x v="3"/>
    <s v="F:\images\20210325\plaque 2/@03 Testo+ EE2 64/D3_02.tif "/>
    <s v=" 42935.3408 "/>
    <s v=" 74.3894 "/>
    <x v="0"/>
    <n v="3193935"/>
    <m/>
    <m/>
    <m/>
  </r>
  <r>
    <x v="15"/>
    <x v="3"/>
    <s v="F:\images\20210325\plaque 2/@03 Testo+ EE2 64/D3_03.tif "/>
    <s v=" 46006.7859 "/>
    <s v=" 76.3512 "/>
    <x v="0"/>
    <n v="3512673"/>
    <m/>
    <m/>
    <m/>
  </r>
  <r>
    <x v="15"/>
    <x v="4"/>
    <s v="F:\images\20210325\plaque 2/@03 Testo+ EE2 64/E3_01.tif "/>
    <s v=" 15962.8622 "/>
    <s v=" 73.6328 "/>
    <x v="0"/>
    <n v="1175390"/>
    <m/>
    <m/>
    <m/>
  </r>
  <r>
    <x v="15"/>
    <x v="4"/>
    <s v="F:\images\20210325\plaque 2/@03 Testo+ EE2 64/E3_02.tif "/>
    <s v=" 14124.3212 "/>
    <s v=" 71.0459 "/>
    <x v="0"/>
    <n v="1003476"/>
    <m/>
    <m/>
    <m/>
  </r>
  <r>
    <x v="15"/>
    <x v="4"/>
    <s v="F:\images\20210325\plaque 2/@03 Testo+ EE2 64/E3_03.tif "/>
    <s v=" 19899.5031 "/>
    <s v=" 68.9207 "/>
    <x v="0"/>
    <n v="1371487"/>
    <m/>
    <m/>
    <m/>
  </r>
  <r>
    <x v="15"/>
    <x v="5"/>
    <s v="F:\images\20210325\plaque 2/@03 Testo+ EE2 64/F3_01.tif "/>
    <s v=" 24658.0799 "/>
    <s v=" 72.214 "/>
    <x v="0"/>
    <n v="1780659"/>
    <m/>
    <m/>
    <m/>
  </r>
  <r>
    <x v="15"/>
    <x v="5"/>
    <s v="F:\images\20210325\plaque 2/@03 Testo+ EE2 64/F3_02.tif "/>
    <s v=" 23490.0656 "/>
    <s v=" 75.582 "/>
    <x v="0"/>
    <n v="1775425"/>
    <m/>
    <m/>
    <m/>
  </r>
  <r>
    <x v="15"/>
    <x v="5"/>
    <s v="F:\images\20210325\plaque 2/@03 Testo+ EE2 64/F3_03.tif "/>
    <s v=" 25306.9767 "/>
    <s v=" 73.7103 "/>
    <x v="0"/>
    <n v="1865384"/>
    <m/>
    <m/>
    <m/>
  </r>
  <r>
    <x v="15"/>
    <x v="6"/>
    <s v="F:\images\20210325\plaque 2/@03 Testo+ EE2 64/G3_01.tif "/>
    <s v=" 56259.3559 "/>
    <s v=" 82.0369 "/>
    <x v="0"/>
    <n v="4615344"/>
    <m/>
    <m/>
    <m/>
  </r>
  <r>
    <x v="15"/>
    <x v="6"/>
    <s v="F:\images\20210325\plaque 2/@03 Testo+ EE2 64/G3_02.tif "/>
    <s v=" 56064.6869 "/>
    <s v=" 83.7184 "/>
    <x v="0"/>
    <n v="4693644"/>
    <m/>
    <m/>
    <m/>
  </r>
  <r>
    <x v="15"/>
    <x v="6"/>
    <s v="F:\images\20210325\plaque 2/@03 Testo+ EE2 64/G3_03.tif "/>
    <s v=" 50051.5762 "/>
    <s v=" 85.6534 "/>
    <x v="0"/>
    <n v="4287088"/>
    <m/>
    <m/>
    <m/>
  </r>
  <r>
    <x v="15"/>
    <x v="7"/>
    <s v="F:\images\20210325\plaque 2/@03 Testo+ EE2 64/H3_01.tif "/>
    <s v=" 63894.7087 "/>
    <s v=" 78.5724 "/>
    <x v="0"/>
    <n v="5020363"/>
    <m/>
    <m/>
    <m/>
  </r>
  <r>
    <x v="15"/>
    <x v="7"/>
    <s v="F:\images\20210325\plaque 2/@03 Testo+ EE2 64/H3_02.tif "/>
    <s v=" 56086.3168 "/>
    <s v=" 80.0779 "/>
    <x v="0"/>
    <n v="4491275"/>
    <m/>
    <m/>
    <m/>
  </r>
  <r>
    <x v="15"/>
    <x v="7"/>
    <s v="F:\images\20210325\plaque 2/@03 Testo+ EE2 64/H3_03.tif "/>
    <s v=" 58422.3454 "/>
    <s v=" 77.9715 "/>
    <x v="0"/>
    <n v="4555277"/>
    <m/>
    <m/>
    <m/>
  </r>
  <r>
    <x v="1"/>
    <x v="8"/>
    <s v=" "/>
    <m/>
    <m/>
    <x v="1"/>
    <m/>
    <m/>
    <m/>
    <m/>
  </r>
  <r>
    <x v="1"/>
    <x v="8"/>
    <s v="group "/>
    <s v=" "/>
    <s v=" mean of mean fluo "/>
    <x v="2"/>
    <s v=" mean of total fluo "/>
    <s v=" SD total fluo "/>
    <s v=" n fluorescent "/>
    <s v=" n total"/>
  </r>
  <r>
    <x v="15"/>
    <x v="9"/>
    <s v="F:\images\20210325\plaque 2/@03 Testo+ EE2 64/ "/>
    <s v=" "/>
    <s v=" 77.4218 "/>
    <x v="17"/>
    <s v=" 3276225.17 "/>
    <s v=" 1222942.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25\plaque 2/@04 Testo+ FAD/A4_01.tif "/>
    <s v=" 5277.6943 "/>
    <s v=" 68.1885 "/>
    <x v="0"/>
    <n v="359878"/>
    <m/>
    <m/>
    <m/>
  </r>
  <r>
    <x v="16"/>
    <x v="0"/>
    <s v="F:\images\20210325\plaque 2/@04 Testo+ FAD/A4_02- exclu.tif"/>
    <m/>
    <m/>
    <x v="1"/>
    <m/>
    <m/>
    <m/>
    <m/>
  </r>
  <r>
    <x v="16"/>
    <x v="0"/>
    <s v="F:\images\20210325\plaque 2/@04 Testo+ FAD/A4_03.tif "/>
    <s v=" 1946.6905 "/>
    <s v=" 67.8111 "/>
    <x v="0"/>
    <n v="132007"/>
    <m/>
    <m/>
    <m/>
  </r>
  <r>
    <x v="16"/>
    <x v="1"/>
    <s v="F:\images\20210325\plaque 2/@04 Testo+ FAD/B4_01.tif "/>
    <s v=" 2703.7368 "/>
    <s v=" 67.312 "/>
    <x v="0"/>
    <n v="181994"/>
    <m/>
    <m/>
    <m/>
  </r>
  <r>
    <x v="16"/>
    <x v="1"/>
    <s v="F:\images\20210325\plaque 2/@04 Testo+ FAD/B4_02.tif "/>
    <s v=" 5818.4417 "/>
    <s v=" 63.2156 "/>
    <x v="0"/>
    <n v="367816"/>
    <m/>
    <m/>
    <m/>
  </r>
  <r>
    <x v="16"/>
    <x v="1"/>
    <s v="F:\images\20210325\plaque 2/@04 Testo+ FAD/B4_03.tif "/>
    <s v=" 4412.4985 "/>
    <s v=" 62.6127 "/>
    <x v="0"/>
    <n v="276279"/>
    <m/>
    <m/>
    <m/>
  </r>
  <r>
    <x v="16"/>
    <x v="2"/>
    <s v="F:\images\20210325\plaque 2/@04 Testo+ FAD/C4_01.tif "/>
    <s v=" 6056.3705 "/>
    <s v=" 69.6464 "/>
    <x v="0"/>
    <n v="421805"/>
    <m/>
    <m/>
    <m/>
  </r>
  <r>
    <x v="16"/>
    <x v="2"/>
    <s v="F:\images\20210325\plaque 2/@04 Testo+ FAD/C4_02.tif "/>
    <s v=" 6402.4488 "/>
    <s v=" 70.0845 "/>
    <x v="0"/>
    <n v="448712"/>
    <m/>
    <m/>
    <m/>
  </r>
  <r>
    <x v="16"/>
    <x v="2"/>
    <s v="F:\images\20210325\plaque 2/@04 Testo+ FAD/C4_03.tif "/>
    <s v=" 7527.2033 "/>
    <s v=" 67.6782 "/>
    <x v="0"/>
    <n v="509427"/>
    <m/>
    <m/>
    <m/>
  </r>
  <r>
    <x v="16"/>
    <x v="3"/>
    <s v="F:\images\20210325\plaque 2/@04 Testo+ FAD/D4_01.tif "/>
    <s v=" 1449.2029 "/>
    <s v=" 66.5672 "/>
    <x v="0"/>
    <n v="96469"/>
    <m/>
    <m/>
    <m/>
  </r>
  <r>
    <x v="16"/>
    <x v="3"/>
    <s v="F:\images\20210325\plaque 2/@04 Testo+ FAD/D4_02.tif "/>
    <s v=" 951.7154 "/>
    <s v=" 66.0909 "/>
    <x v="0"/>
    <n v="62900"/>
    <m/>
    <m/>
    <m/>
  </r>
  <r>
    <x v="16"/>
    <x v="3"/>
    <s v="F:\images\20210325\plaque 2/@04 Testo+ FAD/D4_03.tif "/>
    <s v=" 4261.0892 "/>
    <s v=" 69.0964 "/>
    <x v="0"/>
    <n v="294426"/>
    <m/>
    <m/>
    <m/>
  </r>
  <r>
    <x v="16"/>
    <x v="4"/>
    <s v="F:\images\20210325\plaque 2/@04 Testo+ FAD/E4_01.tif "/>
    <s v=" 7354.1642 "/>
    <s v=" 72.0824 "/>
    <x v="0"/>
    <n v="530105"/>
    <m/>
    <m/>
    <m/>
  </r>
  <r>
    <x v="16"/>
    <x v="4"/>
    <s v="F:\images\20210325\plaque 2/@04 Testo+ FAD/E4_02.tif "/>
    <s v=" 6229.4097 "/>
    <s v=" 71.9201 "/>
    <x v="0"/>
    <n v="448020"/>
    <m/>
    <m/>
    <m/>
  </r>
  <r>
    <x v="16"/>
    <x v="4"/>
    <s v="F:\images\20210325\plaque 2/@04 Testo+ FAD/E4_03.tif "/>
    <s v=" 2617.2173 "/>
    <s v=" 67.8182 "/>
    <x v="0"/>
    <n v="177495"/>
    <m/>
    <m/>
    <m/>
  </r>
  <r>
    <x v="16"/>
    <x v="5"/>
    <s v="F:\images\20210325\plaque 2/@04 Testo+ FAD/F4_01.tif "/>
    <s v=" 346.0783 "/>
    <s v=" 63.75 "/>
    <x v="0"/>
    <n v="22062"/>
    <m/>
    <m/>
    <m/>
  </r>
  <r>
    <x v="16"/>
    <x v="5"/>
    <s v="F:\images\20210325\plaque 2/@04 Testo+ FAD/F4_02.tif "/>
    <s v=" 735.4164 "/>
    <s v=" 65.7353 "/>
    <x v="0"/>
    <n v="48343"/>
    <m/>
    <m/>
    <m/>
  </r>
  <r>
    <x v="16"/>
    <x v="5"/>
    <s v="F:\images\20210325\plaque 2/@04 Testo+ FAD/F4_03.tif "/>
    <s v=" 908.4556 "/>
    <s v=" 65.1667 "/>
    <x v="0"/>
    <n v="59201"/>
    <m/>
    <m/>
    <m/>
  </r>
  <r>
    <x v="16"/>
    <x v="6"/>
    <s v="F:\images\20210325\plaque 2/@04 Testo+ FAD/G4_01.tif "/>
    <s v=" 10317.4597 "/>
    <s v=" 76.7149 "/>
    <x v="0"/>
    <n v="791503"/>
    <m/>
    <m/>
    <m/>
  </r>
  <r>
    <x v="16"/>
    <x v="6"/>
    <s v="F:\images\20210325\plaque 2/@04 Testo+ FAD/G4_02.tif "/>
    <s v=" 3915.0109 "/>
    <s v=" 68.5304 "/>
    <x v="0"/>
    <n v="268297"/>
    <m/>
    <m/>
    <m/>
  </r>
  <r>
    <x v="16"/>
    <x v="6"/>
    <s v="F:\images\20210325\plaque 2/@04 Testo+ FAD/G4_03.tif "/>
    <s v=" 259.5587 "/>
    <s v=" 63.6667 "/>
    <x v="0"/>
    <n v="16525"/>
    <m/>
    <m/>
    <m/>
  </r>
  <r>
    <x v="16"/>
    <x v="7"/>
    <s v="F:\images\20210325\plaque 2/@04 Testo+ FAD/H4_01.tif "/>
    <s v=" 194.6691 "/>
    <s v=" 63.6667 "/>
    <x v="0"/>
    <n v="12394"/>
    <m/>
    <m/>
    <m/>
  </r>
  <r>
    <x v="16"/>
    <x v="7"/>
    <s v="F:\images\20210325\plaque 2/@04 Testo+ FAD/H4_02.tif "/>
    <s v=" 1600.6122 "/>
    <s v=" 64.1622 "/>
    <x v="0"/>
    <n v="102699"/>
    <m/>
    <m/>
    <m/>
  </r>
  <r>
    <x v="16"/>
    <x v="7"/>
    <s v="F:\images\20210325\plaque 2/@04 Testo+ FAD/H4_03.tif "/>
    <s v=" 129.7794 "/>
    <s v=" 61.8333 "/>
    <x v="0"/>
    <n v="8025"/>
    <m/>
    <m/>
    <m/>
  </r>
  <r>
    <x v="1"/>
    <x v="8"/>
    <s v=" "/>
    <m/>
    <m/>
    <x v="1"/>
    <m/>
    <m/>
    <m/>
    <m/>
  </r>
  <r>
    <x v="1"/>
    <x v="8"/>
    <s v="group "/>
    <s v=" "/>
    <s v=" mean of mean fluo "/>
    <x v="2"/>
    <s v=" mean of total fluo "/>
    <s v=" SD total fluo "/>
    <s v=" n fluorescent "/>
    <s v=" n total"/>
  </r>
  <r>
    <x v="16"/>
    <x v="9"/>
    <s v="F:\images\20210325\plaque 2/@04 Testo+ FAD/ "/>
    <s v=" "/>
    <s v=" 67.0645 "/>
    <x v="18"/>
    <s v=" 243858.083 "/>
    <s v=" 206315.0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25\plaque 2/@05 Anastrozole 0.032 µg_L Dopé/A5_01.tif "/>
    <s v=" 24420.151 "/>
    <s v=" 72.3419 "/>
    <x v="0"/>
    <n v="1766600"/>
    <m/>
    <m/>
    <m/>
  </r>
  <r>
    <x v="17"/>
    <x v="0"/>
    <s v="F:\images\20210325\plaque 2/@05 Anastrozole 0.032 µg_L Dopé/A5_02.tif "/>
    <s v=" 26388.4714 "/>
    <s v=" 71.0221 "/>
    <x v="0"/>
    <n v="1874165"/>
    <m/>
    <m/>
    <m/>
  </r>
  <r>
    <x v="17"/>
    <x v="0"/>
    <s v="F:\images\20210325\plaque 2/@05 Anastrozole 0.032 µg_L Dopé/A5_03.tif "/>
    <s v=" 25782.8344 "/>
    <s v=" 69.6527 "/>
    <x v="0"/>
    <n v="1795844"/>
    <m/>
    <m/>
    <m/>
  </r>
  <r>
    <x v="17"/>
    <x v="1"/>
    <s v="F:\images\20210325\plaque 2/@05 Anastrozole 0.032 µg_L Dopé/B5_01.tif "/>
    <s v=" 34391.5325 "/>
    <s v=" 70.5742 "/>
    <x v="0"/>
    <n v="2427155"/>
    <m/>
    <m/>
    <m/>
  </r>
  <r>
    <x v="17"/>
    <x v="1"/>
    <s v="F:\images\20210325\plaque 2/@05 Anastrozole 0.032 µg_L Dopé/B5_02- exclu.tif"/>
    <m/>
    <m/>
    <x v="1"/>
    <m/>
    <m/>
    <m/>
    <m/>
  </r>
  <r>
    <x v="17"/>
    <x v="1"/>
    <s v="F:\images\20210325\plaque 2/@05 Anastrozole 0.032 µg_L Dopé/B5_03.tif "/>
    <s v=" 27123.8879 "/>
    <s v=" 68.74 "/>
    <x v="0"/>
    <n v="1864497"/>
    <m/>
    <m/>
    <m/>
  </r>
  <r>
    <x v="17"/>
    <x v="2"/>
    <s v="F:\images\20210325\plaque 2/@05 Anastrozole 0.032 µg_L Dopé/C5_01.tif "/>
    <s v=" 28724.5001 "/>
    <s v=" 69.509 "/>
    <x v="0"/>
    <n v="1996612"/>
    <m/>
    <m/>
    <m/>
  </r>
  <r>
    <x v="17"/>
    <x v="2"/>
    <s v="F:\images\20210325\plaque 2/@05 Anastrozole 0.032 µg_L Dopé/C5_02.tif "/>
    <s v=" 25350.2365 "/>
    <s v=" 71.8131 "/>
    <x v="0"/>
    <n v="1820480"/>
    <m/>
    <m/>
    <m/>
  </r>
  <r>
    <x v="17"/>
    <x v="2"/>
    <s v="F:\images\20210325\plaque 2/@05 Anastrozole 0.032 µg_L Dopé/C5_03.tif "/>
    <s v=" 22213.9018 "/>
    <s v=" 69.8656 "/>
    <x v="0"/>
    <n v="1551988"/>
    <m/>
    <m/>
    <m/>
  </r>
  <r>
    <x v="17"/>
    <x v="3"/>
    <s v="F:\images\20210325\plaque 2/@05 Anastrozole 0.032 µg_L Dopé/D5_01.tif "/>
    <s v=" 10209.3103 "/>
    <s v=" 65.7076 "/>
    <x v="0"/>
    <n v="670830"/>
    <m/>
    <m/>
    <m/>
  </r>
  <r>
    <x v="17"/>
    <x v="3"/>
    <s v="F:\images\20210325\plaque 2/@05 Anastrozole 0.032 µg_L Dopé/D5_02.tif "/>
    <s v=" 7375.7941 "/>
    <s v=" 66.4252 "/>
    <x v="0"/>
    <n v="489939"/>
    <m/>
    <m/>
    <m/>
  </r>
  <r>
    <x v="17"/>
    <x v="3"/>
    <s v="F:\images\20210325\plaque 2/@05 Anastrozole 0.032 µg_L Dopé/D5_03.tif "/>
    <s v=" 8111.2105 "/>
    <s v=" 65.7627 "/>
    <x v="0"/>
    <n v="533415"/>
    <m/>
    <m/>
    <m/>
  </r>
  <r>
    <x v="17"/>
    <x v="4"/>
    <s v="F:\images\20210325\plaque 2/@05 Anastrozole 0.032 µg_L Dopé/E5_01.tif "/>
    <s v=" 36792.4508 "/>
    <s v=" 70.9571 "/>
    <x v="0"/>
    <n v="2610685"/>
    <m/>
    <m/>
    <m/>
  </r>
  <r>
    <x v="17"/>
    <x v="4"/>
    <s v="F:\images\20210325\plaque 2/@05 Anastrozole 0.032 µg_L Dopé/E5_02.tif "/>
    <s v=" 35883.9952 "/>
    <s v=" 70.5401 "/>
    <x v="0"/>
    <n v="2531260"/>
    <m/>
    <m/>
    <m/>
  </r>
  <r>
    <x v="17"/>
    <x v="4"/>
    <s v="F:\images\20210325\plaque 2/@05 Anastrozole 0.032 µg_L Dopé/E5_03.tif "/>
    <s v=" 34175.2335 "/>
    <s v=" 71.0247 "/>
    <x v="0"/>
    <n v="2427285"/>
    <m/>
    <m/>
    <m/>
  </r>
  <r>
    <x v="17"/>
    <x v="5"/>
    <s v="F:\images\20210325\plaque 2/@05 Anastrozole 0.032 µg_L Dopé/F5_01.tif "/>
    <s v=" 4044.7903 "/>
    <s v=" 64.6524 "/>
    <x v="0"/>
    <n v="261505"/>
    <m/>
    <m/>
    <m/>
  </r>
  <r>
    <x v="17"/>
    <x v="5"/>
    <s v="F:\images\20210325\plaque 2/@05 Anastrozole 0.032 µg_L Dopé/F5_02- exclu.tif"/>
    <m/>
    <m/>
    <x v="1"/>
    <m/>
    <m/>
    <m/>
    <m/>
  </r>
  <r>
    <x v="17"/>
    <x v="5"/>
    <s v="F:\images\20210325\plaque 2/@05 Anastrozole 0.032 µg_L Dopé/F5_03.tif "/>
    <s v=" 3417.5234 "/>
    <s v=" 64.0506 "/>
    <x v="0"/>
    <n v="218895"/>
    <m/>
    <m/>
    <m/>
  </r>
  <r>
    <x v="17"/>
    <x v="6"/>
    <s v="F:\images\20210325\plaque 2/@05 Anastrozole 0.032 µg_L Dopé/G5_01.tif "/>
    <s v=" 10274.1999 "/>
    <s v=" 65.2884 "/>
    <x v="0"/>
    <n v="670786"/>
    <m/>
    <m/>
    <m/>
  </r>
  <r>
    <x v="17"/>
    <x v="6"/>
    <s v="F:\images\20210325\plaque 2/@05 Anastrozole 0.032 µg_L Dopé/G5_02.tif "/>
    <s v=" 7678.6126 "/>
    <s v=" 66.7634 "/>
    <x v="0"/>
    <n v="512650"/>
    <m/>
    <m/>
    <m/>
  </r>
  <r>
    <x v="17"/>
    <x v="6"/>
    <s v="F:\images\20210325\plaque 2/@05 Anastrozole 0.032 µg_L Dopé/G5_03.tif "/>
    <s v=" 9625.3031 "/>
    <s v=" 65.1843 "/>
    <x v="0"/>
    <n v="627418"/>
    <m/>
    <m/>
    <m/>
  </r>
  <r>
    <x v="17"/>
    <x v="7"/>
    <s v="F:\images\20210325\plaque 2/@05 Anastrozole 0.032 µg_L Dopé/H5_01.tif "/>
    <s v=" 37160.159 "/>
    <s v=" 75.4988 "/>
    <x v="0"/>
    <n v="2805549"/>
    <m/>
    <m/>
    <m/>
  </r>
  <r>
    <x v="17"/>
    <x v="7"/>
    <s v="F:\images\20210325\plaque 2/@05 Anastrozole 0.032 µg_L Dopé/H5_02.tif "/>
    <s v=" 48515.8537 "/>
    <s v=" 77.6054 "/>
    <x v="0"/>
    <n v="3765094"/>
    <m/>
    <m/>
    <m/>
  </r>
  <r>
    <x v="17"/>
    <x v="7"/>
    <s v="F:\images\20210325\plaque 2/@05 Anastrozole 0.032 µg_L Dopé/H5_03.tif "/>
    <s v=" 27015.7384 "/>
    <s v=" 71.7854 "/>
    <x v="0"/>
    <n v="1939336"/>
    <m/>
    <m/>
    <m/>
  </r>
  <r>
    <x v="1"/>
    <x v="8"/>
    <s v=" "/>
    <m/>
    <m/>
    <x v="1"/>
    <m/>
    <m/>
    <m/>
    <m/>
  </r>
  <r>
    <x v="1"/>
    <x v="8"/>
    <s v="group "/>
    <s v=" "/>
    <s v=" mean of mean fluo "/>
    <x v="2"/>
    <s v=" mean of total fluo "/>
    <s v=" SD total fluo "/>
    <s v=" n fluorescent "/>
    <s v=" n total"/>
  </r>
  <r>
    <x v="17"/>
    <x v="9"/>
    <s v="F:\images\20210325\plaque 2/@05 Anastrozole 0.032 µg_L Dopé/ "/>
    <s v=" "/>
    <s v=" 69.0897 "/>
    <x v="19"/>
    <s v=" 1537557.38 "/>
    <s v=" 977554.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25\plaque 2/@06 Anastrozole 0.16 µg_L Dopé/A6_01.tif "/>
    <s v=" 32336.6925 "/>
    <s v=" 70.0214 "/>
    <x v="0"/>
    <n v="2264261"/>
    <m/>
    <m/>
    <m/>
  </r>
  <r>
    <x v="18"/>
    <x v="0"/>
    <s v="F:\images\20210325\plaque 2/@06 Anastrozole 0.16 µg_L Dopé/A6_02.tif "/>
    <s v=" 35148.5788 "/>
    <s v=" 71.5126 "/>
    <x v="0"/>
    <n v="2513567"/>
    <m/>
    <m/>
    <m/>
  </r>
  <r>
    <x v="18"/>
    <x v="0"/>
    <s v="F:\images\20210325\plaque 2/@06 Anastrozole 0.16 µg_L Dopé/A6_03.tif "/>
    <s v=" 32055.5038 "/>
    <s v=" 72.6525 "/>
    <x v="0"/>
    <n v="2328912"/>
    <m/>
    <m/>
    <m/>
  </r>
  <r>
    <x v="18"/>
    <x v="1"/>
    <s v="F:\images\20210325\plaque 2/@06 Anastrozole 0.16 µg_L Dopé/B6_01.tif "/>
    <s v=" 324.4484 "/>
    <s v=" 63.7333 "/>
    <x v="0"/>
    <n v="20678"/>
    <m/>
    <m/>
    <m/>
  </r>
  <r>
    <x v="18"/>
    <x v="1"/>
    <s v="F:\images\20210325\plaque 2/@06 Anastrozole 0.16 µg_L Dopé/B6_02.tif "/>
    <s v=" 367.7082 "/>
    <s v=" 65.1176 "/>
    <x v="0"/>
    <n v="23944"/>
    <m/>
    <m/>
    <m/>
  </r>
  <r>
    <x v="18"/>
    <x v="1"/>
    <s v="F:\images\20210325\plaque 2/@06 Anastrozole 0.16 µg_L Dopé/B6_03.tif "/>
    <s v=" 281.1886 "/>
    <s v=" 62.8462 "/>
    <x v="0"/>
    <n v="17672"/>
    <m/>
    <m/>
    <m/>
  </r>
  <r>
    <x v="18"/>
    <x v="2"/>
    <s v="F:\images\20210325\plaque 2/@06 Anastrozole 0.16 µg_L Dopé/C6_01.tif "/>
    <s v=" 23576.5851 "/>
    <s v=" 69.3936 "/>
    <x v="0"/>
    <n v="1636064"/>
    <m/>
    <m/>
    <m/>
  </r>
  <r>
    <x v="18"/>
    <x v="2"/>
    <s v="F:\images\20210325\plaque 2/@06 Anastrozole 0.16 µg_L Dopé/C6_02.tif "/>
    <s v=" 20050.9123 "/>
    <s v=" 67.1057 "/>
    <x v="0"/>
    <n v="1345531"/>
    <m/>
    <m/>
    <m/>
  </r>
  <r>
    <x v="18"/>
    <x v="2"/>
    <s v="F:\images\20210325\plaque 2/@06 Anastrozole 0.16 µg_L Dopé/C6_03.tif "/>
    <s v=" 20483.5102 "/>
    <s v=" 67.2038 "/>
    <x v="0"/>
    <n v="1376570"/>
    <m/>
    <m/>
    <m/>
  </r>
  <r>
    <x v="18"/>
    <x v="3"/>
    <s v="F:\images\20210325\plaque 2/@06 Anastrozole 0.16 µg_L Dopé/D6_01.tif "/>
    <s v=" 346.0783 "/>
    <s v=" 62.125 "/>
    <x v="0"/>
    <n v="21500"/>
    <m/>
    <m/>
    <m/>
  </r>
  <r>
    <x v="18"/>
    <x v="3"/>
    <s v="F:\images\20210325\plaque 2/@06 Anastrozole 0.16 µg_L Dopé/D6_02- exclu.tif"/>
    <m/>
    <m/>
    <x v="1"/>
    <m/>
    <m/>
    <m/>
    <m/>
  </r>
  <r>
    <x v="18"/>
    <x v="3"/>
    <s v="F:\images\20210325\plaque 2/@06 Anastrozole 0.16 µg_L Dopé/D6_03.tif "/>
    <s v=" 324.4484 "/>
    <s v=" 63.6667 "/>
    <x v="0"/>
    <n v="20657"/>
    <m/>
    <m/>
    <m/>
  </r>
  <r>
    <x v="18"/>
    <x v="4"/>
    <s v="F:\images\20210325\plaque 2/@06 Anastrozole 0.16 µg_L Dopé/E6_01.tif "/>
    <s v=" 13821.5027 "/>
    <s v=" 66.5759 "/>
    <x v="0"/>
    <n v="920179"/>
    <m/>
    <m/>
    <m/>
  </r>
  <r>
    <x v="18"/>
    <x v="4"/>
    <s v="F:\images\20210325\plaque 2/@06 Anastrozole 0.16 µg_L Dopé/E6_02.tif "/>
    <s v=" 11593.6235 "/>
    <s v=" 65.3638 "/>
    <x v="0"/>
    <n v="757803"/>
    <m/>
    <m/>
    <m/>
  </r>
  <r>
    <x v="18"/>
    <x v="4"/>
    <s v="F:\images\20210325\plaque 2/@06 Anastrozole 0.16 µg_L Dopé/E6_03.tif "/>
    <s v=" 12415.5595 "/>
    <s v=" 65.3101 "/>
    <x v="0"/>
    <n v="810861"/>
    <m/>
    <m/>
    <m/>
  </r>
  <r>
    <x v="18"/>
    <x v="5"/>
    <s v="F:\images\20210325\plaque 2/@06 Anastrozole 0.16 µg_L Dopé/F6_01.tif "/>
    <s v=" 28378.4218 "/>
    <s v=" 69.484 "/>
    <x v="0"/>
    <n v="1971846"/>
    <m/>
    <m/>
    <m/>
  </r>
  <r>
    <x v="18"/>
    <x v="5"/>
    <s v="F:\images\20210325\plaque 2/@06 Anastrozole 0.16 µg_L Dopé/F6_02.tif "/>
    <s v=" 22624.8698 "/>
    <s v=" 67.4273 "/>
    <x v="0"/>
    <n v="1525535"/>
    <m/>
    <m/>
    <m/>
  </r>
  <r>
    <x v="18"/>
    <x v="5"/>
    <s v="F:\images\20210325\plaque 2/@06 Anastrozole 0.16 µg_L Dopé/F6_03.tif "/>
    <s v=" 27015.7384 "/>
    <s v=" 69.3699 "/>
    <x v="0"/>
    <n v="1874079"/>
    <m/>
    <m/>
    <m/>
  </r>
  <r>
    <x v="18"/>
    <x v="6"/>
    <s v="F:\images\20210325\plaque 2/@06 Anastrozole 0.16 µg_L Dopé/G6_01.tif "/>
    <s v=" 34218.4933 "/>
    <s v=" 71.304 "/>
    <x v="0"/>
    <n v="2439917"/>
    <m/>
    <m/>
    <m/>
  </r>
  <r>
    <x v="18"/>
    <x v="6"/>
    <s v="F:\images\20210325\plaque 2/@06 Anastrozole 0.16 µg_L Dopé/G6_02.tif "/>
    <s v=" 34023.8243 "/>
    <s v=" 69.8239 "/>
    <x v="0"/>
    <n v="2375676"/>
    <m/>
    <m/>
    <m/>
  </r>
  <r>
    <x v="18"/>
    <x v="6"/>
    <s v="F:\images\20210325\plaque 2/@06 Anastrozole 0.16 µg_L Dopé/G6_03.tif "/>
    <s v=" 34196.8634 "/>
    <s v=" 70.7065 "/>
    <x v="0"/>
    <n v="2417941"/>
    <m/>
    <m/>
    <m/>
  </r>
  <r>
    <x v="18"/>
    <x v="7"/>
    <s v="F:\images\20210325\plaque 2/@06 Anastrozole 0.16 µg_L Dopé/H6_01.tif "/>
    <s v=" 1773.6514 "/>
    <s v=" 62.1585 "/>
    <x v="0"/>
    <n v="110248"/>
    <m/>
    <m/>
    <m/>
  </r>
  <r>
    <x v="18"/>
    <x v="7"/>
    <s v="F:\images\20210325\plaque 2/@06 Anastrozole 0.16 µg_L Dopé/H6_02.tif "/>
    <s v=" 1557.3524 "/>
    <s v=" 62.8611 "/>
    <x v="0"/>
    <n v="97897"/>
    <m/>
    <m/>
    <m/>
  </r>
  <r>
    <x v="18"/>
    <x v="7"/>
    <s v="F:\images\20210325\plaque 2/@06 Anastrozole 0.16 µg_L Dopé/H6_03.tif "/>
    <s v=" 1492.4627 "/>
    <s v=" 62.9275 "/>
    <x v="0"/>
    <n v="93917"/>
    <m/>
    <m/>
    <m/>
  </r>
  <r>
    <x v="1"/>
    <x v="8"/>
    <s v=" "/>
    <m/>
    <m/>
    <x v="1"/>
    <m/>
    <m/>
    <m/>
    <m/>
  </r>
  <r>
    <x v="1"/>
    <x v="8"/>
    <s v="group "/>
    <s v=" "/>
    <s v=" mean of mean fluo "/>
    <x v="2"/>
    <s v=" mean of total fluo "/>
    <s v=" SD total fluo "/>
    <s v=" n fluorescent "/>
    <s v=" n total"/>
  </r>
  <r>
    <x v="18"/>
    <x v="9"/>
    <s v="F:\images\20210325\plaque 2/@06 Anastrozole 0.16 µg_L Dopé/ "/>
    <s v=" "/>
    <s v=" 66.7449 "/>
    <x v="20"/>
    <s v=" 1124463.46 "/>
    <s v=" 982180.4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25\plaque 2/@07  Anastrozole 0.8 µg_L Dopé/A7_01.tif "/>
    <s v=" 389.3381 "/>
    <s v=" 65.5556 "/>
    <x v="0"/>
    <n v="25523"/>
    <m/>
    <m/>
    <m/>
  </r>
  <r>
    <x v="19"/>
    <x v="0"/>
    <s v="F:\images\20210325\plaque 2/@07  Anastrozole 0.8 µg_L Dopé/A7_02.tif "/>
    <s v=" 194.6691 "/>
    <s v=" 64.5556 "/>
    <x v="0"/>
    <n v="12567"/>
    <m/>
    <m/>
    <m/>
  </r>
  <r>
    <x v="19"/>
    <x v="0"/>
    <s v="F:\images\20210325\plaque 2/@07  Anastrozole 0.8 µg_L Dopé/A7_03.tif "/>
    <s v=" 108.1495 "/>
    <s v=" 62.6 "/>
    <x v="0"/>
    <n v="6770"/>
    <m/>
    <m/>
    <m/>
  </r>
  <r>
    <x v="19"/>
    <x v="1"/>
    <s v="F:\images\20210325\plaque 2/@07  Anastrozole 0.8 µg_L Dopé/B7_01.tif "/>
    <s v=" 194.6691 "/>
    <s v=" 63.2222 "/>
    <x v="0"/>
    <n v="12307"/>
    <m/>
    <m/>
    <m/>
  </r>
  <r>
    <x v="19"/>
    <x v="1"/>
    <s v="F:\images\20210325\plaque 2/@07  Anastrozole 0.8 µg_L Dopé/B7_02.tif "/>
    <s v=" 216.2989 "/>
    <s v=" 63.5 "/>
    <x v="0"/>
    <n v="13735"/>
    <m/>
    <m/>
    <m/>
  </r>
  <r>
    <x v="19"/>
    <x v="1"/>
    <s v="F:\images\20210325\plaque 2/@07  Anastrozole 0.8 µg_L Dopé/B7_03.tif "/>
    <s v=" 281.1886 "/>
    <s v=" 64.5385 "/>
    <x v="0"/>
    <n v="18147"/>
    <m/>
    <m/>
    <m/>
  </r>
  <r>
    <x v="19"/>
    <x v="2"/>
    <s v="F:\images\20210325\plaque 2/@07  Anastrozole 0.8 µg_L Dopé/C7_01.tif "/>
    <s v=" 4347.6088 "/>
    <s v=" 63.2587 "/>
    <x v="0"/>
    <n v="275024"/>
    <m/>
    <m/>
    <m/>
  </r>
  <r>
    <x v="19"/>
    <x v="2"/>
    <s v="F:\images\20210325\plaque 2/@07  Anastrozole 0.8 µg_L Dopé/C7_02.tif "/>
    <s v=" 1838.541 "/>
    <s v=" 63.3529 "/>
    <x v="0"/>
    <n v="116477"/>
    <m/>
    <m/>
    <m/>
  </r>
  <r>
    <x v="19"/>
    <x v="2"/>
    <s v="F:\images\20210325\plaque 2/@07  Anastrozole 0.8 µg_L Dopé/C7_03.tif "/>
    <s v=" 994.9752 "/>
    <s v=" 62.1087 "/>
    <x v="0"/>
    <n v="61797"/>
    <m/>
    <m/>
    <m/>
  </r>
  <r>
    <x v="19"/>
    <x v="3"/>
    <s v="F:\images\20210325\plaque 2/@07  Anastrozole 0.8 µg_L Dopé/D7_01.tif "/>
    <s v=" 5256.0644 "/>
    <s v=" 69.8313 "/>
    <x v="0"/>
    <n v="367038"/>
    <m/>
    <m/>
    <m/>
  </r>
  <r>
    <x v="19"/>
    <x v="3"/>
    <s v="F:\images\20210325\plaque 2/@07  Anastrozole 0.8 µg_L Dopé/D7_02.tif "/>
    <s v=" 4023.1604 "/>
    <s v=" 64.1935 "/>
    <x v="0"/>
    <n v="258261"/>
    <m/>
    <m/>
    <m/>
  </r>
  <r>
    <x v="19"/>
    <x v="3"/>
    <s v="F:\images\20210325\plaque 2/@07  Anastrozole 0.8 µg_L Dopé/D7_03.tif "/>
    <s v=" 2855.1461 "/>
    <s v=" 67.2576 "/>
    <x v="0"/>
    <n v="192030"/>
    <m/>
    <m/>
    <m/>
  </r>
  <r>
    <x v="19"/>
    <x v="4"/>
    <s v="F:\images\20210325\plaque 2/@07  Anastrozole 0.8 µg_L Dopé/E7_01- exclu.tif"/>
    <m/>
    <m/>
    <x v="1"/>
    <m/>
    <m/>
    <m/>
    <m/>
  </r>
  <r>
    <x v="19"/>
    <x v="4"/>
    <s v="F:\images\20210325\plaque 2/@07  Anastrozole 0.8 µg_L Dopé/E7_02.tif "/>
    <s v=" 16417.09 "/>
    <s v=" 65.6522 "/>
    <x v="0"/>
    <n v="1077818"/>
    <m/>
    <m/>
    <m/>
  </r>
  <r>
    <x v="19"/>
    <x v="4"/>
    <s v="F:\images\20210325\plaque 2/@07  Anastrozole 0.8 µg_L Dopé/E7_03.tif "/>
    <s v=" 16157.5313 "/>
    <s v=" 64.7778 "/>
    <x v="0"/>
    <n v="1046649"/>
    <m/>
    <m/>
    <m/>
  </r>
  <r>
    <x v="19"/>
    <x v="5"/>
    <s v="F:\images\20210325\plaque 2/@07  Anastrozole 0.8 µg_L Dopé/F7_01.tif "/>
    <s v=" 454.2278 "/>
    <s v=" 64.2381 "/>
    <x v="0"/>
    <n v="29179"/>
    <m/>
    <m/>
    <m/>
  </r>
  <r>
    <x v="19"/>
    <x v="5"/>
    <s v="F:\images\20210325\plaque 2/@07  Anastrozole 0.8 µg_L Dopé/F7_02.tif "/>
    <s v=" 540.7474 "/>
    <s v=" 65.08 "/>
    <x v="0"/>
    <n v="35192"/>
    <m/>
    <m/>
    <m/>
  </r>
  <r>
    <x v="19"/>
    <x v="5"/>
    <s v="F:\images\20210325\plaque 2/@07  Anastrozole 0.8 µg_L Dopé/F7_03.tif "/>
    <s v=" 886.8257 "/>
    <s v=" 68.6098 "/>
    <x v="0"/>
    <n v="60845"/>
    <m/>
    <m/>
    <m/>
  </r>
  <r>
    <x v="19"/>
    <x v="6"/>
    <s v="F:\images\20210325\plaque 2/@07  Anastrozole 0.8 µg_L Dopé/G7_01.tif "/>
    <s v=" 8543.8084 "/>
    <s v=" 65.3848 "/>
    <x v="0"/>
    <n v="558635"/>
    <m/>
    <m/>
    <m/>
  </r>
  <r>
    <x v="19"/>
    <x v="6"/>
    <s v="F:\images\20210325\plaque 2/@07  Anastrozole 0.8 µg_L Dopé/G7_02.tif "/>
    <s v=" 6294.2993 "/>
    <s v=" 65.189 "/>
    <x v="0"/>
    <n v="410319"/>
    <m/>
    <m/>
    <m/>
  </r>
  <r>
    <x v="19"/>
    <x v="6"/>
    <s v="F:\images\20210325\plaque 2/@07  Anastrozole 0.8 µg_L Dopé/G7_03.tif "/>
    <s v=" 7527.2033 "/>
    <s v=" 64.592 "/>
    <x v="0"/>
    <n v="486197"/>
    <m/>
    <m/>
    <m/>
  </r>
  <r>
    <x v="19"/>
    <x v="7"/>
    <s v="F:\images\20210325\plaque 2/@07  Anastrozole 0.8 µg_L Dopé/H7_01- exclu.tif"/>
    <m/>
    <m/>
    <x v="1"/>
    <m/>
    <m/>
    <m/>
    <m/>
  </r>
  <r>
    <x v="19"/>
    <x v="7"/>
    <s v="F:\images\20210325\plaque 2/@07  Anastrozole 0.8 µg_L Dopé/H7_02- exclu.tif"/>
    <m/>
    <m/>
    <x v="1"/>
    <m/>
    <m/>
    <m/>
    <m/>
  </r>
  <r>
    <x v="19"/>
    <x v="7"/>
    <s v="F:\images\20210325\plaque 2/@07  Anastrozole 0.8 µg_L Dopé/H7_03- exclu.tif"/>
    <m/>
    <m/>
    <x v="1"/>
    <m/>
    <m/>
    <m/>
    <m/>
  </r>
  <r>
    <x v="1"/>
    <x v="8"/>
    <s v=" "/>
    <m/>
    <m/>
    <x v="1"/>
    <m/>
    <m/>
    <m/>
    <m/>
  </r>
  <r>
    <x v="1"/>
    <x v="8"/>
    <s v="group "/>
    <s v=" "/>
    <s v=" mean of mean fluo "/>
    <x v="2"/>
    <s v=" mean of total fluo "/>
    <s v=" SD total fluo "/>
    <s v=" n fluorescent "/>
    <s v=" n total"/>
  </r>
  <r>
    <x v="19"/>
    <x v="9"/>
    <s v="F:\images\20210325\plaque 2/@07  Anastrozole 0.8 µg_L Dopé/ "/>
    <s v=" "/>
    <s v=" 64.645 "/>
    <x v="21"/>
    <s v=" 260021.083 "/>
    <n v="360673"/>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25\plaque 2/@08 Anastrozole 4 µg_L Dopé/A8_01.tif "/>
    <s v=" 994.9752 "/>
    <s v=" 66.9565 "/>
    <x v="0"/>
    <n v="66620"/>
    <m/>
    <m/>
    <m/>
  </r>
  <r>
    <x v="20"/>
    <x v="0"/>
    <s v="F:\images\20210325\plaque 2/@08 Anastrozole 4 µg_L Dopé/A8_02.tif "/>
    <s v=" 908.4556 "/>
    <s v=" 64.3095 "/>
    <x v="0"/>
    <n v="58422"/>
    <m/>
    <m/>
    <m/>
  </r>
  <r>
    <x v="20"/>
    <x v="0"/>
    <s v="F:\images\20210325\plaque 2/@08 Anastrozole 4 µg_L Dopé/A8_03.tif "/>
    <s v=" 584.0072 "/>
    <s v=" 66.2593 "/>
    <x v="0"/>
    <n v="38696"/>
    <m/>
    <m/>
    <m/>
  </r>
  <r>
    <x v="20"/>
    <x v="1"/>
    <s v="F:\images\20210325\plaque 2/@08 Anastrozole 4 µg_L Dopé/B8_01.tif "/>
    <s v=" 1146.3844 "/>
    <s v=" 65.8868 "/>
    <x v="0"/>
    <n v="75532"/>
    <m/>
    <m/>
    <m/>
  </r>
  <r>
    <x v="20"/>
    <x v="1"/>
    <s v="F:\images\20210325\plaque 2/@08 Anastrozole 4 µg_L Dopé/B8_02.tif "/>
    <s v=" 3374.2636 "/>
    <s v=" 67.4487 "/>
    <x v="0"/>
    <n v="227590"/>
    <m/>
    <m/>
    <m/>
  </r>
  <r>
    <x v="20"/>
    <x v="1"/>
    <s v="F:\images\20210325\plaque 2/@08 Anastrozole 4 µg_L Dopé/B8_03.tif "/>
    <s v=" 1124.7545 "/>
    <s v=" 67.0769 "/>
    <x v="0"/>
    <n v="75445"/>
    <m/>
    <m/>
    <m/>
  </r>
  <r>
    <x v="20"/>
    <x v="2"/>
    <s v="F:\images\20210325\plaque 2/@08 Anastrozole 4 µg_L Dopé/C8_01.tif "/>
    <s v=" 5472.3633 "/>
    <s v=" 72.7945 "/>
    <x v="0"/>
    <n v="398358"/>
    <m/>
    <m/>
    <m/>
  </r>
  <r>
    <x v="20"/>
    <x v="2"/>
    <s v="F:\images\20210325\plaque 2/@08 Anastrozole 4 µg_L Dopé/C8_02.tif "/>
    <s v=" 6337.5591 "/>
    <s v=" 74.43 "/>
    <x v="0"/>
    <n v="471705"/>
    <m/>
    <m/>
    <m/>
  </r>
  <r>
    <x v="20"/>
    <x v="2"/>
    <s v="F:\images\20210325\plaque 2/@08 Anastrozole 4 µg_L Dopé/C8_03.tif "/>
    <s v=" 5320.9541 "/>
    <s v=" 72.2602 "/>
    <x v="0"/>
    <n v="384493"/>
    <m/>
    <m/>
    <m/>
  </r>
  <r>
    <x v="20"/>
    <x v="3"/>
    <s v="F:\images\20210325\plaque 2/@08 Anastrozole 4 µg_L Dopé/D8_01.tif "/>
    <s v=" 2487.4379 "/>
    <s v=" 65.513 "/>
    <x v="0"/>
    <n v="162960"/>
    <m/>
    <m/>
    <m/>
  </r>
  <r>
    <x v="20"/>
    <x v="3"/>
    <s v="F:\images\20210325\plaque 2/@08 Anastrozole 4 µg_L Dopé/D8_02.tif "/>
    <s v=" 1514.0926 "/>
    <s v=" 63.9 "/>
    <x v="0"/>
    <n v="96751"/>
    <m/>
    <m/>
    <m/>
  </r>
  <r>
    <x v="20"/>
    <x v="3"/>
    <s v="F:\images\20210325\plaque 2/@08 Anastrozole 4 µg_L Dopé/D8_03.tif "/>
    <s v=" 800.3061 "/>
    <s v=" 63.2973 "/>
    <x v="0"/>
    <n v="50657"/>
    <m/>
    <m/>
    <m/>
  </r>
  <r>
    <x v="20"/>
    <x v="4"/>
    <s v="F:\images\20210325\plaque 2/@08 Anastrozole 4 µg_L Dopé/E8_01.tif "/>
    <s v=" 1384.3133 "/>
    <s v=" 64.7188 "/>
    <x v="0"/>
    <n v="89591"/>
    <m/>
    <m/>
    <m/>
  </r>
  <r>
    <x v="20"/>
    <x v="4"/>
    <s v="F:\images\20210325\plaque 2/@08 Anastrozole 4 µg_L Dopé/E8_02.tif "/>
    <s v=" 735.4164 "/>
    <s v=" 65.5588 "/>
    <x v="0"/>
    <n v="48213"/>
    <m/>
    <m/>
    <m/>
  </r>
  <r>
    <x v="20"/>
    <x v="4"/>
    <s v="F:\images\20210325\plaque 2/@08 Anastrozole 4 µg_L Dopé/E8_03.tif "/>
    <s v=" 346.0783 "/>
    <s v=" 62.5625 "/>
    <x v="0"/>
    <n v="21652"/>
    <m/>
    <m/>
    <m/>
  </r>
  <r>
    <x v="20"/>
    <x v="5"/>
    <s v="F:\images\20210325\plaque 2/@08 Anastrozole 4 µg_L Dopé/F8_01.tif "/>
    <s v=" 302.8185 "/>
    <s v=" 62.2857 "/>
    <x v="0"/>
    <n v="18861"/>
    <m/>
    <m/>
    <m/>
  </r>
  <r>
    <x v="20"/>
    <x v="5"/>
    <s v="F:\images\20210325\plaque 2/@08 Anastrozole 4 µg_L Dopé/F8_02.tif "/>
    <s v=" 259.5587 "/>
    <s v=" 64.9167 "/>
    <x v="0"/>
    <n v="16850"/>
    <m/>
    <m/>
    <m/>
  </r>
  <r>
    <x v="20"/>
    <x v="5"/>
    <s v="F:\images\20210325\plaque 2/@08 Anastrozole 4 µg_L Dopé/F8_03.tif "/>
    <s v=" 237.9288 "/>
    <s v=" 63.2727 "/>
    <x v="0"/>
    <n v="15054"/>
    <m/>
    <m/>
    <m/>
  </r>
  <r>
    <x v="20"/>
    <x v="6"/>
    <s v="F:\images\20210325\plaque 2/@08 Anastrozole 4 µg_L Dopé/G8_01- exclu.tif"/>
    <m/>
    <m/>
    <x v="1"/>
    <m/>
    <m/>
    <m/>
    <m/>
  </r>
  <r>
    <x v="20"/>
    <x v="6"/>
    <s v="F:\images\20210325\plaque 2/@08 Anastrozole 4 µg_L Dopé/G8_02- exclu.tif"/>
    <m/>
    <m/>
    <x v="1"/>
    <m/>
    <m/>
    <m/>
    <m/>
  </r>
  <r>
    <x v="20"/>
    <x v="6"/>
    <s v="F:\images\20210325\plaque 2/@08 Anastrozole 4 µg_L Dopé/G8_03- exclu.tif"/>
    <m/>
    <m/>
    <x v="1"/>
    <m/>
    <m/>
    <m/>
    <m/>
  </r>
  <r>
    <x v="20"/>
    <x v="7"/>
    <s v="F:\images\20210325\plaque 2/@08 Anastrozole 4 µg_L Dopé/H8_01.tif "/>
    <s v=" 475.8577 "/>
    <s v=" 63.4545 "/>
    <x v="0"/>
    <n v="30195"/>
    <m/>
    <m/>
    <m/>
  </r>
  <r>
    <x v="20"/>
    <x v="7"/>
    <s v="F:\images\20210325\plaque 2/@08 Anastrozole 4 µg_L Dopé/H8_02.tif "/>
    <s v=" 4174.5697 "/>
    <s v=" 66.3886 "/>
    <x v="0"/>
    <n v="277144"/>
    <m/>
    <m/>
    <m/>
  </r>
  <r>
    <x v="20"/>
    <x v="7"/>
    <s v="F:\images\20210325\plaque 2/@08 Anastrozole 4 µg_L Dopé/H8_03.tif "/>
    <s v=" 2725.3667 "/>
    <s v=" 67.0873 "/>
    <x v="0"/>
    <n v="182837"/>
    <m/>
    <m/>
    <m/>
  </r>
  <r>
    <x v="1"/>
    <x v="8"/>
    <s v=" "/>
    <m/>
    <m/>
    <x v="1"/>
    <m/>
    <m/>
    <m/>
    <m/>
  </r>
  <r>
    <x v="1"/>
    <x v="8"/>
    <s v="group "/>
    <s v=" "/>
    <s v=" mean of mean fluo "/>
    <x v="2"/>
    <s v=" mean of total fluo "/>
    <s v=" SD total fluo "/>
    <s v=" n fluorescent "/>
    <s v=" n total"/>
  </r>
  <r>
    <x v="20"/>
    <x v="9"/>
    <s v="F:\images\20210325\plaque 2/@08 Anastrozole 4 µg_L Dopé/ "/>
    <s v=" "/>
    <s v=" 69.3101 "/>
    <x v="22"/>
    <s v=" 276758.125 "/>
    <s v=" 409878.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25\plaque 2/@09  Anastrozole 20 µg_L Dopé/A9_01.tif "/>
    <s v=" 2768.6265 "/>
    <s v=" 65.3438 "/>
    <x v="0"/>
    <n v="180912"/>
    <m/>
    <m/>
    <m/>
  </r>
  <r>
    <x v="21"/>
    <x v="0"/>
    <s v="F:\images\20210325\plaque 2/@09  Anastrozole 20 µg_L Dopé/A9_02.tif "/>
    <s v=" 2768.6265 "/>
    <s v=" 64.7656 "/>
    <x v="0"/>
    <n v="179312"/>
    <m/>
    <m/>
    <m/>
  </r>
  <r>
    <x v="21"/>
    <x v="0"/>
    <s v="F:\images\20210325\plaque 2/@09  Anastrozole 20 µg_L Dopé/A9_03.tif "/>
    <s v=" 38890.5505 "/>
    <s v=" 101.9066 "/>
    <x v="0"/>
    <n v="3963202"/>
    <m/>
    <m/>
    <m/>
  </r>
  <r>
    <x v="21"/>
    <x v="1"/>
    <s v="F:\images\20210325\plaque 2/@09  Anastrozole 20 µg_L Dopé/B9_01.tif "/>
    <s v=" 1622.2421 "/>
    <s v=" 63.2133 "/>
    <x v="0"/>
    <n v="102547"/>
    <m/>
    <m/>
    <m/>
  </r>
  <r>
    <x v="21"/>
    <x v="1"/>
    <s v="F:\images\20210325\plaque 2/@09  Anastrozole 20 µg_L Dopé/B9_02.tif "/>
    <s v=" 4434.1284 "/>
    <s v=" 66.1561 "/>
    <x v="0"/>
    <n v="293345"/>
    <m/>
    <m/>
    <m/>
  </r>
  <r>
    <x v="21"/>
    <x v="1"/>
    <s v="F:\images\20210325\plaque 2/@09  Anastrozole 20 µg_L Dopé/B9_03.tif "/>
    <s v=" 4866.7263 "/>
    <s v=" 67.1333 "/>
    <x v="0"/>
    <n v="326720"/>
    <m/>
    <m/>
    <m/>
  </r>
  <r>
    <x v="21"/>
    <x v="2"/>
    <s v="F:\images\20210325\plaque 2/@09  Anastrozole 20 µg_L Dopé/C9_01.tif "/>
    <s v=" 1470.8328 "/>
    <s v=" 65.8235 "/>
    <x v="0"/>
    <n v="96815"/>
    <m/>
    <m/>
    <m/>
  </r>
  <r>
    <x v="21"/>
    <x v="2"/>
    <s v="F:\images\20210325\plaque 2/@09  Anastrozole 20 µg_L Dopé/C9_02.tif "/>
    <s v=" 1622.2421 "/>
    <s v=" 66.8667 "/>
    <x v="0"/>
    <n v="108474"/>
    <m/>
    <m/>
    <m/>
  </r>
  <r>
    <x v="21"/>
    <x v="2"/>
    <s v="F:\images\20210325\plaque 2/@09  Anastrozole 20 µg_L Dopé/C9_03.tif "/>
    <s v=" 973.3453 "/>
    <s v=" 64.1111 "/>
    <x v="0"/>
    <n v="62402"/>
    <m/>
    <m/>
    <m/>
  </r>
  <r>
    <x v="21"/>
    <x v="3"/>
    <s v="F:\images\20210325\plaque 2/@09  Anastrozole 20 µg_L Dopé/D9_01.tif "/>
    <s v=" 562.3773 "/>
    <s v=" 62.4231 "/>
    <x v="0"/>
    <n v="35105"/>
    <m/>
    <m/>
    <m/>
  </r>
  <r>
    <x v="21"/>
    <x v="3"/>
    <s v="F:\images\20210325\plaque 2/@09  Anastrozole 20 µg_L Dopé/D9_02.tif "/>
    <s v=" 1168.0143 "/>
    <s v=" 63.3519 "/>
    <x v="0"/>
    <n v="73996"/>
    <m/>
    <m/>
    <m/>
  </r>
  <r>
    <x v="21"/>
    <x v="3"/>
    <s v="F:\images\20210325\plaque 2/@09  Anastrozole 20 µg_L Dopé/D9_03.tif "/>
    <s v=" 3266.1141 "/>
    <s v=" 66.2649 "/>
    <x v="0"/>
    <n v="216429"/>
    <m/>
    <m/>
    <m/>
  </r>
  <r>
    <x v="21"/>
    <x v="4"/>
    <s v="F:\images\20210325\plaque 2/@09  Anastrozole 20 µg_L Dopé/E9_01.tif "/>
    <s v=" 3850.1212 "/>
    <s v=" 65.6685 "/>
    <x v="0"/>
    <n v="252832"/>
    <m/>
    <m/>
    <m/>
  </r>
  <r>
    <x v="21"/>
    <x v="4"/>
    <s v="F:\images\20210325\plaque 2/@09  Anastrozole 20 µg_L Dopé/E9_02.tif "/>
    <s v=" 3352.6337 "/>
    <s v=" 66.7355 "/>
    <x v="0"/>
    <n v="223740"/>
    <m/>
    <m/>
    <m/>
  </r>
  <r>
    <x v="21"/>
    <x v="4"/>
    <s v="F:\images\20210325\plaque 2/@09  Anastrozole 20 µg_L Dopé/E9_03.tif "/>
    <s v=" 1708.7617 "/>
    <s v=" 63.962 "/>
    <x v="0"/>
    <n v="109296"/>
    <m/>
    <m/>
    <m/>
  </r>
  <r>
    <x v="21"/>
    <x v="5"/>
    <s v="F:\images\20210325\plaque 2/@09  Anastrozole 20 µg_L Dopé/F9_01.tif "/>
    <s v=" 800.3061 "/>
    <s v=" 63.7027 "/>
    <x v="0"/>
    <n v="50982"/>
    <m/>
    <m/>
    <m/>
  </r>
  <r>
    <x v="21"/>
    <x v="5"/>
    <s v="F:\images\20210325\plaque 2/@09  Anastrozole 20 µg_L Dopé/F9_02.tif "/>
    <s v=" 1557.3524 "/>
    <s v=" 64.6528 "/>
    <x v="0"/>
    <n v="100687"/>
    <m/>
    <m/>
    <m/>
  </r>
  <r>
    <x v="21"/>
    <x v="5"/>
    <s v="F:\images\20210325\plaque 2/@09  Anastrozole 20 µg_L Dopé/F9_03.tif "/>
    <s v=" 584.0072 "/>
    <s v=" 62.1111 "/>
    <x v="0"/>
    <n v="36273"/>
    <m/>
    <m/>
    <m/>
  </r>
  <r>
    <x v="21"/>
    <x v="6"/>
    <s v="F:\images\20210325\plaque 2/@09  Anastrozole 20 µg_L Dopé/G9_01.tif "/>
    <s v=" 1319.4236 "/>
    <s v=" 67.4098 "/>
    <x v="0"/>
    <n v="88942"/>
    <m/>
    <m/>
    <m/>
  </r>
  <r>
    <x v="21"/>
    <x v="6"/>
    <s v="F:\images\20210325\plaque 2/@09  Anastrozole 20 µg_L Dopé/G9_02- exclu.tif"/>
    <m/>
    <m/>
    <x v="1"/>
    <m/>
    <m/>
    <m/>
    <m/>
  </r>
  <r>
    <x v="21"/>
    <x v="6"/>
    <s v="F:\images\20210325\plaque 2/@09  Anastrozole 20 µg_L Dopé/G9_03.tif "/>
    <s v=" 1687.1318 "/>
    <s v=" 67.1923 "/>
    <x v="0"/>
    <n v="113362"/>
    <m/>
    <m/>
    <m/>
  </r>
  <r>
    <x v="21"/>
    <x v="7"/>
    <s v="F:\images\20210325\plaque 2/@09  Anastrozole 20 µg_L Dopé/H9_01.tif "/>
    <s v=" 1600.6122 "/>
    <s v=" 64.4189 "/>
    <x v="0"/>
    <n v="103110"/>
    <m/>
    <m/>
    <m/>
  </r>
  <r>
    <x v="21"/>
    <x v="7"/>
    <s v="F:\images\20210325\plaque 2/@09  Anastrozole 20 µg_L Dopé/H9_02.tif "/>
    <s v=" 1297.7937 "/>
    <s v=" 68.55 "/>
    <x v="0"/>
    <n v="88964"/>
    <m/>
    <m/>
    <m/>
  </r>
  <r>
    <x v="21"/>
    <x v="7"/>
    <s v="F:\images\20210325\plaque 2/@09  Anastrozole 20 µg_L Dopé/H9_03.tif "/>
    <s v=" 1708.7617 "/>
    <s v=" 67.4557 "/>
    <x v="0"/>
    <n v="115266"/>
    <m/>
    <m/>
    <m/>
  </r>
  <r>
    <x v="1"/>
    <x v="8"/>
    <s v=" "/>
    <m/>
    <m/>
    <x v="1"/>
    <m/>
    <m/>
    <m/>
    <m/>
  </r>
  <r>
    <x v="1"/>
    <x v="8"/>
    <s v="group "/>
    <s v=" "/>
    <s v=" mean of mean fluo "/>
    <x v="2"/>
    <s v=" mean of total fluo "/>
    <s v=" SD total fluo "/>
    <s v=" n fluorescent "/>
    <s v=" n total"/>
  </r>
  <r>
    <x v="21"/>
    <x v="9"/>
    <s v="F:\images\20210325\plaque 2/@09  Anastrozole 20 µg_L Dopé/ "/>
    <s v=" "/>
    <s v=" 66.8221 "/>
    <x v="23"/>
    <s v=" 291178.958 "/>
    <s v=" 786179.006 "/>
    <n v="24"/>
    <n v="24"/>
  </r>
  <r>
    <x v="1"/>
    <x v="8"/>
    <s v=" "/>
    <m/>
    <m/>
    <x v="1"/>
    <m/>
    <m/>
    <m/>
    <m/>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330\plaque 1/@01 Evian + 0.2% DMSO/A1_01.tif "/>
    <s v=" 2552.3276 "/>
    <s v=" 63.3644 "/>
    <x v="0"/>
    <n v="161727"/>
    <m/>
    <m/>
    <m/>
  </r>
  <r>
    <x v="0"/>
    <x v="0"/>
    <s v="F:\images\20210330\plaque 1/@01 Evian + 0.2% DMSO/A1_02.tif "/>
    <s v=" 1968.3204 "/>
    <s v=" 68.2088 "/>
    <x v="0"/>
    <n v="134257"/>
    <m/>
    <m/>
    <m/>
  </r>
  <r>
    <x v="0"/>
    <x v="0"/>
    <s v="F:\images\20210330\plaque 1/@01 Evian + 0.2% DMSO/A1_03.tif "/>
    <s v=" 1168.0143 "/>
    <s v=" 65.6111 "/>
    <x v="0"/>
    <n v="76635"/>
    <m/>
    <m/>
    <m/>
  </r>
  <r>
    <x v="0"/>
    <x v="1"/>
    <s v="F:\images\20210330\plaque 1/@01 Evian + 0.2% DMSO/B1_01.tif "/>
    <s v=" 1535.7225 "/>
    <s v=" 64.9014 "/>
    <x v="0"/>
    <n v="99671"/>
    <m/>
    <m/>
    <m/>
  </r>
  <r>
    <x v="0"/>
    <x v="1"/>
    <s v="F:\images\20210330\plaque 1/@01 Evian + 0.2% DMSO/B1_02.tif "/>
    <s v=" 497.4876 "/>
    <s v=" 63.7391 "/>
    <x v="0"/>
    <n v="31709"/>
    <m/>
    <m/>
    <m/>
  </r>
  <r>
    <x v="0"/>
    <x v="1"/>
    <s v="F:\images\20210330\plaque 1/@01 Evian + 0.2% DMSO/B1_03.tif "/>
    <s v=" 951.7154 "/>
    <s v=" 64.1136 "/>
    <x v="0"/>
    <n v="61018"/>
    <m/>
    <m/>
    <m/>
  </r>
  <r>
    <x v="0"/>
    <x v="2"/>
    <s v="F:\images\20210330\plaque 1/@01 Evian + 0.2% DMSO/C1_01.tif "/>
    <s v=" 432.5979 "/>
    <s v=" 63.7 "/>
    <x v="0"/>
    <n v="27556"/>
    <m/>
    <m/>
    <m/>
  </r>
  <r>
    <x v="0"/>
    <x v="2"/>
    <s v="F:\images\20210330\plaque 1/@01 Evian + 0.2% DMSO/C1_02.tif "/>
    <s v=" 757.0463 "/>
    <s v=" 65.5429 "/>
    <x v="0"/>
    <n v="49619"/>
    <m/>
    <m/>
    <m/>
  </r>
  <r>
    <x v="0"/>
    <x v="2"/>
    <s v="F:\images\20210330\plaque 1/@01 Evian + 0.2% DMSO/C1_03.tif "/>
    <s v=" 648.8968 "/>
    <s v=" 63.1 "/>
    <x v="0"/>
    <n v="40945"/>
    <m/>
    <m/>
    <m/>
  </r>
  <r>
    <x v="0"/>
    <x v="3"/>
    <s v="F:\images\20210330\plaque 1/@01 Evian + 0.2% DMSO/D1_01.tif "/>
    <s v=" 6856.6766 "/>
    <s v=" 72.4006 "/>
    <x v="0"/>
    <n v="496428"/>
    <m/>
    <m/>
    <m/>
  </r>
  <r>
    <x v="0"/>
    <x v="3"/>
    <s v="F:\images\20210330\plaque 1/@01 Evian + 0.2% DMSO/D1_02.tif "/>
    <s v=" 5256.0644 "/>
    <s v=" 69.1399 "/>
    <x v="0"/>
    <n v="363404"/>
    <m/>
    <m/>
    <m/>
  </r>
  <r>
    <x v="0"/>
    <x v="3"/>
    <s v="F:\images\20210330\plaque 1/@01 Evian + 0.2% DMSO/D1_03.tif "/>
    <s v=" 410.968 "/>
    <s v=" 62.8947 "/>
    <x v="0"/>
    <n v="25848"/>
    <m/>
    <m/>
    <m/>
  </r>
  <r>
    <x v="0"/>
    <x v="4"/>
    <s v="F:\images\20210330\plaque 1/@01 Evian + 0.2% DMSO/E1_01.tif "/>
    <s v=" 6056.3705 "/>
    <s v=" 65.9786 "/>
    <x v="0"/>
    <n v="399591"/>
    <m/>
    <m/>
    <m/>
  </r>
  <r>
    <x v="0"/>
    <x v="4"/>
    <s v="F:\images\20210330\plaque 1/@01 Evian + 0.2% DMSO/E1_02.tif "/>
    <s v=" 8349.1393 "/>
    <s v=" 67.7979 "/>
    <x v="0"/>
    <n v="566054"/>
    <m/>
    <m/>
    <m/>
  </r>
  <r>
    <x v="0"/>
    <x v="4"/>
    <s v="F:\images\20210330\plaque 1/@01 Evian + 0.2% DMSO/E1_03.tif "/>
    <s v=" 2119.7297 "/>
    <s v=" 65.5102 "/>
    <x v="0"/>
    <n v="138864"/>
    <m/>
    <m/>
    <m/>
  </r>
  <r>
    <x v="0"/>
    <x v="5"/>
    <s v="F:\images\20210330\plaque 1/@01 Evian + 0.2% DMSO/F1_01.tif "/>
    <s v=" 735.4164 "/>
    <s v=" 64.2647 "/>
    <x v="0"/>
    <n v="47261"/>
    <m/>
    <m/>
    <m/>
  </r>
  <r>
    <x v="0"/>
    <x v="5"/>
    <s v="F:\images\20210330\plaque 1/@01 Evian + 0.2% DMSO/F1_02.tif "/>
    <s v=" 670.5267 "/>
    <s v=" 65.5161 "/>
    <x v="0"/>
    <n v="43930"/>
    <m/>
    <m/>
    <m/>
  </r>
  <r>
    <x v="0"/>
    <x v="5"/>
    <s v="F:\images\20210330\plaque 1/@01 Evian + 0.2% DMSO/F1_03.tif "/>
    <s v=" 281.1886 "/>
    <s v=" 63.3077 "/>
    <x v="0"/>
    <n v="17801"/>
    <m/>
    <m/>
    <m/>
  </r>
  <r>
    <x v="0"/>
    <x v="6"/>
    <s v="F:\images\20210330\plaque 1/@01 Evian + 0.2% DMSO/G1_01.tif "/>
    <s v=" 757.0463 "/>
    <s v=" 62.6857 "/>
    <x v="0"/>
    <n v="47456"/>
    <m/>
    <m/>
    <m/>
  </r>
  <r>
    <x v="0"/>
    <x v="6"/>
    <s v="F:\images\20210330\plaque 1/@01 Evian + 0.2% DMSO/G1_02.tif "/>
    <s v=" 2206.2493 "/>
    <s v=" 64.7255 "/>
    <x v="0"/>
    <n v="142801"/>
    <m/>
    <m/>
    <m/>
  </r>
  <r>
    <x v="0"/>
    <x v="6"/>
    <s v="F:\images\20210330\plaque 1/@01 Evian + 0.2% DMSO/G1_03.tif "/>
    <s v=" 3006.5554 "/>
    <s v=" 66.9856 "/>
    <x v="0"/>
    <n v="201396"/>
    <m/>
    <m/>
    <m/>
  </r>
  <r>
    <x v="0"/>
    <x v="7"/>
    <s v="F:\images\20210330\plaque 1/@01 Evian + 0.2% DMSO/H1_01- exclu.tif"/>
    <m/>
    <m/>
    <x v="1"/>
    <m/>
    <m/>
    <m/>
    <m/>
  </r>
  <r>
    <x v="0"/>
    <x v="7"/>
    <s v="F:\images\20210330\plaque 1/@01 Evian + 0.2% DMSO/H1_02- exclu.tif"/>
    <m/>
    <m/>
    <x v="1"/>
    <m/>
    <m/>
    <m/>
    <m/>
  </r>
  <r>
    <x v="0"/>
    <x v="7"/>
    <s v="F:\images\20210330\plaque 1/@01 Evian + 0.2% DMSO/H1_03- exclu.tif"/>
    <m/>
    <m/>
    <x v="1"/>
    <m/>
    <m/>
    <m/>
    <m/>
  </r>
  <r>
    <x v="1"/>
    <x v="8"/>
    <s v=" "/>
    <m/>
    <m/>
    <x v="1"/>
    <m/>
    <m/>
    <m/>
    <m/>
  </r>
  <r>
    <x v="1"/>
    <x v="8"/>
    <s v="group "/>
    <s v=" "/>
    <s v=" mean of mean fluo "/>
    <x v="2"/>
    <s v=" mean of total fluo "/>
    <s v=" SD total fluo "/>
    <s v=" n fluorescent "/>
    <s v=" n total"/>
  </r>
  <r>
    <x v="0"/>
    <x v="9"/>
    <s v="F:\images\20210330\plaque 1/@01 Evian + 0.2% DMSO/ "/>
    <s v=" "/>
    <s v=" 65.5273 "/>
    <x v="3"/>
    <s v=" 133325.75 "/>
    <s v=" 160088.0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30\plaque 1/@02 EE2 33.8/A2_01.tif "/>
    <s v=" 194.6691 "/>
    <s v=" 61.8889 "/>
    <x v="0"/>
    <n v="12048"/>
    <m/>
    <m/>
    <m/>
  </r>
  <r>
    <x v="2"/>
    <x v="0"/>
    <s v="F:\images\20210330\plaque 1/@02 EE2 33.8/A2_02.tif "/>
    <s v=" 4196.1996 "/>
    <s v=" 74.7938 "/>
    <x v="0"/>
    <n v="313850"/>
    <m/>
    <m/>
    <m/>
  </r>
  <r>
    <x v="2"/>
    <x v="0"/>
    <s v="F:\images\20210330\plaque 1/@02 EE2 33.8/A2_03.tif "/>
    <s v=" 237.9288 "/>
    <s v=" 64.1818 "/>
    <x v="0"/>
    <n v="15271"/>
    <m/>
    <m/>
    <m/>
  </r>
  <r>
    <x v="2"/>
    <x v="1"/>
    <s v="F:\images\20210330\plaque 1/@02 EE2 33.8/B2_01.tif "/>
    <s v=" 1211.2741 "/>
    <s v=" 64.1607 "/>
    <x v="0"/>
    <n v="77716"/>
    <m/>
    <m/>
    <m/>
  </r>
  <r>
    <x v="2"/>
    <x v="1"/>
    <s v="F:\images\20210330\plaque 1/@02 EE2 33.8/B2_02.tif "/>
    <s v=" 908.4556 "/>
    <n v="64"/>
    <x v="0"/>
    <n v="58141"/>
    <m/>
    <m/>
    <m/>
  </r>
  <r>
    <x v="2"/>
    <x v="1"/>
    <s v="F:\images\20210330\plaque 1/@02 EE2 33.8/B2_03.tif "/>
    <s v=" 627.2669 "/>
    <s v=" 64.4828 "/>
    <x v="0"/>
    <n v="40448"/>
    <m/>
    <m/>
    <m/>
  </r>
  <r>
    <x v="2"/>
    <x v="2"/>
    <s v="F:\images\20210330\plaque 1/@02 EE2 33.8/C2_01.tif "/>
    <s v=" 497.4876 "/>
    <s v=" 63.5652 "/>
    <x v="0"/>
    <n v="31623"/>
    <m/>
    <m/>
    <m/>
  </r>
  <r>
    <x v="2"/>
    <x v="2"/>
    <s v="F:\images\20210330\plaque 1/@02 EE2 33.8/C2_02.tif "/>
    <s v=" 1081.4947 "/>
    <s v=" 64.5 "/>
    <x v="0"/>
    <n v="69756"/>
    <m/>
    <m/>
    <m/>
  </r>
  <r>
    <x v="2"/>
    <x v="2"/>
    <s v="F:\images\20210330\plaque 1/@02 EE2 33.8/C2_03.tif "/>
    <s v=" 1838.541 "/>
    <s v=" 66.4706 "/>
    <x v="0"/>
    <n v="122209"/>
    <m/>
    <m/>
    <m/>
  </r>
  <r>
    <x v="2"/>
    <x v="3"/>
    <s v="F:\images\20210330\plaque 1/@02 EE2 33.8/D2_01.tif "/>
    <s v=" 9019.6661 "/>
    <s v=" 74.494 "/>
    <x v="0"/>
    <n v="671911"/>
    <m/>
    <m/>
    <m/>
  </r>
  <r>
    <x v="2"/>
    <x v="3"/>
    <s v="F:\images\20210330\plaque 1/@02 EE2 33.8/D2_02.tif "/>
    <s v=" 151.4093 "/>
    <s v=" 63.5714 "/>
    <x v="0"/>
    <n v="9625"/>
    <m/>
    <m/>
    <m/>
  </r>
  <r>
    <x v="2"/>
    <x v="3"/>
    <s v="F:\images\20210330\plaque 1/@02 EE2 33.8/D2_03.tif "/>
    <s v=" 994.9752 "/>
    <s v=" 65.413 "/>
    <x v="0"/>
    <n v="65084"/>
    <m/>
    <m/>
    <m/>
  </r>
  <r>
    <x v="2"/>
    <x v="4"/>
    <s v="F:\images\20210330\plaque 1/@02 EE2 33.8/E2_01.tif "/>
    <s v=" 821.936 "/>
    <s v=" 63.7632 "/>
    <x v="0"/>
    <n v="52409"/>
    <m/>
    <m/>
    <m/>
  </r>
  <r>
    <x v="2"/>
    <x v="4"/>
    <s v="F:\images\20210330\plaque 1/@02 EE2 33.8/E2_02.tif "/>
    <s v=" 151.4093 "/>
    <n v="65"/>
    <x v="0"/>
    <n v="9842"/>
    <m/>
    <m/>
    <m/>
  </r>
  <r>
    <x v="2"/>
    <x v="4"/>
    <s v="F:\images\20210330\plaque 1/@02 EE2 33.8/E2_03.tif "/>
    <s v=" 194.6691 "/>
    <s v=" 64.2222 "/>
    <x v="0"/>
    <n v="12502"/>
    <m/>
    <m/>
    <m/>
  </r>
  <r>
    <x v="2"/>
    <x v="5"/>
    <s v="F:\images\20210330\plaque 1/@02 EE2 33.8/F2_01- exclu.tif"/>
    <m/>
    <m/>
    <x v="1"/>
    <m/>
    <m/>
    <m/>
    <m/>
  </r>
  <r>
    <x v="2"/>
    <x v="5"/>
    <s v="F:\images\20210330\plaque 1/@02 EE2 33.8/F2_02.tif "/>
    <s v=" 3179.5945 "/>
    <s v=" 65.0544 "/>
    <x v="0"/>
    <n v="206847"/>
    <m/>
    <m/>
    <m/>
  </r>
  <r>
    <x v="2"/>
    <x v="5"/>
    <s v="F:\images\20210330\plaque 1/@02 EE2 33.8/F2_03.tif "/>
    <s v=" 865.1958 "/>
    <s v=" 66.3 "/>
    <x v="0"/>
    <n v="57362"/>
    <m/>
    <m/>
    <m/>
  </r>
  <r>
    <x v="2"/>
    <x v="6"/>
    <s v="F:\images\20210330\plaque 1/@02 EE2 33.8/G2_01- exclu.tif"/>
    <m/>
    <m/>
    <x v="1"/>
    <m/>
    <m/>
    <m/>
    <m/>
  </r>
  <r>
    <x v="2"/>
    <x v="6"/>
    <s v="F:\images\20210330\plaque 1/@02 EE2 33.8/G2_02.tif "/>
    <s v=" 1059.8648 "/>
    <s v=" 64.4898 "/>
    <x v="0"/>
    <n v="68350"/>
    <m/>
    <m/>
    <m/>
  </r>
  <r>
    <x v="2"/>
    <x v="6"/>
    <s v="F:\images\20210330\plaque 1/@02 EE2 33.8/G2_03- exclu.tif"/>
    <m/>
    <m/>
    <x v="1"/>
    <m/>
    <m/>
    <m/>
    <m/>
  </r>
  <r>
    <x v="2"/>
    <x v="7"/>
    <s v="F:\images\20210330\plaque 1/@02 EE2 33.8/H2_01.tif "/>
    <s v=" 930.0855 "/>
    <s v=" 63.186 "/>
    <x v="0"/>
    <n v="58768"/>
    <m/>
    <m/>
    <m/>
  </r>
  <r>
    <x v="2"/>
    <x v="7"/>
    <s v="F:\images\20210330\plaque 1/@02 EE2 33.8/H2_02.tif "/>
    <s v=" 367.7082 "/>
    <s v=" 62.0588 "/>
    <x v="0"/>
    <n v="22820"/>
    <m/>
    <m/>
    <m/>
  </r>
  <r>
    <x v="2"/>
    <x v="7"/>
    <s v="F:\images\20210330\plaque 1/@02 EE2 33.8/H2_03.tif "/>
    <s v=" 237.9288 "/>
    <s v=" 62.3636 "/>
    <x v="0"/>
    <n v="14838"/>
    <m/>
    <m/>
    <m/>
  </r>
  <r>
    <x v="1"/>
    <x v="8"/>
    <s v=" "/>
    <m/>
    <m/>
    <x v="1"/>
    <m/>
    <m/>
    <m/>
    <m/>
  </r>
  <r>
    <x v="1"/>
    <x v="8"/>
    <s v="group "/>
    <s v=" "/>
    <s v=" mean of mean fluo "/>
    <x v="2"/>
    <s v=" mean of total fluo "/>
    <s v=" SD total fluo "/>
    <s v=" n fluorescent "/>
    <s v=" n total"/>
  </r>
  <r>
    <x v="2"/>
    <x v="9"/>
    <s v="F:\images\20210330\plaque 1/@02 EE2 33.8/ "/>
    <s v=" "/>
    <s v=" 65.2715 "/>
    <x v="4"/>
    <s v=" 109322.833 "/>
    <s v=" 169101.6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30\plaque 1/@03 EE2 50.6/A3_01.tif "/>
    <s v=" 23230.5068 "/>
    <s v=" 67.4963 "/>
    <x v="0"/>
    <n v="1567973"/>
    <m/>
    <m/>
    <m/>
  </r>
  <r>
    <x v="3"/>
    <x v="0"/>
    <s v="F:\images\20210330\plaque 1/@03 EE2 50.6/A3_02.tif "/>
    <s v=" 7354.1642 "/>
    <s v=" 63.4441 "/>
    <x v="0"/>
    <n v="466578"/>
    <m/>
    <m/>
    <m/>
  </r>
  <r>
    <x v="3"/>
    <x v="0"/>
    <s v="F:\images\20210330\plaque 1/@03 EE2 50.6/A3_03.tif "/>
    <s v=" 12523.709 "/>
    <s v=" 65.791 "/>
    <x v="0"/>
    <n v="823948"/>
    <m/>
    <m/>
    <m/>
  </r>
  <r>
    <x v="3"/>
    <x v="1"/>
    <s v="F:\images\20210330\plaque 1/@03 EE2 50.6/B3_01.tif "/>
    <s v=" 1124.7545 "/>
    <s v=" 64.6731 "/>
    <x v="0"/>
    <n v="72741"/>
    <m/>
    <m/>
    <m/>
  </r>
  <r>
    <x v="3"/>
    <x v="1"/>
    <s v="F:\images\20210330\plaque 1/@03 EE2 50.6/B3_02.tif "/>
    <s v=" 1925.0606 "/>
    <s v=" 65.9551 "/>
    <x v="0"/>
    <n v="126967"/>
    <m/>
    <m/>
    <m/>
  </r>
  <r>
    <x v="3"/>
    <x v="1"/>
    <s v="F:\images\20210330\plaque 1/@03 EE2 50.6/B3_03.tif "/>
    <s v=" 1600.6122 "/>
    <s v=" 63.7703 "/>
    <x v="0"/>
    <n v="102071"/>
    <m/>
    <m/>
    <m/>
  </r>
  <r>
    <x v="3"/>
    <x v="2"/>
    <s v="F:\images\20210330\plaque 1/@03 EE2 50.6/C3_01.tif "/>
    <s v=" 951.7154 "/>
    <s v=" 64.0909 "/>
    <x v="0"/>
    <n v="60996"/>
    <m/>
    <m/>
    <m/>
  </r>
  <r>
    <x v="3"/>
    <x v="2"/>
    <s v="F:\images\20210330\plaque 1/@03 EE2 50.6/C3_02.tif "/>
    <s v=" 692.1566 "/>
    <s v=" 62.9062 "/>
    <x v="0"/>
    <n v="43541"/>
    <m/>
    <m/>
    <m/>
  </r>
  <r>
    <x v="3"/>
    <x v="2"/>
    <s v="F:\images\20210330\plaque 1/@03 EE2 50.6/C3_03.tif "/>
    <s v=" 540.7474 "/>
    <s v=" 63.96 "/>
    <x v="0"/>
    <n v="34586"/>
    <m/>
    <m/>
    <m/>
  </r>
  <r>
    <x v="3"/>
    <x v="3"/>
    <s v="F:\images\20210330\plaque 1/@03 EE2 50.6/D3_01.tif "/>
    <s v=" 5667.0324 "/>
    <s v=" 64.6069 "/>
    <x v="0"/>
    <n v="366129"/>
    <m/>
    <m/>
    <m/>
  </r>
  <r>
    <x v="3"/>
    <x v="3"/>
    <s v="F:\images\20210330\plaque 1/@03 EE2 50.6/D3_02.tif "/>
    <s v=" 4715.317 "/>
    <s v=" 65.9358 "/>
    <x v="0"/>
    <n v="310908"/>
    <m/>
    <m/>
    <m/>
  </r>
  <r>
    <x v="3"/>
    <x v="3"/>
    <s v="F:\images\20210330\plaque 1/@03 EE2 50.6/D3_03.tif "/>
    <s v=" 1254.5339 "/>
    <s v=" 64.9138 "/>
    <x v="0"/>
    <n v="81437"/>
    <m/>
    <m/>
    <m/>
  </r>
  <r>
    <x v="3"/>
    <x v="4"/>
    <s v="F:\images\20210330\plaque 1/@03 EE2 50.6/E3_01.tif "/>
    <s v=" 1146.3844 "/>
    <s v=" 62.8679 "/>
    <x v="0"/>
    <n v="72071"/>
    <m/>
    <m/>
    <m/>
  </r>
  <r>
    <x v="3"/>
    <x v="4"/>
    <s v="F:\images\20210330\plaque 1/@03 EE2 50.6/E3_02.tif "/>
    <s v=" 994.9752 "/>
    <s v=" 63.3696 "/>
    <x v="0"/>
    <n v="63051"/>
    <m/>
    <m/>
    <m/>
  </r>
  <r>
    <x v="3"/>
    <x v="4"/>
    <s v="F:\images\20210330\plaque 1/@03 EE2 50.6/E3_03.tif "/>
    <s v=" 1600.6122 "/>
    <s v=" 63.6351 "/>
    <x v="0"/>
    <n v="101855"/>
    <m/>
    <m/>
    <m/>
  </r>
  <r>
    <x v="3"/>
    <x v="5"/>
    <s v="F:\images\20210330\plaque 1/@03 EE2 50.6/F3_01.tif "/>
    <s v=" 454.2278 "/>
    <s v=" 62.9524 "/>
    <x v="0"/>
    <n v="28595"/>
    <m/>
    <m/>
    <m/>
  </r>
  <r>
    <x v="3"/>
    <x v="5"/>
    <s v="F:\images\20210330\plaque 1/@03 EE2 50.6/F3_02.tif "/>
    <s v=" 475.8577 "/>
    <n v="62"/>
    <x v="0"/>
    <n v="29503"/>
    <m/>
    <m/>
    <m/>
  </r>
  <r>
    <x v="3"/>
    <x v="5"/>
    <s v="F:\images\20210330\plaque 1/@03 EE2 50.6/F3_03- exclu.tif"/>
    <m/>
    <m/>
    <x v="1"/>
    <m/>
    <m/>
    <m/>
    <m/>
  </r>
  <r>
    <x v="3"/>
    <x v="6"/>
    <s v="F:\images\20210330\plaque 1/@03 EE2 50.6/G3_01.tif "/>
    <s v=" 670.5267 "/>
    <s v=" 64.9355 "/>
    <x v="0"/>
    <n v="43541"/>
    <m/>
    <m/>
    <m/>
  </r>
  <r>
    <x v="3"/>
    <x v="6"/>
    <s v="F:\images\20210330\plaque 1/@03 EE2 50.6/G3_02.tif "/>
    <s v=" 389.3381 "/>
    <s v=" 63.7222 "/>
    <x v="0"/>
    <n v="24809"/>
    <m/>
    <m/>
    <m/>
  </r>
  <r>
    <x v="3"/>
    <x v="6"/>
    <s v="F:\images\20210330\plaque 1/@03 EE2 50.6/G3_03.tif "/>
    <s v=" 454.2278 "/>
    <s v=" 64.3333 "/>
    <x v="0"/>
    <n v="29222"/>
    <m/>
    <m/>
    <m/>
  </r>
  <r>
    <x v="3"/>
    <x v="7"/>
    <s v="F:\images\20210330\plaque 1/@03 EE2 50.6/H3_01.tif "/>
    <s v=" 5299.3242 "/>
    <n v="67"/>
    <x v="0"/>
    <n v="355055"/>
    <m/>
    <m/>
    <m/>
  </r>
  <r>
    <x v="3"/>
    <x v="7"/>
    <s v="F:\images\20210330\plaque 1/@03 EE2 50.6/H3_02.tif "/>
    <s v=" 6034.7406 "/>
    <s v=" 68.7204 "/>
    <x v="0"/>
    <n v="414710"/>
    <m/>
    <m/>
    <m/>
  </r>
  <r>
    <x v="3"/>
    <x v="7"/>
    <s v="F:\images\20210330\plaque 1/@03 EE2 50.6/H3_03.tif "/>
    <s v=" 5234.4345 "/>
    <s v=" 71.5868 "/>
    <x v="0"/>
    <n v="374716"/>
    <m/>
    <m/>
    <m/>
  </r>
  <r>
    <x v="1"/>
    <x v="8"/>
    <s v=" "/>
    <m/>
    <m/>
    <x v="1"/>
    <m/>
    <m/>
    <m/>
    <m/>
  </r>
  <r>
    <x v="1"/>
    <x v="8"/>
    <s v="group "/>
    <s v=" "/>
    <s v=" mean of mean fluo "/>
    <x v="2"/>
    <s v=" mean of total fluo "/>
    <s v=" SD total fluo "/>
    <s v=" n fluorescent "/>
    <s v=" n total"/>
  </r>
  <r>
    <x v="3"/>
    <x v="9"/>
    <s v="F:\images\20210330\plaque 1/@03 EE2 50.6/ "/>
    <s v=" "/>
    <s v=" 64.8343 "/>
    <x v="5"/>
    <s v=" 234723.917 "/>
    <s v=" 347247.3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30\plaque 1/@04 EE2 76/A4_01.tif "/>
    <s v=" 5191.1747 "/>
    <s v=" 66.8792 "/>
    <x v="0"/>
    <n v="347181"/>
    <m/>
    <m/>
    <m/>
  </r>
  <r>
    <x v="4"/>
    <x v="0"/>
    <s v="F:\images\20210330\plaque 1/@04 EE2 76/A4_02.tif "/>
    <s v=" 2314.3987 "/>
    <s v=" 63.8972 "/>
    <x v="0"/>
    <n v="147884"/>
    <m/>
    <m/>
    <m/>
  </r>
  <r>
    <x v="4"/>
    <x v="0"/>
    <s v="F:\images\20210330\plaque 1/@04 EE2 76/A4_03.tif "/>
    <s v=" 3698.712 "/>
    <s v=" 66.4094 "/>
    <x v="0"/>
    <n v="245629"/>
    <m/>
    <m/>
    <m/>
  </r>
  <r>
    <x v="4"/>
    <x v="1"/>
    <s v="F:\images\20210330\plaque 1/@04 EE2 76/B4_01.tif "/>
    <s v=" 994.9752 "/>
    <s v=" 63.2609 "/>
    <x v="0"/>
    <n v="62943"/>
    <m/>
    <m/>
    <m/>
  </r>
  <r>
    <x v="4"/>
    <x v="1"/>
    <s v="F:\images\20210330\plaque 1/@04 EE2 76/B4_02.tif "/>
    <s v=" 865.1958 "/>
    <s v=" 64.275 "/>
    <x v="0"/>
    <n v="55610"/>
    <m/>
    <m/>
    <m/>
  </r>
  <r>
    <x v="4"/>
    <x v="1"/>
    <s v="F:\images\20210330\plaque 1/@04 EE2 76/B4_03.tif "/>
    <s v=" 454.2278 "/>
    <s v=" 63.2857 "/>
    <x v="0"/>
    <n v="28746"/>
    <m/>
    <m/>
    <m/>
  </r>
  <r>
    <x v="4"/>
    <x v="2"/>
    <s v="F:\images\20210330\plaque 1/@04 EE2 76/C4_01.tif "/>
    <s v=" 10685.1679 "/>
    <s v=" 65.8178 "/>
    <x v="0"/>
    <n v="703274"/>
    <m/>
    <m/>
    <m/>
  </r>
  <r>
    <x v="4"/>
    <x v="2"/>
    <s v="F:\images\20210330\plaque 1/@04 EE2 76/C4_02.tif "/>
    <s v=" 15140.9262 "/>
    <s v=" 65.8171 "/>
    <x v="0"/>
    <n v="996533"/>
    <m/>
    <m/>
    <m/>
  </r>
  <r>
    <x v="4"/>
    <x v="2"/>
    <s v="F:\images\20210330\plaque 1/@04 EE2 76/C4_03.tif "/>
    <s v=" 15335.5953 "/>
    <s v=" 66.0099 "/>
    <x v="0"/>
    <n v="1012301"/>
    <m/>
    <m/>
    <m/>
  </r>
  <r>
    <x v="4"/>
    <x v="3"/>
    <s v="F:\images\20210330\plaque 1/@04 EE2 76/D4_01.tif "/>
    <s v=" 24809.4891 "/>
    <s v=" 68.789 "/>
    <x v="0"/>
    <n v="1706620"/>
    <m/>
    <m/>
    <m/>
  </r>
  <r>
    <x v="4"/>
    <x v="3"/>
    <s v="F:\images\20210330\plaque 1/@04 EE2 76/D4_02.tif "/>
    <s v=" 26604.7704 "/>
    <s v=" 68.1667 "/>
    <x v="0"/>
    <n v="1813559"/>
    <m/>
    <m/>
    <m/>
  </r>
  <r>
    <x v="4"/>
    <x v="3"/>
    <s v="F:\images\20210330\plaque 1/@04 EE2 76/D4_03.tif "/>
    <s v=" 18774.7485 "/>
    <s v=" 65.6359 "/>
    <x v="0"/>
    <n v="1232298"/>
    <m/>
    <m/>
    <m/>
  </r>
  <r>
    <x v="4"/>
    <x v="4"/>
    <s v="F:\images\20210330\plaque 1/@04 EE2 76/E4_01- exclu.tif"/>
    <m/>
    <m/>
    <x v="1"/>
    <m/>
    <m/>
    <m/>
    <m/>
  </r>
  <r>
    <x v="4"/>
    <x v="4"/>
    <s v="F:\images\20210330\plaque 1/@04 EE2 76/E4_02- exclu.tif"/>
    <m/>
    <m/>
    <x v="1"/>
    <m/>
    <m/>
    <m/>
    <m/>
  </r>
  <r>
    <x v="4"/>
    <x v="4"/>
    <s v="F:\images\20210330\plaque 1/@04 EE2 76/E4_03- exclu.tif"/>
    <m/>
    <m/>
    <x v="1"/>
    <m/>
    <m/>
    <m/>
    <m/>
  </r>
  <r>
    <x v="4"/>
    <x v="5"/>
    <s v="F:\images\20210330\plaque 1/@04 EE2 76/F4_01- exclu.tif"/>
    <m/>
    <m/>
    <x v="1"/>
    <m/>
    <m/>
    <m/>
    <m/>
  </r>
  <r>
    <x v="4"/>
    <x v="5"/>
    <s v="F:\images\20210330\plaque 1/@04 EE2 76/F4_02.tif "/>
    <s v=" 2119.7297 "/>
    <s v=" 63.602 "/>
    <x v="0"/>
    <n v="134819"/>
    <m/>
    <m/>
    <m/>
  </r>
  <r>
    <x v="4"/>
    <x v="5"/>
    <s v="F:\images\20210330\plaque 1/@04 EE2 76/F4_03.tif "/>
    <s v=" 1341.0535 "/>
    <s v=" 62.6774 "/>
    <x v="0"/>
    <n v="84054"/>
    <m/>
    <m/>
    <m/>
  </r>
  <r>
    <x v="4"/>
    <x v="6"/>
    <s v="F:\images\20210330\plaque 1/@04 EE2 76/G4_01.tif "/>
    <s v=" 17001.0972 "/>
    <s v=" 66.5382 "/>
    <x v="0"/>
    <n v="1131222"/>
    <m/>
    <m/>
    <m/>
  </r>
  <r>
    <x v="4"/>
    <x v="6"/>
    <s v="F:\images\20210330\plaque 1/@04 EE2 76/G4_02.tif "/>
    <s v=" 14643.4387 "/>
    <s v=" 65.901 "/>
    <x v="0"/>
    <n v="965018"/>
    <m/>
    <m/>
    <m/>
  </r>
  <r>
    <x v="4"/>
    <x v="6"/>
    <s v="F:\images\20210330\plaque 1/@04 EE2 76/G4_03.tif "/>
    <s v=" 16914.5776 "/>
    <s v=" 66.8223 "/>
    <x v="0"/>
    <n v="1130270"/>
    <m/>
    <m/>
    <m/>
  </r>
  <r>
    <x v="4"/>
    <x v="7"/>
    <s v="F:\images\20210330\plaque 1/@04 EE2 76/H4_01.tif "/>
    <s v=" 1168.0143 "/>
    <s v=" 62.963 "/>
    <x v="0"/>
    <n v="73542"/>
    <m/>
    <m/>
    <m/>
  </r>
  <r>
    <x v="4"/>
    <x v="7"/>
    <s v="F:\images\20210330\plaque 1/@04 EE2 76/H4_02.tif "/>
    <s v=" 1232.904 "/>
    <s v=" 63.9474 "/>
    <x v="0"/>
    <n v="78841"/>
    <m/>
    <m/>
    <m/>
  </r>
  <r>
    <x v="4"/>
    <x v="7"/>
    <s v="F:\images\20210330\plaque 1/@04 EE2 76/H4_03.tif "/>
    <s v=" 908.4556 "/>
    <s v=" 62.2857 "/>
    <x v="0"/>
    <n v="56584"/>
    <m/>
    <m/>
    <m/>
  </r>
  <r>
    <x v="1"/>
    <x v="8"/>
    <s v=" "/>
    <m/>
    <m/>
    <x v="1"/>
    <m/>
    <m/>
    <m/>
    <m/>
  </r>
  <r>
    <x v="1"/>
    <x v="8"/>
    <s v="group "/>
    <s v=" "/>
    <s v=" mean of mean fluo "/>
    <x v="2"/>
    <s v=" mean of total fluo "/>
    <s v=" SD total fluo "/>
    <s v=" n fluorescent "/>
    <s v=" n total"/>
  </r>
  <r>
    <x v="4"/>
    <x v="9"/>
    <s v="F:\images\20210330\plaque 1/@04 EE2 76/ "/>
    <s v=" "/>
    <s v=" 66.2666 "/>
    <x v="6"/>
    <s v=" 645987.625 "/>
    <s v=" 622396.3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30\plaque 1/@05 EE2 114/A5_01.tif "/>
    <s v=" 67528.531 "/>
    <s v=" 78.6275 "/>
    <x v="0"/>
    <n v="5309598"/>
    <m/>
    <m/>
    <m/>
  </r>
  <r>
    <x v="5"/>
    <x v="0"/>
    <s v="F:\images\20210330\plaque 1/@05 EE2 114/A5_02.tif "/>
    <s v=" 62942.9934 "/>
    <s v=" 76.4948 "/>
    <x v="0"/>
    <n v="4814815"/>
    <m/>
    <m/>
    <m/>
  </r>
  <r>
    <x v="5"/>
    <x v="0"/>
    <s v="F:\images\20210330\plaque 1/@05 EE2 114/A5_03.tif "/>
    <s v=" 49445.9391 "/>
    <s v=" 87.4458 "/>
    <x v="0"/>
    <n v="4323838"/>
    <m/>
    <m/>
    <m/>
  </r>
  <r>
    <x v="5"/>
    <x v="1"/>
    <s v="F:\images\20210330\plaque 1/@05 EE2 114/B5_01.tif "/>
    <s v=" 4672.0572 "/>
    <s v=" 63.7639 "/>
    <x v="0"/>
    <n v="297909"/>
    <m/>
    <m/>
    <m/>
  </r>
  <r>
    <x v="5"/>
    <x v="1"/>
    <s v="F:\images\20210330\plaque 1/@05 EE2 114/B5_02.tif "/>
    <s v=" 9257.5949 "/>
    <s v=" 64.6519 "/>
    <x v="0"/>
    <n v="598521"/>
    <m/>
    <m/>
    <m/>
  </r>
  <r>
    <x v="5"/>
    <x v="1"/>
    <s v="F:\images\20210330\plaque 1/@05 EE2 114/B5_03.tif "/>
    <s v=" 5126.285 "/>
    <s v=" 64.346 "/>
    <x v="0"/>
    <n v="329856"/>
    <m/>
    <m/>
    <m/>
  </r>
  <r>
    <x v="5"/>
    <x v="2"/>
    <s v="F:\images\20210330\plaque 1/@05 EE2 114/C5_01.tif "/>
    <s v=" 10923.0968 "/>
    <s v=" 64.8812 "/>
    <x v="0"/>
    <n v="708703"/>
    <m/>
    <m/>
    <m/>
  </r>
  <r>
    <x v="5"/>
    <x v="2"/>
    <s v="F:\images\20210330\plaque 1/@05 EE2 114/C5_02.tif "/>
    <s v=" 9949.7515 "/>
    <s v=" 63.6283 "/>
    <x v="0"/>
    <n v="633085"/>
    <m/>
    <m/>
    <m/>
  </r>
  <r>
    <x v="5"/>
    <x v="2"/>
    <s v="F:\images\20210330\plaque 1/@05 EE2 114/C5_03.tif "/>
    <s v=" 4672.0572 "/>
    <s v=" 63.3935 "/>
    <x v="0"/>
    <n v="296178"/>
    <m/>
    <m/>
    <m/>
  </r>
  <r>
    <x v="5"/>
    <x v="3"/>
    <s v="F:\images\20210330\plaque 1/@05 EE2 114/D5_01.tif "/>
    <s v=" 40750.7215 "/>
    <s v=" 72.1476 "/>
    <x v="0"/>
    <n v="2940065"/>
    <m/>
    <m/>
    <m/>
  </r>
  <r>
    <x v="5"/>
    <x v="3"/>
    <s v="F:\images\20210330\plaque 1/@05 EE2 114/D5_02.tif "/>
    <s v=" 38609.3619 "/>
    <s v=" 71.5373 "/>
    <x v="0"/>
    <n v="2762008"/>
    <m/>
    <m/>
    <m/>
  </r>
  <r>
    <x v="5"/>
    <x v="3"/>
    <s v="F:\images\20210330\plaque 1/@05 EE2 114/D5_03.tif "/>
    <s v=" 37376.4579 "/>
    <s v=" 72.081 "/>
    <x v="0"/>
    <n v="2694133"/>
    <m/>
    <m/>
    <m/>
  </r>
  <r>
    <x v="5"/>
    <x v="4"/>
    <s v="F:\images\20210330\plaque 1/@05 EE2 114/E5_01.tif "/>
    <s v=" 35797.4756 "/>
    <s v=" 67.426 "/>
    <x v="0"/>
    <n v="2413680"/>
    <m/>
    <m/>
    <m/>
  </r>
  <r>
    <x v="5"/>
    <x v="4"/>
    <s v="F:\images\20210330\plaque 1/@05 EE2 114/E5_02.tif "/>
    <s v=" 36208.4436 "/>
    <s v=" 67.497 "/>
    <x v="0"/>
    <n v="2443962"/>
    <m/>
    <m/>
    <m/>
  </r>
  <r>
    <x v="5"/>
    <x v="4"/>
    <s v="F:\images\20210330\plaque 1/@05 EE2 114/E5_03.tif "/>
    <s v=" 37722.5362 "/>
    <s v=" 68.2013 "/>
    <x v="0"/>
    <n v="2572725"/>
    <m/>
    <m/>
    <m/>
  </r>
  <r>
    <x v="5"/>
    <x v="5"/>
    <s v="F:\images\20210330\plaque 1/@05 EE2 114/F5_01.tif "/>
    <s v=" 28227.0125 "/>
    <s v=" 71.9057 "/>
    <x v="0"/>
    <n v="2029684"/>
    <m/>
    <m/>
    <m/>
  </r>
  <r>
    <x v="5"/>
    <x v="5"/>
    <s v="F:\images\20210330\plaque 1/@05 EE2 114/F5_02.tif "/>
    <s v=" 26215.4323 "/>
    <s v=" 72.4282 "/>
    <x v="0"/>
    <n v="1898737"/>
    <m/>
    <m/>
    <m/>
  </r>
  <r>
    <x v="5"/>
    <x v="5"/>
    <s v="F:\images\20210330\plaque 1/@05 EE2 114/F5_03.tif "/>
    <s v=" 27816.0445 "/>
    <s v=" 73.619 "/>
    <x v="0"/>
    <n v="2047789"/>
    <m/>
    <m/>
    <m/>
  </r>
  <r>
    <x v="5"/>
    <x v="6"/>
    <s v="F:\images\20210330\plaque 1/@05 EE2 114/G5_01.tif "/>
    <s v=" 48580.7433 "/>
    <s v=" 68.9132 "/>
    <x v="0"/>
    <n v="3347853"/>
    <m/>
    <m/>
    <m/>
  </r>
  <r>
    <x v="5"/>
    <x v="6"/>
    <s v="F:\images\20210330\plaque 1/@05 EE2 114/G5_02.tif "/>
    <s v=" 50181.3555 "/>
    <s v=" 69.153 "/>
    <x v="0"/>
    <n v="3470192"/>
    <m/>
    <m/>
    <m/>
  </r>
  <r>
    <x v="5"/>
    <x v="6"/>
    <s v="F:\images\20210330\plaque 1/@05 EE2 114/G5_03.tif "/>
    <s v=" 48926.8217 "/>
    <s v=" 69.5539 "/>
    <x v="0"/>
    <n v="3403053"/>
    <m/>
    <m/>
    <m/>
  </r>
  <r>
    <x v="5"/>
    <x v="7"/>
    <s v="F:\images\20210330\plaque 1/@05 EE2 114/H5_01.tif "/>
    <s v=" 14037.8016 "/>
    <s v=" 65.6348 "/>
    <x v="0"/>
    <n v="921369"/>
    <m/>
    <m/>
    <m/>
  </r>
  <r>
    <x v="5"/>
    <x v="7"/>
    <s v="F:\images\20210330\plaque 1/@05 EE2 114/H5_02.tif "/>
    <s v=" 16114.2715 "/>
    <s v=" 66.1503 "/>
    <x v="0"/>
    <n v="1065964"/>
    <m/>
    <m/>
    <m/>
  </r>
  <r>
    <x v="5"/>
    <x v="7"/>
    <s v="F:\images\20210330\plaque 1/@05 EE2 114/H5_03.tif "/>
    <s v=" 18839.6382 "/>
    <s v=" 66.1389 "/>
    <x v="0"/>
    <n v="1246033"/>
    <m/>
    <m/>
    <m/>
  </r>
  <r>
    <x v="1"/>
    <x v="8"/>
    <s v=" "/>
    <m/>
    <m/>
    <x v="1"/>
    <m/>
    <m/>
    <m/>
    <m/>
  </r>
  <r>
    <x v="1"/>
    <x v="8"/>
    <s v="group "/>
    <s v=" "/>
    <s v=" mean of mean fluo "/>
    <x v="2"/>
    <s v=" mean of total fluo "/>
    <s v=" SD total fluo "/>
    <s v=" n fluorescent "/>
    <s v=" n total"/>
  </r>
  <r>
    <x v="5"/>
    <x v="9"/>
    <s v="F:\images\20210330\plaque 1/@05 EE2 114/ "/>
    <s v=" "/>
    <s v=" 69.5675 "/>
    <x v="7"/>
    <s v=" 2190406.25 "/>
    <s v=" 1455173.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30\plaque 1/@06 EE2 170.9/A6_01.tif "/>
    <s v=" 33028.8491 "/>
    <s v=" 78.5252 "/>
    <x v="0"/>
    <n v="2593597"/>
    <m/>
    <m/>
    <m/>
  </r>
  <r>
    <x v="6"/>
    <x v="0"/>
    <s v="F:\images\20210330\plaque 1/@06 EE2 170.9/A6_02.tif "/>
    <s v=" 42048.5152 "/>
    <s v=" 76.982 "/>
    <x v="0"/>
    <n v="3236979"/>
    <m/>
    <m/>
    <m/>
  </r>
  <r>
    <x v="6"/>
    <x v="0"/>
    <s v="F:\images\20210330\plaque 1/@06 EE2 170.9/A6_03.tif "/>
    <s v=" 33093.7388 "/>
    <s v=" 78.5693 "/>
    <x v="0"/>
    <n v="2600151"/>
    <m/>
    <m/>
    <m/>
  </r>
  <r>
    <x v="6"/>
    <x v="1"/>
    <s v="F:\images\20210330\plaque 1/@06 EE2 170.9/B6_01.tif "/>
    <s v=" 35278.3581 "/>
    <s v=" 81.7689 "/>
    <x v="0"/>
    <n v="2884671"/>
    <m/>
    <m/>
    <m/>
  </r>
  <r>
    <x v="6"/>
    <x v="1"/>
    <s v="F:\images\20210330\plaque 1/@06 EE2 170.9/B6_02- exclu.tif"/>
    <m/>
    <m/>
    <x v="1"/>
    <m/>
    <m/>
    <m/>
    <m/>
  </r>
  <r>
    <x v="6"/>
    <x v="1"/>
    <s v="F:\images\20210330\plaque 1/@06 EE2 170.9/B6_03.tif "/>
    <s v=" 33028.8491 "/>
    <s v=" 83.4754 "/>
    <x v="0"/>
    <n v="2757098"/>
    <m/>
    <m/>
    <m/>
  </r>
  <r>
    <x v="6"/>
    <x v="2"/>
    <s v="F:\images\20210330\plaque 1/@06 EE2 170.9/C6_01.tif "/>
    <s v=" 27037.3683 "/>
    <s v=" 72.4648 "/>
    <x v="0"/>
    <n v="1959257"/>
    <m/>
    <m/>
    <m/>
  </r>
  <r>
    <x v="6"/>
    <x v="2"/>
    <s v="F:\images\20210330\plaque 1/@06 EE2 170.9/C6_02.tif "/>
    <s v=" 23122.3574 "/>
    <s v=" 68.0739 "/>
    <x v="0"/>
    <n v="1574029"/>
    <m/>
    <m/>
    <m/>
  </r>
  <r>
    <x v="6"/>
    <x v="2"/>
    <s v="F:\images\20210330\plaque 1/@06 EE2 170.9/C6_03.tif "/>
    <s v=" 24225.482 "/>
    <s v=" 71.3482 "/>
    <x v="0"/>
    <n v="1728445"/>
    <m/>
    <m/>
    <m/>
  </r>
  <r>
    <x v="6"/>
    <x v="3"/>
    <s v="F:\images\20210330\plaque 1/@06 EE2 170.9/D6_01.tif "/>
    <s v=" 38522.8423 "/>
    <s v=" 73.676 "/>
    <x v="0"/>
    <n v="2838210"/>
    <m/>
    <m/>
    <m/>
  </r>
  <r>
    <x v="6"/>
    <x v="3"/>
    <s v="F:\images\20210330\plaque 1/@06 EE2 170.9/D6_02.tif "/>
    <s v=" 35473.0272 "/>
    <s v=" 73.089 "/>
    <x v="0"/>
    <n v="2592689"/>
    <m/>
    <m/>
    <m/>
  </r>
  <r>
    <x v="6"/>
    <x v="3"/>
    <s v="F:\images\20210330\plaque 1/@06 EE2 170.9/D6_03.tif "/>
    <s v=" 43908.6861 "/>
    <s v=" 75.4626 "/>
    <x v="0"/>
    <n v="3313462"/>
    <m/>
    <m/>
    <m/>
  </r>
  <r>
    <x v="6"/>
    <x v="4"/>
    <s v="F:\images\20210330\plaque 1/@06 EE2 170.9/E6_01.tif "/>
    <s v=" 44600.8427 "/>
    <s v=" 81.144 "/>
    <x v="0"/>
    <n v="3619092"/>
    <m/>
    <m/>
    <m/>
  </r>
  <r>
    <x v="6"/>
    <x v="4"/>
    <s v="F:\images\20210330\plaque 1/@06 EE2 170.9/E6_02.tif "/>
    <s v=" 34975.5396 "/>
    <s v=" 74.9481 "/>
    <x v="0"/>
    <n v="2621349"/>
    <m/>
    <m/>
    <m/>
  </r>
  <r>
    <x v="6"/>
    <x v="4"/>
    <s v="F:\images\20210330\plaque 1/@06 EE2 170.9/E6_03- exclu.tif"/>
    <m/>
    <m/>
    <x v="1"/>
    <m/>
    <m/>
    <m/>
    <m/>
  </r>
  <r>
    <x v="6"/>
    <x v="5"/>
    <s v="F:\images\20210330\plaque 1/@06 EE2 170.9/F6_01.tif "/>
    <s v=" 37225.0487 "/>
    <s v=" 72.2347 "/>
    <x v="0"/>
    <n v="2688942"/>
    <m/>
    <m/>
    <m/>
  </r>
  <r>
    <x v="6"/>
    <x v="5"/>
    <s v="F:\images\20210330\plaque 1/@06 EE2 170.9/F6_02.tif "/>
    <s v=" 37830.6857 "/>
    <s v=" 73.5094 "/>
    <x v="0"/>
    <n v="2780912"/>
    <m/>
    <m/>
    <m/>
  </r>
  <r>
    <x v="6"/>
    <x v="5"/>
    <s v="F:\images\20210330\plaque 1/@06 EE2 170.9/F6_03.tif "/>
    <s v=" 37138.5291 "/>
    <s v=" 72.8841 "/>
    <x v="0"/>
    <n v="2706808"/>
    <m/>
    <m/>
    <m/>
  </r>
  <r>
    <x v="6"/>
    <x v="6"/>
    <s v="F:\images\20210330\plaque 1/@06 EE2 170.9/G6_01.tif "/>
    <s v=" 44406.1737 "/>
    <s v=" 80.8787 "/>
    <x v="0"/>
    <n v="3591514"/>
    <m/>
    <m/>
    <m/>
  </r>
  <r>
    <x v="6"/>
    <x v="6"/>
    <s v="F:\images\20210330\plaque 1/@06 EE2 170.9/G6_02.tif "/>
    <s v=" 45660.7076 "/>
    <s v=" 80.289 "/>
    <x v="0"/>
    <n v="3666051"/>
    <m/>
    <m/>
    <m/>
  </r>
  <r>
    <x v="6"/>
    <x v="6"/>
    <s v="F:\images\20210330\plaque 1/@06 EE2 170.9/G6_03.tif "/>
    <s v=" 44557.5829 "/>
    <s v=" 80.4068 "/>
    <x v="0"/>
    <n v="3582732"/>
    <m/>
    <m/>
    <m/>
  </r>
  <r>
    <x v="6"/>
    <x v="7"/>
    <s v="F:\images\20210330\plaque 1/@06 EE2 170.9/H6_01.tif "/>
    <s v=" 49402.6793 "/>
    <s v=" 77.0499 "/>
    <x v="0"/>
    <n v="3806472"/>
    <m/>
    <m/>
    <m/>
  </r>
  <r>
    <x v="6"/>
    <x v="7"/>
    <s v="F:\images\20210330\plaque 1/@06 EE2 170.9/H6_02.tif "/>
    <s v=" 47758.8073 "/>
    <s v=" 79.2355 "/>
    <x v="0"/>
    <n v="3784193"/>
    <m/>
    <m/>
    <m/>
  </r>
  <r>
    <x v="6"/>
    <x v="7"/>
    <s v="F:\images\20210330\plaque 1/@06 EE2 170.9/H6_03.tif "/>
    <s v=" 45314.6292 "/>
    <s v=" 77.1556 "/>
    <x v="0"/>
    <n v="3496278"/>
    <m/>
    <m/>
    <m/>
  </r>
  <r>
    <x v="1"/>
    <x v="8"/>
    <s v=" "/>
    <m/>
    <m/>
    <x v="1"/>
    <m/>
    <m/>
    <m/>
    <m/>
  </r>
  <r>
    <x v="1"/>
    <x v="8"/>
    <s v="group "/>
    <s v=" "/>
    <s v=" mean of mean fluo "/>
    <x v="2"/>
    <s v=" mean of total fluo "/>
    <s v=" SD total fluo "/>
    <s v=" n fluorescent "/>
    <s v=" n total"/>
  </r>
  <r>
    <x v="6"/>
    <x v="9"/>
    <s v="F:\images\20210330\plaque 1/@06 EE2 170.9/ "/>
    <s v=" "/>
    <s v=" 76.483 "/>
    <x v="8"/>
    <s v=" 2736777.33 "/>
    <s v=" 895700.1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30\plaque 1/@07 EE2 488/A7_01.tif "/>
    <s v=" 33785.8954 "/>
    <s v=" 84.8143 "/>
    <x v="0"/>
    <n v="2865528"/>
    <m/>
    <m/>
    <m/>
  </r>
  <r>
    <x v="7"/>
    <x v="0"/>
    <s v="F:\images\20210330\plaque 1/@07 EE2 488/A7_02.tif "/>
    <s v=" 26929.2188 "/>
    <s v=" 78.2948 "/>
    <x v="0"/>
    <n v="2108417"/>
    <m/>
    <m/>
    <m/>
  </r>
  <r>
    <x v="7"/>
    <x v="0"/>
    <s v="F:\images\20210330\plaque 1/@07 EE2 488/A7_03.tif "/>
    <s v=" 29935.7742 "/>
    <s v=" 87.8389 "/>
    <x v="0"/>
    <n v="2629525"/>
    <m/>
    <m/>
    <m/>
  </r>
  <r>
    <x v="7"/>
    <x v="1"/>
    <s v="F:\images\20210330\plaque 1/@07 EE2 488/B7_01.tif "/>
    <s v=" 25112.3077 "/>
    <s v=" 78.3471 "/>
    <x v="0"/>
    <n v="1967477"/>
    <m/>
    <m/>
    <m/>
  </r>
  <r>
    <x v="7"/>
    <x v="1"/>
    <s v="F:\images\20210330\plaque 1/@07 EE2 488/B7_02.tif "/>
    <s v=" 23987.5531 "/>
    <s v=" 80.7971 "/>
    <x v="0"/>
    <n v="1938125"/>
    <m/>
    <m/>
    <m/>
  </r>
  <r>
    <x v="7"/>
    <x v="1"/>
    <s v="F:\images\20210330\plaque 1/@07 EE2 488/B7_03.tif "/>
    <s v=" 24052.4428 "/>
    <s v=" 78.4838 "/>
    <x v="0"/>
    <n v="1887727"/>
    <m/>
    <m/>
    <m/>
  </r>
  <r>
    <x v="7"/>
    <x v="2"/>
    <s v="F:\images\20210330\plaque 1/@07 EE2 488/C7_01.tif "/>
    <s v=" 32596.2512 "/>
    <s v=" 89.8361 "/>
    <x v="0"/>
    <n v="2928320"/>
    <m/>
    <m/>
    <m/>
  </r>
  <r>
    <x v="7"/>
    <x v="2"/>
    <s v="F:\images\20210330\plaque 1/@07 EE2 488/C7_02.tif "/>
    <s v=" 30043.9236 "/>
    <s v=" 88.424 "/>
    <x v="0"/>
    <n v="2656605"/>
    <m/>
    <m/>
    <m/>
  </r>
  <r>
    <x v="7"/>
    <x v="2"/>
    <s v="F:\images\20210330\plaque 1/@07 EE2 488/C7_03.tif "/>
    <s v=" 30779.3401 "/>
    <s v=" 84.0365 "/>
    <x v="0"/>
    <n v="2586589"/>
    <m/>
    <m/>
    <m/>
  </r>
  <r>
    <x v="7"/>
    <x v="3"/>
    <s v="F:\images\20210330\plaque 1/@07 EE2 488/D7_01.tif "/>
    <s v=" 90196.6606 "/>
    <s v=" 97.3149 "/>
    <x v="0"/>
    <n v="8777476"/>
    <m/>
    <m/>
    <m/>
  </r>
  <r>
    <x v="7"/>
    <x v="3"/>
    <s v="F:\images\20210330\plaque 1/@07 EE2 488/D7_02.tif "/>
    <s v=" 82107.08 "/>
    <s v=" 93.692 "/>
    <x v="0"/>
    <n v="7692780"/>
    <m/>
    <m/>
    <m/>
  </r>
  <r>
    <x v="7"/>
    <x v="3"/>
    <s v="F:\images\20210330\plaque 1/@07 EE2 488/D7_03.tif "/>
    <s v=" 85589.493 "/>
    <s v=" 92.7023 "/>
    <x v="0"/>
    <n v="7934343"/>
    <m/>
    <m/>
    <m/>
  </r>
  <r>
    <x v="7"/>
    <x v="4"/>
    <s v="F:\images\20210330\plaque 1/@07 EE2 488/E7_01.tif "/>
    <s v=" 49337.7896 "/>
    <s v=" 83.6089 "/>
    <x v="0"/>
    <n v="4125080"/>
    <m/>
    <m/>
    <m/>
  </r>
  <r>
    <x v="7"/>
    <x v="4"/>
    <s v="F:\images\20210330\plaque 1/@07 EE2 488/E7_02.tif "/>
    <s v=" 41075.1699 "/>
    <s v=" 85.3881 "/>
    <x v="0"/>
    <n v="3507331"/>
    <m/>
    <m/>
    <m/>
  </r>
  <r>
    <x v="7"/>
    <x v="4"/>
    <s v="F:\images\20210330\plaque 1/@07 EE2 488/E7_03.tif "/>
    <s v=" 41637.5472 "/>
    <s v=" 87.5979 "/>
    <x v="0"/>
    <n v="3647363"/>
    <m/>
    <m/>
    <m/>
  </r>
  <r>
    <x v="7"/>
    <x v="5"/>
    <s v="F:\images\20210330\plaque 1/@07 EE2 488/F7_01.tif "/>
    <s v=" 49381.0494 "/>
    <s v=" 88.3999 "/>
    <x v="0"/>
    <n v="4365280"/>
    <m/>
    <m/>
    <m/>
  </r>
  <r>
    <x v="7"/>
    <x v="5"/>
    <s v="F:\images\20210330\plaque 1/@07 EE2 488/F7_02.tif "/>
    <s v=" 35970.5148 "/>
    <s v=" 91.8328 "/>
    <x v="0"/>
    <n v="3303274"/>
    <m/>
    <m/>
    <m/>
  </r>
  <r>
    <x v="7"/>
    <x v="5"/>
    <s v="F:\images\20210330\plaque 1/@07 EE2 488/F7_03.tif "/>
    <s v=" 44124.985 "/>
    <s v=" 91.7647 "/>
    <x v="0"/>
    <n v="4049116"/>
    <m/>
    <m/>
    <m/>
  </r>
  <r>
    <x v="7"/>
    <x v="6"/>
    <s v="F:\images\20210330\plaque 1/@07 EE2 488/G7_01.tif "/>
    <s v=" 49337.7896 "/>
    <s v=" 99.5708 "/>
    <x v="0"/>
    <n v="4912603"/>
    <m/>
    <m/>
    <m/>
  </r>
  <r>
    <x v="7"/>
    <x v="6"/>
    <s v="F:\images\20210330\plaque 1/@07 EE2 488/G7_02.tif "/>
    <s v=" 47455.9888 "/>
    <s v=" 100.4991 "/>
    <x v="0"/>
    <n v="4769284"/>
    <m/>
    <m/>
    <m/>
  </r>
  <r>
    <x v="7"/>
    <x v="6"/>
    <s v="F:\images\20210330\plaque 1/@07 EE2 488/G7_03.tif "/>
    <s v=" 50462.5442 "/>
    <s v=" 96.4565 "/>
    <x v="0"/>
    <n v="4867440"/>
    <m/>
    <m/>
    <m/>
  </r>
  <r>
    <x v="7"/>
    <x v="7"/>
    <s v="F:\images\20210330\plaque 1/@07 EE2 488/H7_01.tif "/>
    <s v=" 86779.1373 "/>
    <s v=" 97.1331 "/>
    <x v="0"/>
    <n v="8429127"/>
    <m/>
    <m/>
    <m/>
  </r>
  <r>
    <x v="7"/>
    <x v="7"/>
    <s v="F:\images\20210330\plaque 1/@07 EE2 488/H7_02.tif "/>
    <s v=" 76375.1579 "/>
    <s v=" 100.2637 "/>
    <x v="0"/>
    <n v="7657653"/>
    <m/>
    <m/>
    <m/>
  </r>
  <r>
    <x v="7"/>
    <x v="7"/>
    <s v="F:\images\20210330\plaque 1/@07 EE2 488/H7_03.tif "/>
    <s v=" 74082.3891 "/>
    <s v=" 100.9258 "/>
    <x v="0"/>
    <n v="7476827"/>
    <m/>
    <m/>
    <m/>
  </r>
  <r>
    <x v="1"/>
    <x v="8"/>
    <s v=" "/>
    <m/>
    <m/>
    <x v="1"/>
    <m/>
    <m/>
    <m/>
    <m/>
  </r>
  <r>
    <x v="1"/>
    <x v="8"/>
    <s v="group "/>
    <s v=" "/>
    <s v=" mean of mean fluo "/>
    <x v="2"/>
    <s v=" mean of total fluo "/>
    <s v=" SD total fluo "/>
    <s v=" n fluorescent "/>
    <s v=" n total"/>
  </r>
  <r>
    <x v="7"/>
    <x v="9"/>
    <s v="F:\images\20210330\plaque 1/@07 EE2 488/ "/>
    <s v=" "/>
    <s v=" 89.9176 "/>
    <x v="9"/>
    <s v=" 4461803.75 "/>
    <s v=" 2280589.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30\plaque 1/@08 Anastrozole 0.032 µg_L/A8_01.tif "/>
    <s v=" 1297.7937 "/>
    <s v=" 66.0667 "/>
    <x v="0"/>
    <n v="85741"/>
    <m/>
    <m/>
    <m/>
  </r>
  <r>
    <x v="8"/>
    <x v="0"/>
    <s v="F:\images\20210330\plaque 1/@08 Anastrozole 0.032 µg_L/A8_02.tif "/>
    <s v=" 692.1566 "/>
    <s v=" 64.0312 "/>
    <x v="0"/>
    <n v="44320"/>
    <m/>
    <m/>
    <m/>
  </r>
  <r>
    <x v="8"/>
    <x v="0"/>
    <s v="F:\images\20210330\plaque 1/@08 Anastrozole 0.032 µg_L/A8_03.tif "/>
    <s v=" 735.4164 "/>
    <s v=" 64.9118 "/>
    <x v="0"/>
    <n v="47737"/>
    <m/>
    <m/>
    <m/>
  </r>
  <r>
    <x v="8"/>
    <x v="1"/>
    <s v="F:\images\20210330\plaque 1/@08 Anastrozole 0.032 µg_L/B8_01.tif "/>
    <s v=" 1838.541 "/>
    <s v=" 64.8 "/>
    <x v="0"/>
    <n v="119137"/>
    <m/>
    <m/>
    <m/>
  </r>
  <r>
    <x v="8"/>
    <x v="1"/>
    <s v="F:\images\20210330\plaque 1/@08 Anastrozole 0.032 µg_L/B8_02.tif "/>
    <s v=" 1297.7937 "/>
    <s v=" 64.4333 "/>
    <x v="0"/>
    <n v="83621"/>
    <m/>
    <m/>
    <m/>
  </r>
  <r>
    <x v="8"/>
    <x v="1"/>
    <s v="F:\images\20210330\plaque 1/@08 Anastrozole 0.032 µg_L/B8_03.tif "/>
    <s v=" 410.968 "/>
    <s v=" 63.5263 "/>
    <x v="0"/>
    <n v="26107"/>
    <m/>
    <m/>
    <m/>
  </r>
  <r>
    <x v="8"/>
    <x v="2"/>
    <s v="F:\images\20210330\plaque 1/@08 Anastrozole 0.032 µg_L/C8_01.tif "/>
    <s v=" 4239.4593 "/>
    <s v=" 64.852 "/>
    <x v="0"/>
    <n v="274938"/>
    <m/>
    <m/>
    <m/>
  </r>
  <r>
    <x v="8"/>
    <x v="2"/>
    <s v="F:\images\20210330\plaque 1/@08 Anastrozole 0.032 µg_L/C8_02.tif "/>
    <s v=" 4909.9861 "/>
    <s v=" 64.5551 "/>
    <x v="0"/>
    <n v="316964"/>
    <m/>
    <m/>
    <m/>
  </r>
  <r>
    <x v="8"/>
    <x v="2"/>
    <s v="F:\images\20210330\plaque 1/@08 Anastrozole 0.032 µg_L/C8_03.tif "/>
    <s v=" 2509.0678 "/>
    <s v=" 64.5603 "/>
    <x v="0"/>
    <n v="161986"/>
    <m/>
    <m/>
    <m/>
  </r>
  <r>
    <x v="8"/>
    <x v="3"/>
    <s v="F:\images\20210330\plaque 1/@08 Anastrozole 0.032 µg_L/D8_01.tif "/>
    <s v=" 1232.904 "/>
    <s v=" 63.4737 "/>
    <x v="0"/>
    <n v="78257"/>
    <m/>
    <m/>
    <m/>
  </r>
  <r>
    <x v="8"/>
    <x v="3"/>
    <s v="F:\images\20210330\plaque 1/@08 Anastrozole 0.032 µg_L/D8_02.tif "/>
    <s v=" 648.8968 "/>
    <s v=" 62.9667 "/>
    <x v="0"/>
    <n v="40859"/>
    <m/>
    <m/>
    <m/>
  </r>
  <r>
    <x v="8"/>
    <x v="3"/>
    <s v="F:\images\20210330\plaque 1/@08 Anastrozole 0.032 µg_L/D8_03.tif "/>
    <s v=" 994.9752 "/>
    <s v=" 63.4565 "/>
    <x v="0"/>
    <n v="63138"/>
    <m/>
    <m/>
    <m/>
  </r>
  <r>
    <x v="8"/>
    <x v="4"/>
    <s v="F:\images\20210330\plaque 1/@08 Anastrozole 0.032 µg_L/E8_01.tif "/>
    <s v=" 540.7474 "/>
    <s v=" 66.72 "/>
    <x v="0"/>
    <n v="36079"/>
    <m/>
    <m/>
    <m/>
  </r>
  <r>
    <x v="8"/>
    <x v="4"/>
    <s v="F:\images\20210330\plaque 1/@08 Anastrozole 0.032 µg_L/E8_02.tif "/>
    <s v=" 497.4876 "/>
    <s v=" 62.8696 "/>
    <x v="0"/>
    <n v="31277"/>
    <m/>
    <m/>
    <m/>
  </r>
  <r>
    <x v="8"/>
    <x v="4"/>
    <s v="F:\images\20210330\plaque 1/@08 Anastrozole 0.032 µg_L/E8_03.tif "/>
    <s v=" 1622.2421 "/>
    <s v=" 64.4133 "/>
    <x v="0"/>
    <n v="104494"/>
    <m/>
    <m/>
    <m/>
  </r>
  <r>
    <x v="8"/>
    <x v="5"/>
    <s v="F:\images\20210330\plaque 1/@08 Anastrozole 0.032 µg_L/F8_01.tif "/>
    <s v=" 5731.9221 "/>
    <s v=" 67.4679 "/>
    <x v="0"/>
    <n v="386721"/>
    <m/>
    <m/>
    <m/>
  </r>
  <r>
    <x v="8"/>
    <x v="5"/>
    <s v="F:\images\20210330\plaque 1/@08 Anastrozole 0.032 µg_L/F8_02.tif "/>
    <s v=" 6359.189 "/>
    <s v=" 68.5952 "/>
    <x v="0"/>
    <n v="436210"/>
    <m/>
    <m/>
    <m/>
  </r>
  <r>
    <x v="8"/>
    <x v="5"/>
    <s v="F:\images\20210330\plaque 1/@08 Anastrozole 0.032 µg_L/F8_03.tif "/>
    <s v=" 1968.3204 "/>
    <s v=" 63.6703 "/>
    <x v="0"/>
    <n v="125324"/>
    <m/>
    <m/>
    <m/>
  </r>
  <r>
    <x v="8"/>
    <x v="6"/>
    <s v="F:\images\20210330\plaque 1/@08 Anastrozole 0.032 µg_L/G8_01.tif "/>
    <s v=" 454.2278 "/>
    <s v=" 63.5714 "/>
    <x v="0"/>
    <n v="28876"/>
    <m/>
    <m/>
    <m/>
  </r>
  <r>
    <x v="8"/>
    <x v="6"/>
    <s v="F:\images\20210330\plaque 1/@08 Anastrozole 0.032 µg_L/G8_02.tif "/>
    <s v=" 627.2669 "/>
    <s v=" 62.8966 "/>
    <x v="0"/>
    <n v="39453"/>
    <m/>
    <m/>
    <m/>
  </r>
  <r>
    <x v="8"/>
    <x v="6"/>
    <s v="F:\images\20210330\plaque 1/@08 Anastrozole 0.032 µg_L/G8_03.tif "/>
    <s v=" 259.5587 "/>
    <s v=" 63.4167 "/>
    <x v="0"/>
    <n v="16460"/>
    <m/>
    <m/>
    <m/>
  </r>
  <r>
    <x v="8"/>
    <x v="7"/>
    <s v="F:\images\20210330\plaque 1/@08 Anastrozole 0.032 µg_L/H8_01.tif "/>
    <s v=" 5667.0324 "/>
    <s v=" 75.0916 "/>
    <x v="0"/>
    <n v="425547"/>
    <m/>
    <m/>
    <m/>
  </r>
  <r>
    <x v="8"/>
    <x v="7"/>
    <s v="F:\images\20210330\plaque 1/@08 Anastrozole 0.032 µg_L/H8_02.tif "/>
    <s v=" 6835.0467 "/>
    <s v=" 77.4146 "/>
    <x v="0"/>
    <n v="529132"/>
    <m/>
    <m/>
    <m/>
  </r>
  <r>
    <x v="8"/>
    <x v="7"/>
    <s v="F:\images\20210330\plaque 1/@08 Anastrozole 0.032 µg_L/H8_03.tif "/>
    <s v=" 1492.4627 "/>
    <s v=" 63.7246 "/>
    <x v="0"/>
    <n v="95107"/>
    <m/>
    <m/>
    <m/>
  </r>
  <r>
    <x v="1"/>
    <x v="8"/>
    <s v=" "/>
    <m/>
    <m/>
    <x v="1"/>
    <m/>
    <m/>
    <m/>
    <m/>
  </r>
  <r>
    <x v="1"/>
    <x v="8"/>
    <s v="group "/>
    <s v=" "/>
    <s v=" mean of mean fluo "/>
    <x v="2"/>
    <s v=" mean of total fluo "/>
    <s v=" SD total fluo "/>
    <s v=" n fluorescent "/>
    <s v=" n total"/>
  </r>
  <r>
    <x v="8"/>
    <x v="9"/>
    <s v="F:\images\20210330\plaque 1/@08 Anastrozole 0.032 µg_L/ "/>
    <s v=" "/>
    <s v=" 65.4786 "/>
    <x v="10"/>
    <s v=" 149895.208 "/>
    <s v=" 154611.4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30\plaque 1/@09 Anastrozole 0.16 µg_L/A9_01.tif "/>
    <s v=" 346.0783 "/>
    <s v=" 62.4375 "/>
    <x v="0"/>
    <n v="21608"/>
    <m/>
    <m/>
    <m/>
  </r>
  <r>
    <x v="9"/>
    <x v="0"/>
    <s v="F:\images\20210330\plaque 1/@09 Anastrozole 0.16 µg_L/A9_02.tif "/>
    <s v=" 432.5979 "/>
    <s v=" 63.7 "/>
    <x v="0"/>
    <n v="27556"/>
    <m/>
    <m/>
    <m/>
  </r>
  <r>
    <x v="9"/>
    <x v="0"/>
    <s v="F:\images\20210330\plaque 1/@09 Anastrozole 0.16 µg_L/A9_03.tif "/>
    <s v=" 648.8968 "/>
    <s v=" 65.4667 "/>
    <x v="0"/>
    <n v="42481"/>
    <m/>
    <m/>
    <m/>
  </r>
  <r>
    <x v="9"/>
    <x v="1"/>
    <s v="F:\images\20210330\plaque 1/@09 Anastrozole 0.16 µg_L/B9_01.tif "/>
    <s v=" 8024.6909 "/>
    <s v=" 71.3935 "/>
    <x v="0"/>
    <n v="572911"/>
    <m/>
    <m/>
    <m/>
  </r>
  <r>
    <x v="9"/>
    <x v="1"/>
    <s v="F:\images\20210330\plaque 1/@09 Anastrozole 0.16 µg_L/B9_02.tif "/>
    <s v=" 908.4556 "/>
    <s v=" 65.9762 "/>
    <x v="0"/>
    <n v="59936"/>
    <m/>
    <m/>
    <m/>
  </r>
  <r>
    <x v="9"/>
    <x v="1"/>
    <s v="F:\images\20210330\plaque 1/@09 Anastrozole 0.16 µg_L/B9_03.tif "/>
    <s v=" 8478.9187 "/>
    <s v=" 72.375 "/>
    <x v="0"/>
    <n v="613662"/>
    <m/>
    <m/>
    <m/>
  </r>
  <r>
    <x v="9"/>
    <x v="2"/>
    <s v="F:\images\20210330\plaque 1/@09 Anastrozole 0.16 µg_L/C9_01.tif "/>
    <s v=" 5104.6551 "/>
    <s v=" 66.0593 "/>
    <x v="0"/>
    <n v="337210"/>
    <m/>
    <m/>
    <m/>
  </r>
  <r>
    <x v="9"/>
    <x v="2"/>
    <s v="F:\images\20210330\plaque 1/@09 Anastrozole 0.16 µg_L/C9_02.tif "/>
    <s v=" 2725.3667 "/>
    <s v=" 63.6032 "/>
    <x v="0"/>
    <n v="173342"/>
    <m/>
    <m/>
    <m/>
  </r>
  <r>
    <x v="9"/>
    <x v="2"/>
    <s v="F:\images\20210330\plaque 1/@09 Anastrozole 0.16 µg_L/C9_03.tif "/>
    <s v=" 2249.509 "/>
    <s v=" 64.4519 "/>
    <x v="0"/>
    <n v="144985"/>
    <m/>
    <m/>
    <m/>
  </r>
  <r>
    <x v="9"/>
    <x v="3"/>
    <s v="F:\images\20210330\plaque 1/@09 Anastrozole 0.16 µg_L/D9_01.tif "/>
    <s v=" 2444.1781 "/>
    <s v=" 66.5929 "/>
    <x v="0"/>
    <n v="162765"/>
    <m/>
    <m/>
    <m/>
  </r>
  <r>
    <x v="9"/>
    <x v="3"/>
    <s v="F:\images\20210330\plaque 1/@09 Anastrozole 0.16 µg_L/D9_02.tif "/>
    <s v=" 5169.5448 "/>
    <s v=" 73.2845 "/>
    <x v="0"/>
    <n v="378848"/>
    <m/>
    <m/>
    <m/>
  </r>
  <r>
    <x v="9"/>
    <x v="3"/>
    <s v="F:\images\20210330\plaque 1/@09 Anastrozole 0.16 µg_L/D9_03.tif "/>
    <s v=" 2422.5482 "/>
    <s v=" 71.7857 "/>
    <x v="0"/>
    <n v="173904"/>
    <m/>
    <m/>
    <m/>
  </r>
  <r>
    <x v="9"/>
    <x v="4"/>
    <s v="F:\images\20210330\plaque 1/@09 Anastrozole 0.16 µg_L/E9_01.tif "/>
    <s v=" 2487.4379 "/>
    <s v=" 64.4696 "/>
    <x v="0"/>
    <n v="160364"/>
    <m/>
    <m/>
    <m/>
  </r>
  <r>
    <x v="9"/>
    <x v="4"/>
    <s v="F:\images\20210330\plaque 1/@09 Anastrozole 0.16 µg_L/E9_02.tif "/>
    <s v=" 259.5587 "/>
    <s v=" 64.6667 "/>
    <x v="0"/>
    <n v="16785"/>
    <m/>
    <m/>
    <m/>
  </r>
  <r>
    <x v="9"/>
    <x v="4"/>
    <s v="F:\images\20210330\plaque 1/@09 Anastrozole 0.16 µg_L/E9_03.tif "/>
    <s v=" 670.5267 "/>
    <s v=" 64.871 "/>
    <x v="0"/>
    <n v="43498"/>
    <m/>
    <m/>
    <m/>
  </r>
  <r>
    <x v="9"/>
    <x v="5"/>
    <s v="F:\images\20210330\plaque 1/@09 Anastrozole 0.16 µg_L/F9_01.tif "/>
    <s v=" 3006.5554 "/>
    <s v=" 66.8777 "/>
    <x v="0"/>
    <n v="201072"/>
    <m/>
    <m/>
    <m/>
  </r>
  <r>
    <x v="9"/>
    <x v="5"/>
    <s v="F:\images\20210330\plaque 1/@09 Anastrozole 0.16 µg_L/F9_02.tif "/>
    <s v=" 627.2669 "/>
    <s v=" 64.6207 "/>
    <x v="0"/>
    <n v="40534"/>
    <m/>
    <m/>
    <m/>
  </r>
  <r>
    <x v="9"/>
    <x v="5"/>
    <s v="F:\images\20210330\plaque 1/@09 Anastrozole 0.16 µg_L/F9_03.tif "/>
    <s v=" 237.9288 "/>
    <s v=" 62.4545 "/>
    <x v="0"/>
    <n v="14860"/>
    <m/>
    <m/>
    <m/>
  </r>
  <r>
    <x v="9"/>
    <x v="6"/>
    <s v="F:\images\20210330\plaque 1/@09 Anastrozole 0.16 µg_L/G9_01.tif "/>
    <s v=" 432.5979 "/>
    <s v=" 64.6 "/>
    <x v="0"/>
    <n v="27946"/>
    <m/>
    <m/>
    <m/>
  </r>
  <r>
    <x v="9"/>
    <x v="6"/>
    <s v="F:\images\20210330\plaque 1/@09 Anastrozole 0.16 µg_L/G9_02.tif "/>
    <s v=" 1124.7545 "/>
    <s v=" 63.6923 "/>
    <x v="0"/>
    <n v="71638"/>
    <m/>
    <m/>
    <m/>
  </r>
  <r>
    <x v="9"/>
    <x v="6"/>
    <s v="F:\images\20210330\plaque 1/@09 Anastrozole 0.16 µg_L/G9_03.tif "/>
    <s v=" 497.4876 "/>
    <s v=" 63.3478 "/>
    <x v="0"/>
    <n v="31515"/>
    <m/>
    <m/>
    <m/>
  </r>
  <r>
    <x v="9"/>
    <x v="7"/>
    <s v="F:\images\20210330\plaque 1/@09 Anastrozole 0.16 µg_L/H9_01.tif "/>
    <s v=" 2638.8471 "/>
    <s v=" 65.5492 "/>
    <x v="0"/>
    <n v="172974"/>
    <m/>
    <m/>
    <m/>
  </r>
  <r>
    <x v="9"/>
    <x v="7"/>
    <s v="F:\images\20210330\plaque 1/@09 Anastrozole 0.16 µg_L/H9_02.tif "/>
    <s v=" 1103.1246 "/>
    <s v=" 62.9608 "/>
    <x v="0"/>
    <n v="69454"/>
    <m/>
    <m/>
    <m/>
  </r>
  <r>
    <x v="9"/>
    <x v="7"/>
    <s v="F:\images\20210330\plaque 1/@09 Anastrozole 0.16 µg_L/H9_03.tif "/>
    <s v=" 281.1886 "/>
    <s v=" 62.9231 "/>
    <x v="0"/>
    <n v="17693"/>
    <m/>
    <m/>
    <m/>
  </r>
  <r>
    <x v="1"/>
    <x v="8"/>
    <s v=" "/>
    <m/>
    <m/>
    <x v="1"/>
    <m/>
    <m/>
    <m/>
    <m/>
  </r>
  <r>
    <x v="1"/>
    <x v="8"/>
    <s v="group "/>
    <s v=" "/>
    <s v=" mean of mean fluo "/>
    <x v="2"/>
    <s v=" mean of total fluo "/>
    <s v=" SD total fluo "/>
    <s v=" n fluorescent "/>
    <s v=" n total"/>
  </r>
  <r>
    <x v="9"/>
    <x v="9"/>
    <s v="F:\images\20210330\plaque 1/@09 Anastrozole 0.16 µg_L/ "/>
    <s v=" "/>
    <s v=" 65.7567 "/>
    <x v="11"/>
    <s v=" 149064.208 "/>
    <s v=" 168798.1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30\plaque 1/@10 Anastrozole 0.8 µg_L/A10_01.tif "/>
    <s v=" 3006.5554 "/>
    <s v=" 66.3597 "/>
    <x v="0"/>
    <n v="199514"/>
    <m/>
    <m/>
    <m/>
  </r>
  <r>
    <x v="10"/>
    <x v="0"/>
    <s v="F:\images\20210330\plaque 1/@10 Anastrozole 0.8 µg_L/A10_02.tif "/>
    <s v=" 540.7474 "/>
    <s v=" 62.56 "/>
    <x v="0"/>
    <n v="33829"/>
    <m/>
    <m/>
    <m/>
  </r>
  <r>
    <x v="10"/>
    <x v="0"/>
    <s v="F:\images\20210330\plaque 1/@10 Anastrozole 0.8 µg_L/A10_03.tif "/>
    <s v=" 1059.8648 "/>
    <s v=" 64.102 "/>
    <x v="0"/>
    <n v="67939"/>
    <m/>
    <m/>
    <m/>
  </r>
  <r>
    <x v="10"/>
    <x v="1"/>
    <s v="F:\images\20210330\plaque 1/@10 Anastrozole 0.8 µg_L/B10_01.tif "/>
    <s v=" 5256.0644 "/>
    <s v=" 71.6049 "/>
    <x v="0"/>
    <n v="376360"/>
    <m/>
    <m/>
    <m/>
  </r>
  <r>
    <x v="10"/>
    <x v="1"/>
    <s v="F:\images\20210330\plaque 1/@10 Anastrozole 0.8 µg_L/B10_02.tif "/>
    <s v=" 9214.3351 "/>
    <s v=" 79.3169 "/>
    <x v="0"/>
    <n v="730853"/>
    <m/>
    <m/>
    <m/>
  </r>
  <r>
    <x v="10"/>
    <x v="1"/>
    <s v="F:\images\20210330\plaque 1/@10 Anastrozole 0.8 µg_L/B10_03.tif "/>
    <s v=" 10512.1288 "/>
    <s v=" 83.0802 "/>
    <x v="0"/>
    <n v="873350"/>
    <m/>
    <m/>
    <m/>
  </r>
  <r>
    <x v="10"/>
    <x v="2"/>
    <s v="F:\images\20210330\plaque 1/@10 Anastrozole 0.8 µg_L/C10_01.tif "/>
    <s v=" 3374.2636 "/>
    <n v="64"/>
    <x v="0"/>
    <n v="215953"/>
    <m/>
    <m/>
    <m/>
  </r>
  <r>
    <x v="10"/>
    <x v="2"/>
    <s v="F:\images\20210330\plaque 1/@10 Anastrozole 0.8 µg_L/C10_02.tif "/>
    <s v=" 778.6762 "/>
    <s v=" 64.6667 "/>
    <x v="0"/>
    <n v="50354"/>
    <m/>
    <m/>
    <m/>
  </r>
  <r>
    <x v="10"/>
    <x v="2"/>
    <s v="F:\images\20210330\plaque 1/@10 Anastrozole 0.8 µg_L/C10_03.tif "/>
    <s v=" 3720.3419 "/>
    <s v=" 64.7093 "/>
    <x v="0"/>
    <n v="240741"/>
    <m/>
    <m/>
    <m/>
  </r>
  <r>
    <x v="10"/>
    <x v="3"/>
    <s v="F:\images\20210330\plaque 1/@10 Anastrozole 0.8 µg_L/D10_01.tif "/>
    <s v=" 7051.3456 "/>
    <s v=" 74.5061 "/>
    <x v="0"/>
    <n v="525369"/>
    <m/>
    <m/>
    <m/>
  </r>
  <r>
    <x v="10"/>
    <x v="3"/>
    <s v="F:\images\20210330\plaque 1/@10 Anastrozole 0.8 µg_L/D10_02.tif "/>
    <s v=" 5342.584 "/>
    <s v=" 70.919 "/>
    <x v="0"/>
    <n v="378891"/>
    <m/>
    <m/>
    <m/>
  </r>
  <r>
    <x v="10"/>
    <x v="3"/>
    <s v="F:\images\20210330\plaque 1/@10 Anastrozole 0.8 µg_L/D10_03.tif "/>
    <s v=" 6705.2673 "/>
    <s v=" 74.1161 "/>
    <x v="0"/>
    <n v="496968"/>
    <m/>
    <m/>
    <m/>
  </r>
  <r>
    <x v="10"/>
    <x v="4"/>
    <s v="F:\images\20210330\plaque 1/@10 Anastrozole 0.8 µg_L/E10_01.tif "/>
    <s v=" 3093.0749 "/>
    <s v=" 68.3776 "/>
    <x v="0"/>
    <n v="211497"/>
    <m/>
    <m/>
    <m/>
  </r>
  <r>
    <x v="10"/>
    <x v="4"/>
    <s v="F:\images\20210330\plaque 1/@10 Anastrozole 0.8 µg_L/E10_02.tif "/>
    <s v=" 3525.6728 "/>
    <s v=" 69.2209 "/>
    <x v="0"/>
    <n v="244050"/>
    <m/>
    <m/>
    <m/>
  </r>
  <r>
    <x v="10"/>
    <x v="4"/>
    <s v="F:\images\20210330\plaque 1/@10 Anastrozole 0.8 µg_L/E10_03.tif "/>
    <s v=" 216.2989 "/>
    <n v="63"/>
    <x v="0"/>
    <n v="13627"/>
    <m/>
    <m/>
    <m/>
  </r>
  <r>
    <x v="10"/>
    <x v="5"/>
    <s v="F:\images\20210330\plaque 1/@10 Anastrozole 0.8 µg_L/F10_01.tif "/>
    <s v=" 129.7794 "/>
    <s v=" 63.5 "/>
    <x v="0"/>
    <n v="8241"/>
    <m/>
    <m/>
    <m/>
  </r>
  <r>
    <x v="10"/>
    <x v="5"/>
    <s v="F:\images\20210330\plaque 1/@10 Anastrozole 0.8 µg_L/F10_02.tif "/>
    <s v=" 173.0392 "/>
    <s v=" 63.75 "/>
    <x v="0"/>
    <n v="11031"/>
    <m/>
    <m/>
    <m/>
  </r>
  <r>
    <x v="10"/>
    <x v="5"/>
    <s v="F:\images\20210330\plaque 1/@10 Anastrozole 0.8 µg_L/F10_03.tif "/>
    <s v=" 281.1886 "/>
    <s v=" 66.9231 "/>
    <x v="0"/>
    <n v="18818"/>
    <m/>
    <m/>
    <m/>
  </r>
  <r>
    <x v="10"/>
    <x v="6"/>
    <s v="F:\images\20210330\plaque 1/@10 Anastrozole 0.8 µg_L/G10_01.tif "/>
    <s v=" 2033.2101 "/>
    <s v=" 64.2872 "/>
    <x v="0"/>
    <n v="130709"/>
    <m/>
    <m/>
    <m/>
  </r>
  <r>
    <x v="10"/>
    <x v="6"/>
    <s v="F:\images\20210330\plaque 1/@10 Anastrozole 0.8 µg_L/G10_02.tif "/>
    <s v=" 1535.7225 "/>
    <s v=" 64.8169 "/>
    <x v="0"/>
    <n v="99541"/>
    <m/>
    <m/>
    <m/>
  </r>
  <r>
    <x v="10"/>
    <x v="6"/>
    <s v="F:\images\20210330\plaque 1/@10 Anastrozole 0.8 µg_L/G10_03.tif "/>
    <s v=" 4520.648 "/>
    <s v=" 63.9378 "/>
    <x v="0"/>
    <n v="289040"/>
    <m/>
    <m/>
    <m/>
  </r>
  <r>
    <x v="10"/>
    <x v="7"/>
    <s v="F:\images\20210330\plaque 1/@10 Anastrozole 0.8 µg_L/H10_01.tif "/>
    <s v=" 2119.7297 "/>
    <s v=" 66.7857 "/>
    <x v="0"/>
    <n v="141568"/>
    <m/>
    <m/>
    <m/>
  </r>
  <r>
    <x v="10"/>
    <x v="7"/>
    <s v="F:\images\20210330\plaque 1/@10 Anastrozole 0.8 µg_L/H10_02.tif "/>
    <s v=" 1341.0535 "/>
    <s v=" 64.4032 "/>
    <x v="0"/>
    <n v="86368"/>
    <m/>
    <m/>
    <m/>
  </r>
  <r>
    <x v="10"/>
    <x v="7"/>
    <s v="F:\images\20210330\plaque 1/@10 Anastrozole 0.8 µg_L/H10_03.tif "/>
    <s v=" 886.8257 "/>
    <n v="64"/>
    <x v="0"/>
    <n v="56757"/>
    <m/>
    <m/>
    <m/>
  </r>
  <r>
    <x v="1"/>
    <x v="8"/>
    <s v=" "/>
    <m/>
    <m/>
    <x v="1"/>
    <m/>
    <m/>
    <m/>
    <m/>
  </r>
  <r>
    <x v="1"/>
    <x v="8"/>
    <s v="group "/>
    <s v=" "/>
    <s v=" mean of mean fluo "/>
    <x v="2"/>
    <s v=" mean of total fluo "/>
    <s v=" SD total fluo "/>
    <s v=" n fluorescent "/>
    <s v=" n total"/>
  </r>
  <r>
    <x v="10"/>
    <x v="9"/>
    <s v="F:\images\20210330\plaque 1/@10 Anastrozole 0.8 µg_L/ "/>
    <s v=" "/>
    <s v=" 67.6226 "/>
    <x v="12"/>
    <s v=" 229223.667 "/>
    <s v=" 232473.60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30\plaque 1/@11 Anastrozole 4µg_L/A11_01.tif "/>
    <s v=" 5667.0324 "/>
    <s v=" 71.084 "/>
    <x v="0"/>
    <n v="402835"/>
    <m/>
    <m/>
    <m/>
  </r>
  <r>
    <x v="11"/>
    <x v="0"/>
    <s v="F:\images\20210330\plaque 1/@11 Anastrozole 4µg_L/A11_02.tif "/>
    <s v=" 670.5267 "/>
    <s v=" 63.0968 "/>
    <x v="0"/>
    <n v="42308"/>
    <m/>
    <m/>
    <m/>
  </r>
  <r>
    <x v="11"/>
    <x v="0"/>
    <s v="F:\images\20210330\plaque 1/@11 Anastrozole 4µg_L/A11_03.tif "/>
    <s v=" 2638.8471 "/>
    <s v=" 63.6393 "/>
    <x v="0"/>
    <n v="167935"/>
    <m/>
    <m/>
    <m/>
  </r>
  <r>
    <x v="11"/>
    <x v="1"/>
    <s v="F:\images\20210330\plaque 1/@11 Anastrozole 4µg_L/B11_01.tif "/>
    <s v=" 2660.477 "/>
    <s v=" 63.561 "/>
    <x v="0"/>
    <n v="169103"/>
    <m/>
    <m/>
    <m/>
  </r>
  <r>
    <x v="11"/>
    <x v="1"/>
    <s v="F:\images\20210330\plaque 1/@11 Anastrozole 4µg_L/B11_02.tif "/>
    <s v=" 821.936 "/>
    <s v=" 67.5 "/>
    <x v="0"/>
    <n v="55481"/>
    <m/>
    <m/>
    <m/>
  </r>
  <r>
    <x v="11"/>
    <x v="1"/>
    <s v="F:\images\20210330\plaque 1/@11 Anastrozole 4µg_L/B11_03.tif "/>
    <s v=" 1341.0535 "/>
    <s v=" 65.5806 "/>
    <x v="0"/>
    <n v="87947"/>
    <m/>
    <m/>
    <m/>
  </r>
  <r>
    <x v="11"/>
    <x v="2"/>
    <s v="F:\images\20210330\plaque 1/@11 Anastrozole 4µg_L/C11_01.tif "/>
    <s v=" 346.0783 "/>
    <n v="66"/>
    <x v="0"/>
    <n v="22841"/>
    <m/>
    <m/>
    <m/>
  </r>
  <r>
    <x v="11"/>
    <x v="2"/>
    <s v="F:\images\20210330\plaque 1/@11 Anastrozole 4µg_L/C11_02.tif "/>
    <s v=" 1405.9432 "/>
    <s v=" 64.6923 "/>
    <x v="0"/>
    <n v="90954"/>
    <m/>
    <m/>
    <m/>
  </r>
  <r>
    <x v="11"/>
    <x v="2"/>
    <s v="F:\images\20210330\plaque 1/@11 Anastrozole 4µg_L/C11_03.tif "/>
    <s v=" 194.6691 "/>
    <s v=" 64.7778 "/>
    <x v="0"/>
    <n v="12610"/>
    <m/>
    <m/>
    <m/>
  </r>
  <r>
    <x v="11"/>
    <x v="3"/>
    <s v="F:\images\20210330\plaque 1/@11 Anastrozole 4µg_L/D11_01.tif "/>
    <s v=" 778.6762 "/>
    <s v=" 67.1944 "/>
    <x v="0"/>
    <n v="52323"/>
    <m/>
    <m/>
    <m/>
  </r>
  <r>
    <x v="11"/>
    <x v="3"/>
    <s v="F:\images\20210330\plaque 1/@11 Anastrozole 4µg_L/D11_02.tif "/>
    <s v=" 454.2278 "/>
    <n v="62"/>
    <x v="0"/>
    <n v="28162"/>
    <m/>
    <m/>
    <m/>
  </r>
  <r>
    <x v="11"/>
    <x v="3"/>
    <s v="F:\images\20210330\plaque 1/@11 Anastrozole 4µg_L/D11_03.tif "/>
    <s v=" 497.4876 "/>
    <s v=" 62.8696 "/>
    <x v="0"/>
    <n v="31277"/>
    <m/>
    <m/>
    <m/>
  </r>
  <r>
    <x v="11"/>
    <x v="4"/>
    <s v="F:\images\20210330\plaque 1/@11 Anastrozole 4µg_L/E11_01- exclu.tif"/>
    <m/>
    <m/>
    <x v="1"/>
    <m/>
    <m/>
    <m/>
    <m/>
  </r>
  <r>
    <x v="11"/>
    <x v="4"/>
    <s v="F:\images\20210330\plaque 1/@11 Anastrozole 4µg_L/E11_02.tif "/>
    <s v=" 6424.0787 "/>
    <s v=" 64.8283 "/>
    <x v="0"/>
    <n v="416462"/>
    <m/>
    <m/>
    <m/>
  </r>
  <r>
    <x v="11"/>
    <x v="4"/>
    <s v="F:\images\20210330\plaque 1/@11 Anastrozole 4µg_L/E11_03.tif "/>
    <s v=" 5710.2922 "/>
    <s v=" 71.6932 "/>
    <x v="0"/>
    <n v="409389"/>
    <m/>
    <m/>
    <m/>
  </r>
  <r>
    <x v="11"/>
    <x v="5"/>
    <s v="F:\images\20210330\plaque 1/@11 Anastrozole 4µg_L/F11_01.tif "/>
    <s v=" 410.968 "/>
    <s v=" 64.8947 "/>
    <x v="0"/>
    <n v="26670"/>
    <m/>
    <m/>
    <m/>
  </r>
  <r>
    <x v="11"/>
    <x v="5"/>
    <s v="F:\images\20210330\plaque 1/@11 Anastrozole 4µg_L/F11_02.tif "/>
    <s v=" 129.7794 "/>
    <s v=" 62.1667 "/>
    <x v="0"/>
    <n v="8068"/>
    <m/>
    <m/>
    <m/>
  </r>
  <r>
    <x v="11"/>
    <x v="5"/>
    <s v="F:\images\20210330\plaque 1/@11 Anastrozole 4µg_L/F11_03.tif "/>
    <s v=" 194.6691 "/>
    <s v=" 63.2222 "/>
    <x v="0"/>
    <n v="12307"/>
    <m/>
    <m/>
    <m/>
  </r>
  <r>
    <x v="11"/>
    <x v="6"/>
    <s v="F:\images\20210330\plaque 1/@11 Anastrozole 4µg_L/G11_01.tif "/>
    <s v=" 648.8968 "/>
    <s v=" 63.8667 "/>
    <x v="0"/>
    <n v="41443"/>
    <m/>
    <m/>
    <m/>
  </r>
  <r>
    <x v="11"/>
    <x v="6"/>
    <s v="F:\images\20210330\plaque 1/@11 Anastrozole 4µg_L/G11_02.tif "/>
    <s v=" 389.3381 "/>
    <s v=" 62.6667 "/>
    <x v="0"/>
    <n v="24399"/>
    <m/>
    <m/>
    <m/>
  </r>
  <r>
    <x v="11"/>
    <x v="6"/>
    <s v="F:\images\20210330\plaque 1/@11 Anastrozole 4µg_L/G11_03.tif "/>
    <s v=" 627.2669 "/>
    <s v=" 63.2759 "/>
    <x v="0"/>
    <n v="39691"/>
    <m/>
    <m/>
    <m/>
  </r>
  <r>
    <x v="11"/>
    <x v="7"/>
    <s v="F:\images\20210330\plaque 1/@11 Anastrozole 4µg_L/H11_01- exclu.tif"/>
    <m/>
    <m/>
    <x v="1"/>
    <m/>
    <m/>
    <m/>
    <m/>
  </r>
  <r>
    <x v="11"/>
    <x v="7"/>
    <s v="F:\images\20210330\plaque 1/@11 Anastrozole 4µg_L/H11_02.tif "/>
    <s v=" 173.0392 "/>
    <s v=" 63.75 "/>
    <x v="0"/>
    <n v="11031"/>
    <m/>
    <m/>
    <m/>
  </r>
  <r>
    <x v="11"/>
    <x v="7"/>
    <s v="F:\images\20210330\plaque 1/@11 Anastrozole 4µg_L/H11_03.tif "/>
    <s v=" 3568.9326 "/>
    <s v=" 69.7879 "/>
    <x v="0"/>
    <n v="249068"/>
    <m/>
    <m/>
    <m/>
  </r>
  <r>
    <x v="1"/>
    <x v="8"/>
    <s v=" "/>
    <m/>
    <m/>
    <x v="1"/>
    <m/>
    <m/>
    <m/>
    <m/>
  </r>
  <r>
    <x v="1"/>
    <x v="8"/>
    <s v="group "/>
    <s v=" "/>
    <s v=" mean of mean fluo "/>
    <x v="2"/>
    <s v=" mean of total fluo "/>
    <s v=" SD total fluo "/>
    <s v=" n fluorescent "/>
    <s v=" n total"/>
  </r>
  <r>
    <x v="11"/>
    <x v="9"/>
    <s v="F:\images\20210330\plaque 1/@11 Anastrozole 4µg_L/ "/>
    <s v=" "/>
    <s v=" 67.1309 "/>
    <x v="13"/>
    <n v="198932"/>
    <s v=" 330837.2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30\plaque 1/@12 Anastrozole 20 µg_L/A12_01- exclu.tif"/>
    <m/>
    <m/>
    <x v="1"/>
    <m/>
    <m/>
    <m/>
    <m/>
  </r>
  <r>
    <x v="12"/>
    <x v="0"/>
    <s v="F:\images\20210330\plaque 1/@12 Anastrozole 20 µg_L/A12_02.tif "/>
    <s v=" 1211.2741 "/>
    <s v=" 63.1071 "/>
    <x v="0"/>
    <n v="76440"/>
    <m/>
    <m/>
    <m/>
  </r>
  <r>
    <x v="12"/>
    <x v="0"/>
    <s v="F:\images\20210330\plaque 1/@12 Anastrozole 20 µg_L/A12_03- exclu.tif"/>
    <m/>
    <m/>
    <x v="1"/>
    <m/>
    <m/>
    <m/>
    <m/>
  </r>
  <r>
    <x v="12"/>
    <x v="1"/>
    <s v="F:\images\20210330\plaque 1/@12 Anastrozole 20 µg_L/B12_01.tif "/>
    <s v=" 21651.5245 "/>
    <s v=" 72.2577 "/>
    <x v="0"/>
    <n v="1564490"/>
    <m/>
    <m/>
    <m/>
  </r>
  <r>
    <x v="12"/>
    <x v="1"/>
    <s v="F:\images\20210330\plaque 1/@12 Anastrozole 20 µg_L/B12_02- exclu.tif"/>
    <m/>
    <m/>
    <x v="1"/>
    <m/>
    <m/>
    <m/>
    <m/>
  </r>
  <r>
    <x v="12"/>
    <x v="1"/>
    <s v="F:\images\20210330\plaque 1/@12 Anastrozole 20 µg_L/B12_03.tif "/>
    <s v=" 7678.6126 "/>
    <s v=" 76.307 "/>
    <x v="0"/>
    <n v="585932"/>
    <m/>
    <m/>
    <m/>
  </r>
  <r>
    <x v="12"/>
    <x v="2"/>
    <s v="F:\images\20210330\plaque 1/@12 Anastrozole 20 µg_L/C12_01.tif "/>
    <s v=" 1427.573 "/>
    <s v=" 64.197 "/>
    <x v="0"/>
    <n v="91646"/>
    <m/>
    <m/>
    <m/>
  </r>
  <r>
    <x v="12"/>
    <x v="2"/>
    <s v="F:\images\20210330\plaque 1/@12 Anastrozole 20 µg_L/C12_02.tif "/>
    <s v=" 843.5659 "/>
    <s v=" 66.2051 "/>
    <x v="0"/>
    <n v="55848"/>
    <m/>
    <m/>
    <m/>
  </r>
  <r>
    <x v="12"/>
    <x v="2"/>
    <s v="F:\images\20210330\plaque 1/@12 Anastrozole 20 µg_L/C12_03.tif "/>
    <s v=" 2487.4379 "/>
    <s v=" 66.0609 "/>
    <x v="0"/>
    <n v="164322"/>
    <m/>
    <m/>
    <m/>
  </r>
  <r>
    <x v="12"/>
    <x v="3"/>
    <s v="F:\images\20210330\plaque 1/@12 Anastrozole 20 µg_L/D12_01.tif "/>
    <s v=" 6359.189 "/>
    <s v=" 68.3197 "/>
    <x v="0"/>
    <n v="434458"/>
    <m/>
    <m/>
    <m/>
  </r>
  <r>
    <x v="12"/>
    <x v="3"/>
    <s v="F:\images\20210330\plaque 1/@12 Anastrozole 20 µg_L/D12_02.tif "/>
    <s v=" 1535.7225 "/>
    <s v=" 63.1549 "/>
    <x v="0"/>
    <n v="96988"/>
    <m/>
    <m/>
    <m/>
  </r>
  <r>
    <x v="12"/>
    <x v="3"/>
    <s v="F:\images\20210330\plaque 1/@12 Anastrozole 20 µg_L/D12_03.tif "/>
    <s v=" 1881.8008 "/>
    <s v=" 64.2184 "/>
    <x v="0"/>
    <n v="120846"/>
    <m/>
    <m/>
    <m/>
  </r>
  <r>
    <x v="12"/>
    <x v="4"/>
    <s v="F:\images\20210330\plaque 1/@12 Anastrozole 20 µg_L/E12_01.tif "/>
    <s v=" 259.5587 "/>
    <s v=" 63.5 "/>
    <x v="0"/>
    <n v="16482"/>
    <m/>
    <m/>
    <m/>
  </r>
  <r>
    <x v="12"/>
    <x v="4"/>
    <s v="F:\images\20210330\plaque 1/@12 Anastrozole 20 µg_L/E12_02.tif "/>
    <s v=" 259.5587 "/>
    <s v=" 65.3333 "/>
    <x v="0"/>
    <n v="16958"/>
    <m/>
    <m/>
    <m/>
  </r>
  <r>
    <x v="12"/>
    <x v="4"/>
    <s v="F:\images\20210330\plaque 1/@12 Anastrozole 20 µg_L/E12_03.tif "/>
    <s v=" 108.1495 "/>
    <s v=" 66.2 "/>
    <x v="0"/>
    <n v="7159"/>
    <m/>
    <m/>
    <m/>
  </r>
  <r>
    <x v="12"/>
    <x v="5"/>
    <s v="F:\images\20210330\plaque 1/@12 Anastrozole 20 µg_L/F12_01- exclu.tif"/>
    <m/>
    <m/>
    <x v="1"/>
    <m/>
    <m/>
    <m/>
    <m/>
  </r>
  <r>
    <x v="12"/>
    <x v="5"/>
    <s v="F:\images\20210330\plaque 1/@12 Anastrozole 20 µg_L/F12_02.tif "/>
    <s v=" 4499.0181 "/>
    <s v=" 69.2404 "/>
    <x v="0"/>
    <n v="311514"/>
    <m/>
    <m/>
    <m/>
  </r>
  <r>
    <x v="12"/>
    <x v="5"/>
    <s v="F:\images\20210330\plaque 1/@12 Anastrozole 20 µg_L/F12_03.tif "/>
    <s v=" 4585.5377 "/>
    <s v=" 66.0755 "/>
    <x v="0"/>
    <n v="302992"/>
    <m/>
    <m/>
    <m/>
  </r>
  <r>
    <x v="12"/>
    <x v="6"/>
    <s v="F:\images\20210330\plaque 1/@12 Anastrozole 20 µg_L/G12_01.tif "/>
    <s v=" 7246.0147 "/>
    <s v=" 70.2328 "/>
    <x v="0"/>
    <n v="508908"/>
    <m/>
    <m/>
    <m/>
  </r>
  <r>
    <x v="12"/>
    <x v="6"/>
    <s v="F:\images\20210330\plaque 1/@12 Anastrozole 20 µg_L/G12_02.tif "/>
    <s v=" 7765.1322 "/>
    <s v=" 70.0696 "/>
    <x v="0"/>
    <n v="544100"/>
    <m/>
    <m/>
    <m/>
  </r>
  <r>
    <x v="12"/>
    <x v="6"/>
    <s v="F:\images\20210330\plaque 1/@12 Anastrozole 20 µg_L/G12_03.tif "/>
    <s v=" 5515.6231 "/>
    <s v=" 73.4353 "/>
    <x v="0"/>
    <n v="405041"/>
    <m/>
    <m/>
    <m/>
  </r>
  <r>
    <x v="12"/>
    <x v="7"/>
    <s v="F:\images\20210330\plaque 1/@12 Anastrozole 20 µg_L/H12_01.tif "/>
    <s v=" 12112.741 "/>
    <s v=" 90.3929 "/>
    <x v="0"/>
    <n v="1094905"/>
    <m/>
    <m/>
    <m/>
  </r>
  <r>
    <x v="12"/>
    <x v="7"/>
    <s v="F:\images\20210330\plaque 1/@12 Anastrozole 20 µg_L/H12_02.tif "/>
    <s v=" 13778.2429 "/>
    <s v=" 78.8053 "/>
    <x v="0"/>
    <n v="1085799"/>
    <m/>
    <m/>
    <m/>
  </r>
  <r>
    <x v="12"/>
    <x v="7"/>
    <s v="F:\images\20210330\plaque 1/@12 Anastrozole 20 µg_L/H12_03.tif "/>
    <s v=" 10252.5701 "/>
    <s v=" 73.1878 "/>
    <x v="0"/>
    <n v="750363"/>
    <m/>
    <m/>
    <m/>
  </r>
  <r>
    <x v="1"/>
    <x v="8"/>
    <s v=" "/>
    <m/>
    <m/>
    <x v="1"/>
    <m/>
    <m/>
    <m/>
    <m/>
  </r>
  <r>
    <x v="1"/>
    <x v="8"/>
    <s v="group "/>
    <s v=" "/>
    <s v=" mean of mean fluo "/>
    <x v="2"/>
    <s v=" mean of total fluo "/>
    <s v=" SD total fluo "/>
    <s v=" n fluorescent "/>
    <s v=" n total"/>
  </r>
  <r>
    <x v="12"/>
    <x v="9"/>
    <s v="F:\images\20210330\plaque 1/@12 Anastrozole 20 µg_L/ "/>
    <s v=" "/>
    <s v=" 69.5422 "/>
    <x v="14"/>
    <n v="404725"/>
    <s v=" 408637.7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30\plaque 2/@01 Testo 30/A1_01.tif "/>
    <s v=" 37052.0095 "/>
    <s v=" 73.777 "/>
    <x v="0"/>
    <n v="2733586"/>
    <m/>
    <m/>
    <m/>
  </r>
  <r>
    <x v="13"/>
    <x v="0"/>
    <s v="F:\images\20210330\plaque 2/@01 Testo 30/A1_02.tif "/>
    <s v=" 39063.5897 "/>
    <s v=" 73.8062 "/>
    <x v="0"/>
    <n v="2883135"/>
    <m/>
    <m/>
    <m/>
  </r>
  <r>
    <x v="13"/>
    <x v="0"/>
    <s v="F:\images\20210330\plaque 2/@01 Testo 30/A1_03.tif "/>
    <s v=" 37657.6465 "/>
    <s v=" 72.4664 "/>
    <x v="0"/>
    <n v="2728914"/>
    <m/>
    <m/>
    <m/>
  </r>
  <r>
    <x v="13"/>
    <x v="1"/>
    <s v="F:\images\20210330\plaque 2/@01 Testo 30/B1_01.tif "/>
    <s v=" 19164.0866 "/>
    <s v=" 66.7065 "/>
    <x v="0"/>
    <n v="1278370"/>
    <m/>
    <m/>
    <m/>
  </r>
  <r>
    <x v="13"/>
    <x v="1"/>
    <s v="F:\images\20210330\plaque 2/@01 Testo 30/B1_02.tif "/>
    <s v=" 18039.3321 "/>
    <s v=" 66.1379 "/>
    <x v="0"/>
    <n v="1193083"/>
    <m/>
    <m/>
    <m/>
  </r>
  <r>
    <x v="13"/>
    <x v="1"/>
    <s v="F:\images\20210330\plaque 2/@01 Testo 30/B1_03.tif "/>
    <s v=" 18147.4816 "/>
    <s v=" 66.5924 "/>
    <x v="0"/>
    <n v="1208484"/>
    <m/>
    <m/>
    <m/>
  </r>
  <r>
    <x v="13"/>
    <x v="2"/>
    <s v="F:\images\20210330\plaque 2/@01 Testo 30/C1_01.tif "/>
    <s v=" 14081.0614 "/>
    <s v=" 65.2842 "/>
    <x v="0"/>
    <n v="919271"/>
    <m/>
    <m/>
    <m/>
  </r>
  <r>
    <x v="13"/>
    <x v="2"/>
    <s v="F:\images\20210330\plaque 2/@01 Testo 30/C1_02.tif "/>
    <s v=" 15573.5241 "/>
    <s v=" 66.9125 "/>
    <x v="0"/>
    <n v="1042063"/>
    <m/>
    <m/>
    <m/>
  </r>
  <r>
    <x v="13"/>
    <x v="2"/>
    <s v="F:\images\20210330\plaque 2/@01 Testo 30/C1_03.tif "/>
    <s v=" 14643.4387 "/>
    <s v=" 67.418 "/>
    <x v="0"/>
    <n v="987232"/>
    <m/>
    <m/>
    <m/>
  </r>
  <r>
    <x v="13"/>
    <x v="3"/>
    <s v="F:\images\20210330\plaque 2/@01 Testo 30/D1_01.tif "/>
    <s v=" 31038.8988 "/>
    <s v=" 71.3882 "/>
    <x v="0"/>
    <n v="2215810"/>
    <m/>
    <m/>
    <m/>
  </r>
  <r>
    <x v="13"/>
    <x v="3"/>
    <s v="F:\images\20210330\plaque 2/@01 Testo 30/D1_02.tif "/>
    <s v=" 30714.4504 "/>
    <s v=" 70.4901 "/>
    <x v="0"/>
    <n v="2165066"/>
    <m/>
    <m/>
    <m/>
  </r>
  <r>
    <x v="13"/>
    <x v="3"/>
    <s v="F:\images\20210330\plaque 2/@01 Testo 30/D1_03.tif "/>
    <s v=" 27080.6281 "/>
    <s v=" 70.4505 "/>
    <x v="0"/>
    <n v="1907843"/>
    <m/>
    <m/>
    <m/>
  </r>
  <r>
    <x v="13"/>
    <x v="4"/>
    <s v="F:\images\20210330\plaque 2/@01 Testo 30/E1_01.tif "/>
    <s v=" 41161.6895 "/>
    <s v=" 72.6805 "/>
    <x v="0"/>
    <n v="2991652"/>
    <m/>
    <m/>
    <m/>
  </r>
  <r>
    <x v="13"/>
    <x v="4"/>
    <s v="F:\images\20210330\plaque 2/@01 Testo 30/E1_02.tif "/>
    <s v=" 37571.127 "/>
    <s v=" 69.8987 "/>
    <x v="0"/>
    <n v="2626172"/>
    <m/>
    <m/>
    <m/>
  </r>
  <r>
    <x v="13"/>
    <x v="4"/>
    <s v="F:\images\20210330\plaque 2/@01 Testo 30/E1_03.tif "/>
    <s v=" 34045.4541 "/>
    <s v=" 70.8145 "/>
    <x v="0"/>
    <n v="2410911"/>
    <m/>
    <m/>
    <m/>
  </r>
  <r>
    <x v="13"/>
    <x v="5"/>
    <s v="F:\images\20210330\plaque 2/@01 Testo 30/F1_01.tif "/>
    <s v=" 6078.0004 "/>
    <s v=" 65.121 "/>
    <x v="0"/>
    <n v="395805"/>
    <m/>
    <m/>
    <m/>
  </r>
  <r>
    <x v="13"/>
    <x v="5"/>
    <s v="F:\images\20210330\plaque 2/@01 Testo 30/F1_02.tif "/>
    <s v=" 4650.4273 "/>
    <s v=" 64.5953 "/>
    <x v="0"/>
    <n v="300396"/>
    <m/>
    <m/>
    <m/>
  </r>
  <r>
    <x v="13"/>
    <x v="5"/>
    <s v="F:\images\20210330\plaque 2/@01 Testo 30/F1_03.tif "/>
    <s v=" 4520.648 "/>
    <s v=" 65.4019 "/>
    <x v="0"/>
    <n v="295659"/>
    <m/>
    <m/>
    <m/>
  </r>
  <r>
    <x v="13"/>
    <x v="6"/>
    <s v="F:\images\20210330\plaque 2/@01 Testo 30/G1_01.tif "/>
    <s v=" 62748.3243 "/>
    <s v=" 76.8356 "/>
    <x v="0"/>
    <n v="4821304"/>
    <m/>
    <m/>
    <m/>
  </r>
  <r>
    <x v="13"/>
    <x v="6"/>
    <s v="F:\images\20210330\plaque 2/@01 Testo 30/G1_02.tif "/>
    <s v=" 55480.6797 "/>
    <s v=" 78.9832 "/>
    <x v="0"/>
    <n v="4382044"/>
    <m/>
    <m/>
    <m/>
  </r>
  <r>
    <x v="13"/>
    <x v="6"/>
    <s v="F:\images\20210330\plaque 2/@01 Testo 30/G1_03.tif "/>
    <s v=" 59395.6907 "/>
    <s v=" 75.9013 "/>
    <x v="0"/>
    <n v="4508211"/>
    <m/>
    <m/>
    <m/>
  </r>
  <r>
    <x v="13"/>
    <x v="7"/>
    <s v="F:\images\20210330\plaque 2/@01 Testo 30/H1_01.tif "/>
    <s v=" 21175.6668 "/>
    <s v=" 72.7845 "/>
    <x v="0"/>
    <n v="1541260"/>
    <m/>
    <m/>
    <m/>
  </r>
  <r>
    <x v="13"/>
    <x v="7"/>
    <s v="F:\images\20210330\plaque 2/@01 Testo 30/H1_02.tif "/>
    <s v=" 19834.6134 "/>
    <s v=" 67.6347 "/>
    <x v="0"/>
    <n v="1341508"/>
    <m/>
    <m/>
    <m/>
  </r>
  <r>
    <x v="13"/>
    <x v="7"/>
    <s v="F:\images\20210330\plaque 2/@01 Testo 30/H1_03.tif "/>
    <s v=" 19272.2361 "/>
    <s v=" 72.2514 "/>
    <x v="0"/>
    <n v="1392446"/>
    <m/>
    <m/>
    <m/>
  </r>
  <r>
    <x v="1"/>
    <x v="8"/>
    <s v=" "/>
    <m/>
    <m/>
    <x v="1"/>
    <m/>
    <m/>
    <m/>
    <m/>
  </r>
  <r>
    <x v="1"/>
    <x v="8"/>
    <s v="group "/>
    <s v=" "/>
    <s v=" mean of mean fluo "/>
    <x v="2"/>
    <s v=" mean of total fluo "/>
    <s v=" SD total fluo "/>
    <s v=" n fluorescent "/>
    <s v=" n total"/>
  </r>
  <r>
    <x v="13"/>
    <x v="9"/>
    <s v="F:\images\20210330\plaque 2/@01 Testo 30/ "/>
    <s v=" "/>
    <s v=" 70.1805 "/>
    <x v="15"/>
    <s v=" 2011259.38 "/>
    <s v=" 1280076.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30\plaque 2/@02 Testo 30/A2_01.tif "/>
    <s v=" 21089.1473 "/>
    <s v=" 70.9456 "/>
    <x v="0"/>
    <n v="1496183"/>
    <m/>
    <m/>
    <m/>
  </r>
  <r>
    <x v="14"/>
    <x v="0"/>
    <s v="F:\images\20210330\plaque 2/@02 Testo 30/A2_02.tif "/>
    <s v=" 20396.9906 "/>
    <s v=" 71.3743 "/>
    <x v="0"/>
    <n v="1455822"/>
    <m/>
    <m/>
    <m/>
  </r>
  <r>
    <x v="14"/>
    <x v="0"/>
    <s v="F:\images\20210330\plaque 2/@02 Testo 30/A2_03.tif "/>
    <s v=" 13648.4635 "/>
    <s v=" 66.1109 "/>
    <x v="0"/>
    <n v="902313"/>
    <m/>
    <m/>
    <m/>
  </r>
  <r>
    <x v="14"/>
    <x v="1"/>
    <s v="F:\images\20210330\plaque 2/@02 Testo 30/B2_01.tif "/>
    <s v=" 1124.7545 "/>
    <s v=" 65.3462 "/>
    <x v="0"/>
    <n v="73498"/>
    <m/>
    <m/>
    <m/>
  </r>
  <r>
    <x v="14"/>
    <x v="1"/>
    <s v="F:\images\20210330\plaque 2/@02 Testo 30/B2_02.tif "/>
    <s v=" 692.1566 "/>
    <s v=" 62.0312 "/>
    <x v="0"/>
    <n v="42935"/>
    <m/>
    <m/>
    <m/>
  </r>
  <r>
    <x v="14"/>
    <x v="1"/>
    <s v="F:\images\20210330\plaque 2/@02 Testo 30/B2_03.tif "/>
    <s v=" 346.0783 "/>
    <s v=" 64.6875 "/>
    <x v="0"/>
    <n v="22387"/>
    <m/>
    <m/>
    <m/>
  </r>
  <r>
    <x v="14"/>
    <x v="2"/>
    <s v="F:\images\20210330\plaque 2/@02 Testo 30/C2_01.tif "/>
    <s v=" 40858.871 "/>
    <s v=" 76.2287 "/>
    <x v="0"/>
    <n v="3114618"/>
    <m/>
    <m/>
    <m/>
  </r>
  <r>
    <x v="14"/>
    <x v="2"/>
    <s v="F:\images\20210330\plaque 2/@02 Testo 30/C2_02.tif "/>
    <s v=" 37614.3868 "/>
    <s v=" 75.3571 "/>
    <x v="0"/>
    <n v="2834511"/>
    <m/>
    <m/>
    <m/>
  </r>
  <r>
    <x v="14"/>
    <x v="2"/>
    <s v="F:\images\20210330\plaque 2/@02 Testo 30/C2_03.tif "/>
    <s v=" 41572.6575 "/>
    <s v=" 75.5042 "/>
    <x v="0"/>
    <n v="3138909"/>
    <m/>
    <m/>
    <m/>
  </r>
  <r>
    <x v="14"/>
    <x v="3"/>
    <s v="F:\images\20210330\plaque 2/@02 Testo 30/D2_01.tif "/>
    <s v=" 19228.9763 "/>
    <s v=" 66.1912 "/>
    <x v="0"/>
    <n v="1272790"/>
    <m/>
    <m/>
    <m/>
  </r>
  <r>
    <x v="14"/>
    <x v="3"/>
    <s v="F:\images\20210330\plaque 2/@02 Testo 30/D2_02.tif "/>
    <s v=" 15313.9654 "/>
    <s v=" 66.3376 "/>
    <x v="0"/>
    <n v="1015891"/>
    <m/>
    <m/>
    <m/>
  </r>
  <r>
    <x v="14"/>
    <x v="3"/>
    <s v="F:\images\20210330\plaque 2/@02 Testo 30/D2_03.tif "/>
    <s v=" 12631.8585 "/>
    <s v=" 64.9452 "/>
    <x v="0"/>
    <n v="820379"/>
    <m/>
    <m/>
    <m/>
  </r>
  <r>
    <x v="14"/>
    <x v="4"/>
    <s v="F:\images\20210330\plaque 2/@02 Testo 30/E2_01.tif "/>
    <s v=" 60433.9256 "/>
    <s v=" 76.8987 "/>
    <x v="0"/>
    <n v="4647291"/>
    <m/>
    <m/>
    <m/>
  </r>
  <r>
    <x v="14"/>
    <x v="4"/>
    <s v="F:\images\20210330\plaque 2/@02 Testo 30/E2_02.tif "/>
    <s v=" 59828.2885 "/>
    <s v=" 79.8847 "/>
    <x v="0"/>
    <n v="4779363"/>
    <m/>
    <m/>
    <m/>
  </r>
  <r>
    <x v="14"/>
    <x v="4"/>
    <s v="F:\images\20210330\plaque 2/@02 Testo 30/E2_03.tif "/>
    <s v=" 56194.4662 "/>
    <s v=" 73.796 "/>
    <x v="0"/>
    <n v="4146927"/>
    <m/>
    <m/>
    <m/>
  </r>
  <r>
    <x v="14"/>
    <x v="5"/>
    <s v="F:\images\20210330\plaque 2/@02 Testo 30/F2_01.tif "/>
    <s v=" 31601.2761 "/>
    <s v=" 78.1615 "/>
    <x v="0"/>
    <n v="2470004"/>
    <m/>
    <m/>
    <m/>
  </r>
  <r>
    <x v="14"/>
    <x v="5"/>
    <s v="F:\images\20210330\plaque 2/@02 Testo 30/F2_02.tif "/>
    <s v=" 30800.97 "/>
    <s v=" 76.0541 "/>
    <x v="0"/>
    <n v="2342539"/>
    <m/>
    <m/>
    <m/>
  </r>
  <r>
    <x v="14"/>
    <x v="5"/>
    <s v="F:\images\20210330\plaque 2/@02 Testo 30/F2_03.tif "/>
    <s v=" 23901.0336 "/>
    <s v=" 78.4145 "/>
    <x v="0"/>
    <n v="1874187"/>
    <m/>
    <m/>
    <m/>
  </r>
  <r>
    <x v="14"/>
    <x v="6"/>
    <s v="F:\images\20210330\plaque 2/@02 Testo 30/G2_01.tif "/>
    <s v=" 5169.5448 "/>
    <s v=" 66.3933 "/>
    <x v="0"/>
    <n v="343223"/>
    <m/>
    <m/>
    <m/>
  </r>
  <r>
    <x v="14"/>
    <x v="6"/>
    <s v="F:\images\20210330\plaque 2/@02 Testo 30/G2_02.tif "/>
    <s v=" 4628.7975 "/>
    <s v=" 66.514 "/>
    <x v="0"/>
    <n v="307880"/>
    <m/>
    <m/>
    <m/>
  </r>
  <r>
    <x v="14"/>
    <x v="6"/>
    <s v="F:\images\20210330\plaque 2/@02 Testo 30/G2_03.tif "/>
    <s v=" 4390.8686 "/>
    <s v=" 65.2956 "/>
    <x v="0"/>
    <n v="286704"/>
    <m/>
    <m/>
    <m/>
  </r>
  <r>
    <x v="14"/>
    <x v="7"/>
    <s v="F:\images\20210330\plaque 2/@02 Testo 30/H2_01.tif "/>
    <s v=" 9387.3743 "/>
    <s v=" 67.3226 "/>
    <x v="0"/>
    <n v="631982"/>
    <m/>
    <m/>
    <m/>
  </r>
  <r>
    <x v="14"/>
    <x v="7"/>
    <s v="F:\images\20210330\plaque 2/@02 Testo 30/H2_02.tif "/>
    <s v=" 5645.4025 "/>
    <s v=" 66.4023 "/>
    <x v="0"/>
    <n v="374868"/>
    <m/>
    <m/>
    <m/>
  </r>
  <r>
    <x v="14"/>
    <x v="7"/>
    <s v="F:\images\20210330\plaque 2/@02 Testo 30/H2_03- exclu.tif"/>
    <m/>
    <m/>
    <x v="1"/>
    <m/>
    <m/>
    <m/>
    <m/>
  </r>
  <r>
    <x v="1"/>
    <x v="8"/>
    <s v=" "/>
    <m/>
    <m/>
    <x v="1"/>
    <m/>
    <m/>
    <m/>
    <m/>
  </r>
  <r>
    <x v="1"/>
    <x v="8"/>
    <s v="group "/>
    <s v=" "/>
    <s v=" mean of mean fluo "/>
    <x v="2"/>
    <s v=" mean of total fluo "/>
    <s v=" SD total fluo "/>
    <s v=" n fluorescent "/>
    <s v=" n total"/>
  </r>
  <r>
    <x v="14"/>
    <x v="9"/>
    <s v="F:\images\20210330\plaque 2/@02 Testo 30/ "/>
    <s v=" "/>
    <s v=" 70.1314 "/>
    <x v="16"/>
    <s v=" 1601105.17 "/>
    <s v=" 150566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30\plaque 2/@03 Testo+ EE2 64/A3_01.tif "/>
    <s v=" 44708.9922 "/>
    <s v=" 82.6594 "/>
    <x v="0"/>
    <n v="3695619"/>
    <m/>
    <m/>
    <m/>
  </r>
  <r>
    <x v="15"/>
    <x v="0"/>
    <s v="F:\images\20210330\plaque 2/@03 Testo+ EE2 64/A3_02.tif "/>
    <s v=" 43822.1665 "/>
    <s v=" 75.5523 "/>
    <x v="0"/>
    <n v="3310866"/>
    <m/>
    <m/>
    <m/>
  </r>
  <r>
    <x v="15"/>
    <x v="0"/>
    <s v="F:\images\20210330\plaque 2/@03 Testo+ EE2 64/A3_03.tif "/>
    <s v=" 42654.1522 "/>
    <s v=" 80.0274 "/>
    <x v="0"/>
    <n v="3413500"/>
    <m/>
    <m/>
    <m/>
  </r>
  <r>
    <x v="15"/>
    <x v="1"/>
    <s v="F:\images\20210330\plaque 2/@03 Testo+ EE2 64/B3_01.tif "/>
    <s v=" 15595.154 "/>
    <s v=" 69.362 "/>
    <x v="0"/>
    <n v="1081711"/>
    <m/>
    <m/>
    <m/>
  </r>
  <r>
    <x v="15"/>
    <x v="1"/>
    <s v="F:\images\20210330\plaque 2/@03 Testo+ EE2 64/B3_02.tif "/>
    <s v=" 13172.6058 "/>
    <s v=" 68.9688 "/>
    <x v="0"/>
    <n v="908499"/>
    <m/>
    <m/>
    <m/>
  </r>
  <r>
    <x v="15"/>
    <x v="1"/>
    <s v="F:\images\20210330\plaque 2/@03 Testo+ EE2 64/B3_03.tif "/>
    <s v=" 13215.8656 "/>
    <s v=" 67.8167 "/>
    <x v="0"/>
    <n v="896256"/>
    <m/>
    <m/>
    <m/>
  </r>
  <r>
    <x v="15"/>
    <x v="2"/>
    <s v="F:\images\20210330\plaque 2/@03 Testo+ EE2 64/C3_01.tif "/>
    <s v=" 47066.6507 "/>
    <s v=" 79.54 "/>
    <x v="0"/>
    <n v="3743681"/>
    <m/>
    <m/>
    <m/>
  </r>
  <r>
    <x v="15"/>
    <x v="2"/>
    <s v="F:\images\20210330\plaque 2/@03 Testo+ EE2 64/C3_02.tif "/>
    <s v=" 54961.5623 "/>
    <s v=" 75.8827 "/>
    <x v="0"/>
    <n v="4170633"/>
    <m/>
    <m/>
    <m/>
  </r>
  <r>
    <x v="15"/>
    <x v="2"/>
    <s v="F:\images\20210330\plaque 2/@03 Testo+ EE2 64/C3_03.tif "/>
    <s v=" 54161.2562 "/>
    <s v=" 75.2875 "/>
    <x v="0"/>
    <n v="4077668"/>
    <m/>
    <m/>
    <m/>
  </r>
  <r>
    <x v="15"/>
    <x v="3"/>
    <s v="F:\images\20210330\plaque 2/@03 Testo+ EE2 64/D3_01.tif "/>
    <s v=" 50657.2132 "/>
    <s v=" 76.4086 "/>
    <x v="0"/>
    <n v="3870648"/>
    <m/>
    <m/>
    <m/>
  </r>
  <r>
    <x v="15"/>
    <x v="3"/>
    <s v="F:\images\20210330\plaque 2/@03 Testo+ EE2 64/D3_02.tif "/>
    <s v=" 58379.0856 "/>
    <s v=" 73.7584 "/>
    <x v="0"/>
    <n v="4305950"/>
    <m/>
    <m/>
    <m/>
  </r>
  <r>
    <x v="15"/>
    <x v="3"/>
    <s v="F:\images\20210330\plaque 2/@03 Testo+ EE2 64/D3_03.tif "/>
    <s v=" 53663.7686 "/>
    <s v=" 73.4845 "/>
    <x v="0"/>
    <n v="3943454"/>
    <m/>
    <m/>
    <m/>
  </r>
  <r>
    <x v="15"/>
    <x v="4"/>
    <s v="F:\images\20210330\plaque 2/@03 Testo+ EE2 64/E3_01.tif "/>
    <s v=" 32466.4718 "/>
    <s v=" 71.3011 "/>
    <x v="0"/>
    <n v="2314896"/>
    <m/>
    <m/>
    <m/>
  </r>
  <r>
    <x v="15"/>
    <x v="4"/>
    <s v="F:\images\20210330\plaque 2/@03 Testo+ EE2 64/E3_02.tif "/>
    <s v=" 30022.2937 "/>
    <n v="72"/>
    <x v="0"/>
    <n v="2161605"/>
    <m/>
    <m/>
    <m/>
  </r>
  <r>
    <x v="15"/>
    <x v="4"/>
    <s v="F:\images\20210330\plaque 2/@03 Testo+ EE2 64/E3_03.tif "/>
    <s v=" 28616.3506 "/>
    <s v=" 71.4407 "/>
    <x v="0"/>
    <n v="2044371"/>
    <m/>
    <m/>
    <m/>
  </r>
  <r>
    <x v="15"/>
    <x v="5"/>
    <s v="F:\images\20210330\plaque 2/@03 Testo+ EE2 64/F3_01.tif "/>
    <s v=" 27123.8879 "/>
    <s v=" 69.3206 "/>
    <x v="0"/>
    <n v="1880243"/>
    <m/>
    <m/>
    <m/>
  </r>
  <r>
    <x v="15"/>
    <x v="5"/>
    <s v="F:\images\20210330\plaque 2/@03 Testo+ EE2 64/F3_02.tif "/>
    <s v=" 21154.0369 "/>
    <s v=" 69.2843 "/>
    <x v="0"/>
    <n v="1465642"/>
    <m/>
    <m/>
    <m/>
  </r>
  <r>
    <x v="15"/>
    <x v="5"/>
    <s v="F:\images\20210330\plaque 2/@03 Testo+ EE2 64/F3_03.tif "/>
    <s v=" 14881.3675 "/>
    <s v=" 70.9549 "/>
    <x v="0"/>
    <n v="1055907"/>
    <m/>
    <m/>
    <m/>
  </r>
  <r>
    <x v="15"/>
    <x v="6"/>
    <s v="F:\images\20210330\plaque 2/@03 Testo+ EE2 64/G3_01.tif "/>
    <s v=" 10598.6484 "/>
    <s v=" 63.9122 "/>
    <x v="0"/>
    <n v="677383"/>
    <m/>
    <m/>
    <m/>
  </r>
  <r>
    <x v="15"/>
    <x v="6"/>
    <s v="F:\images\20210330\plaque 2/@03 Testo+ EE2 64/G3_02.tif "/>
    <s v=" 28248.6424 "/>
    <s v=" 72.4074 "/>
    <x v="0"/>
    <n v="2045409"/>
    <m/>
    <m/>
    <m/>
  </r>
  <r>
    <x v="15"/>
    <x v="6"/>
    <s v="F:\images\20210330\plaque 2/@03 Testo+ EE2 64/G3_03.tif "/>
    <s v=" 26107.2828 "/>
    <s v=" 75.7954 "/>
    <x v="0"/>
    <n v="1978811"/>
    <m/>
    <m/>
    <m/>
  </r>
  <r>
    <x v="15"/>
    <x v="7"/>
    <s v="F:\images\20210330\plaque 2/@03 Testo+ EE2 64/H3_01.tif "/>
    <s v=" 26885.959 "/>
    <s v=" 76.9895 "/>
    <x v="0"/>
    <n v="2069938"/>
    <m/>
    <m/>
    <m/>
  </r>
  <r>
    <x v="15"/>
    <x v="7"/>
    <s v="F:\images\20210330\plaque 2/@03 Testo+ EE2 64/H3_02.tif "/>
    <s v=" 26085.6529 "/>
    <s v=" 75.0663 "/>
    <x v="0"/>
    <n v="1958154"/>
    <m/>
    <m/>
    <m/>
  </r>
  <r>
    <x v="15"/>
    <x v="7"/>
    <s v="F:\images\20210330\plaque 2/@03 Testo+ EE2 64/H3_03.tif "/>
    <s v=" 29330.1371 "/>
    <s v=" 75.0996 "/>
    <x v="0"/>
    <n v="2202680"/>
    <m/>
    <m/>
    <m/>
  </r>
  <r>
    <x v="1"/>
    <x v="8"/>
    <s v=" "/>
    <m/>
    <m/>
    <x v="1"/>
    <m/>
    <m/>
    <m/>
    <m/>
  </r>
  <r>
    <x v="1"/>
    <x v="8"/>
    <s v="group "/>
    <s v=" "/>
    <s v=" mean of mean fluo "/>
    <x v="2"/>
    <s v=" mean of total fluo "/>
    <s v=" SD total fluo "/>
    <s v=" n fluorescent "/>
    <s v=" n total"/>
  </r>
  <r>
    <x v="15"/>
    <x v="9"/>
    <s v="F:\images\20210330\plaque 2/@03 Testo+ EE2 64/ "/>
    <s v=" "/>
    <s v=" 73.43 "/>
    <x v="17"/>
    <s v=" 2469730.17 "/>
    <n v="1185590"/>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30\plaque 2/@04 Testo+ FAD/A4_01.tif "/>
    <s v=" 2227.8791 "/>
    <s v=" 67.3204 "/>
    <x v="0"/>
    <n v="149982"/>
    <m/>
    <m/>
    <m/>
  </r>
  <r>
    <x v="16"/>
    <x v="0"/>
    <s v="F:\images\20210330\plaque 2/@04 Testo+ FAD/A4_02.tif "/>
    <s v=" 1578.9823 "/>
    <s v=" 66.5479 "/>
    <x v="0"/>
    <n v="105078"/>
    <m/>
    <m/>
    <m/>
  </r>
  <r>
    <x v="16"/>
    <x v="0"/>
    <s v="F:\images\20210330\plaque 2/@04 Testo+ FAD/A4_03.tif "/>
    <s v=" 2790.2564 "/>
    <s v=" 66.2171 "/>
    <x v="0"/>
    <n v="184763"/>
    <m/>
    <m/>
    <m/>
  </r>
  <r>
    <x v="16"/>
    <x v="1"/>
    <s v="F:\images\20210330\plaque 2/@04 Testo+ FAD/B4_01.tif "/>
    <s v=" 237.9288 "/>
    <s v=" 63.5455 "/>
    <x v="0"/>
    <n v="15119"/>
    <m/>
    <m/>
    <m/>
  </r>
  <r>
    <x v="16"/>
    <x v="1"/>
    <s v="F:\images\20210330\plaque 2/@04 Testo+ FAD/B4_02.tif "/>
    <s v=" 367.7082 "/>
    <s v=" 67.1765 "/>
    <x v="0"/>
    <n v="24701"/>
    <m/>
    <m/>
    <m/>
  </r>
  <r>
    <x v="16"/>
    <x v="1"/>
    <s v="F:\images\20210330\plaque 2/@04 Testo+ FAD/B4_03.tif "/>
    <s v=" 237.9288 "/>
    <s v=" 63.4545 "/>
    <x v="0"/>
    <n v="15098"/>
    <m/>
    <m/>
    <m/>
  </r>
  <r>
    <x v="16"/>
    <x v="2"/>
    <s v="F:\images\20210330\plaque 2/@04 Testo+ FAD/C4_01.tif "/>
    <s v=" 5234.4345 "/>
    <s v=" 71.5207 "/>
    <x v="0"/>
    <n v="374370"/>
    <m/>
    <m/>
    <m/>
  </r>
  <r>
    <x v="16"/>
    <x v="2"/>
    <s v="F:\images\20210330\plaque 2/@04 Testo+ FAD/C4_02.tif "/>
    <s v=" 2033.2101 "/>
    <s v=" 66.7021 "/>
    <x v="0"/>
    <n v="135619"/>
    <m/>
    <m/>
    <m/>
  </r>
  <r>
    <x v="16"/>
    <x v="2"/>
    <s v="F:\images\20210330\plaque 2/@04 Testo+ FAD/C4_03.tif "/>
    <s v=" 2141.3596 "/>
    <s v=" 67.8586 "/>
    <x v="0"/>
    <n v="145310"/>
    <m/>
    <m/>
    <m/>
  </r>
  <r>
    <x v="16"/>
    <x v="3"/>
    <s v="F:\images\20210330\plaque 2/@04 Testo+ FAD/D4_01.tif "/>
    <s v=" 5364.2139 "/>
    <s v=" 71.2903 "/>
    <x v="0"/>
    <n v="382417"/>
    <m/>
    <m/>
    <m/>
  </r>
  <r>
    <x v="16"/>
    <x v="3"/>
    <s v="F:\images\20210330\plaque 2/@04 Testo+ FAD/D4_02.tif "/>
    <s v=" 8327.5094 "/>
    <s v=" 74.5247 "/>
    <x v="0"/>
    <n v="620605"/>
    <m/>
    <m/>
    <m/>
  </r>
  <r>
    <x v="16"/>
    <x v="3"/>
    <s v="F:\images\20210330\plaque 2/@04 Testo+ FAD/D4_03.tif "/>
    <s v=" 5169.5448 "/>
    <s v=" 68.2762 "/>
    <x v="0"/>
    <n v="352957"/>
    <m/>
    <m/>
    <m/>
  </r>
  <r>
    <x v="16"/>
    <x v="4"/>
    <s v="F:\images\20210330\plaque 2/@04 Testo+ FAD/E4_01.tif "/>
    <s v=" 3763.6017 "/>
    <s v=" 69.3621 "/>
    <x v="0"/>
    <n v="261051"/>
    <m/>
    <m/>
    <m/>
  </r>
  <r>
    <x v="16"/>
    <x v="4"/>
    <s v="F:\images\20210330\plaque 2/@04 Testo+ FAD/E4_02.tif "/>
    <s v=" 4261.0892 "/>
    <s v=" 68.8985 "/>
    <x v="0"/>
    <n v="293583"/>
    <m/>
    <m/>
    <m/>
  </r>
  <r>
    <x v="16"/>
    <x v="4"/>
    <s v="F:\images\20210330\plaque 2/@04 Testo+ FAD/E4_03.tif "/>
    <s v=" 3201.2244 "/>
    <s v=" 68.6892 "/>
    <x v="0"/>
    <n v="219890"/>
    <m/>
    <m/>
    <m/>
  </r>
  <r>
    <x v="16"/>
    <x v="5"/>
    <s v="F:\images\20210330\plaque 2/@04 Testo+ FAD/F4_01.tif "/>
    <s v=" 497.4876 "/>
    <s v=" 62.8261 "/>
    <x v="0"/>
    <n v="31255"/>
    <m/>
    <m/>
    <m/>
  </r>
  <r>
    <x v="16"/>
    <x v="5"/>
    <s v="F:\images\20210330\plaque 2/@04 Testo+ FAD/F4_02.tif "/>
    <s v=" 237.9288 "/>
    <s v=" 63.1818 "/>
    <x v="0"/>
    <n v="15033"/>
    <m/>
    <m/>
    <m/>
  </r>
  <r>
    <x v="16"/>
    <x v="5"/>
    <s v="F:\images\20210330\plaque 2/@04 Testo+ FAD/F4_03.tif "/>
    <s v=" 432.5979 "/>
    <s v=" 66.3 "/>
    <x v="0"/>
    <n v="28681"/>
    <m/>
    <m/>
    <m/>
  </r>
  <r>
    <x v="16"/>
    <x v="6"/>
    <s v="F:\images\20210330\plaque 2/@04 Testo+ FAD/G4_01.tif "/>
    <s v=" 454.2278 "/>
    <s v=" 62.3333 "/>
    <x v="0"/>
    <n v="28314"/>
    <m/>
    <m/>
    <m/>
  </r>
  <r>
    <x v="16"/>
    <x v="6"/>
    <s v="F:\images\20210330\plaque 2/@04 Testo+ FAD/G4_02- exclu.tif"/>
    <m/>
    <m/>
    <x v="1"/>
    <m/>
    <m/>
    <m/>
    <m/>
  </r>
  <r>
    <x v="16"/>
    <x v="6"/>
    <s v="F:\images\20210330\plaque 2/@04 Testo+ FAD/G4_03.tif "/>
    <s v=" 778.6762 "/>
    <s v=" 63.2778 "/>
    <x v="0"/>
    <n v="49273"/>
    <m/>
    <m/>
    <m/>
  </r>
  <r>
    <x v="16"/>
    <x v="7"/>
    <s v="F:\images\20210330\plaque 2/@04 Testo+ FAD/H4_01.tif "/>
    <s v=" 627.2669 "/>
    <s v=" 64.2069 "/>
    <x v="0"/>
    <n v="40275"/>
    <m/>
    <m/>
    <m/>
  </r>
  <r>
    <x v="16"/>
    <x v="7"/>
    <s v="F:\images\20210330\plaque 2/@04 Testo+ FAD/H4_02.tif "/>
    <s v=" 778.6762 "/>
    <n v="65"/>
    <x v="0"/>
    <n v="50614"/>
    <m/>
    <m/>
    <m/>
  </r>
  <r>
    <x v="16"/>
    <x v="7"/>
    <s v="F:\images\20210330\plaque 2/@04 Testo+ FAD/H4_03.tif "/>
    <s v=" 151.4093 "/>
    <s v=" 64.5714 "/>
    <x v="0"/>
    <n v="9777"/>
    <m/>
    <m/>
    <m/>
  </r>
  <r>
    <x v="1"/>
    <x v="8"/>
    <s v=" "/>
    <m/>
    <m/>
    <x v="1"/>
    <m/>
    <m/>
    <m/>
    <m/>
  </r>
  <r>
    <x v="1"/>
    <x v="8"/>
    <s v="group "/>
    <s v=" "/>
    <s v=" mean of mean fluo "/>
    <x v="2"/>
    <s v=" mean of total fluo "/>
    <s v=" SD total fluo "/>
    <s v=" n fluorescent "/>
    <s v=" n total"/>
  </r>
  <r>
    <x v="16"/>
    <x v="9"/>
    <s v="F:\images\20210330\plaque 2/@04 Testo+ FAD/ "/>
    <s v=" "/>
    <s v=" 66.5971 "/>
    <x v="18"/>
    <s v=" 147945.875 "/>
    <s v=" 160376.2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30\plaque 2/@05 Anastrozole 0.032 µg_L Dopé/A5_01.tif "/>
    <s v=" 31406.607 "/>
    <s v=" 71.8223 "/>
    <x v="0"/>
    <n v="2255695"/>
    <m/>
    <m/>
    <m/>
  </r>
  <r>
    <x v="17"/>
    <x v="0"/>
    <s v="F:\images\20210330\plaque 2/@05 Anastrozole 0.032 µg_L Dopé/A5_02.tif "/>
    <s v=" 25436.7561 "/>
    <s v=" 69.1862 "/>
    <x v="0"/>
    <n v="1759873"/>
    <m/>
    <m/>
    <m/>
  </r>
  <r>
    <x v="17"/>
    <x v="0"/>
    <s v="F:\images\20210330\plaque 2/@05 Anastrozole 0.032 µg_L Dopé/A5_03.tif "/>
    <s v=" 26994.1085 "/>
    <s v=" 71.4135 "/>
    <x v="0"/>
    <n v="1927743"/>
    <m/>
    <m/>
    <m/>
  </r>
  <r>
    <x v="17"/>
    <x v="1"/>
    <s v="F:\images\20210330\plaque 2/@05 Anastrozole 0.032 µg_L Dopé/B5_01.tif "/>
    <s v=" 49099.8608 "/>
    <s v=" 72.222 "/>
    <x v="0"/>
    <n v="3546091"/>
    <m/>
    <m/>
    <m/>
  </r>
  <r>
    <x v="17"/>
    <x v="1"/>
    <s v="F:\images\20210330\plaque 2/@05 Anastrozole 0.032 µg_L Dopé/B5_02.tif "/>
    <s v=" 41983.6255 "/>
    <s v=" 71.9964 "/>
    <x v="0"/>
    <n v="3022670"/>
    <m/>
    <m/>
    <m/>
  </r>
  <r>
    <x v="17"/>
    <x v="1"/>
    <s v="F:\images\20210330\plaque 2/@05 Anastrozole 0.032 µg_L Dopé/B5_03.tif "/>
    <s v=" 43043.4903 "/>
    <s v=" 72.503 "/>
    <x v="0"/>
    <n v="3120783"/>
    <m/>
    <m/>
    <m/>
  </r>
  <r>
    <x v="17"/>
    <x v="2"/>
    <s v="F:\images\20210330\plaque 2/@05 Anastrozole 0.032 µg_L Dopé/C5_01.tif "/>
    <s v=" 49813.6473 "/>
    <s v=" 73.8971 "/>
    <x v="0"/>
    <n v="3681084"/>
    <m/>
    <m/>
    <m/>
  </r>
  <r>
    <x v="17"/>
    <x v="2"/>
    <s v="F:\images\20210330\plaque 2/@05 Anastrozole 0.032 µg_L Dopé/C5_02.tif "/>
    <s v=" 44406.1737 "/>
    <s v=" 73.624 "/>
    <x v="0"/>
    <n v="3269359"/>
    <m/>
    <m/>
    <m/>
  </r>
  <r>
    <x v="17"/>
    <x v="2"/>
    <s v="F:\images\20210330\plaque 2/@05 Anastrozole 0.032 µg_L Dopé/C5_03.tif "/>
    <s v=" 47326.2094 "/>
    <s v=" 74.7354 "/>
    <x v="0"/>
    <n v="3536942"/>
    <m/>
    <m/>
    <m/>
  </r>
  <r>
    <x v="17"/>
    <x v="3"/>
    <s v="F:\images\20210330\plaque 2/@05 Anastrozole 0.032 µg_L Dopé/D5_01.tif "/>
    <s v=" 57427.3702 "/>
    <s v=" 74.9122 "/>
    <x v="0"/>
    <n v="4302013"/>
    <m/>
    <m/>
    <m/>
  </r>
  <r>
    <x v="17"/>
    <x v="3"/>
    <s v="F:\images\20210330\plaque 2/@05 Anastrozole 0.032 µg_L Dopé/D5_02.tif "/>
    <s v=" 57600.4094 "/>
    <s v=" 73.9925 "/>
    <x v="0"/>
    <n v="4261998"/>
    <m/>
    <m/>
    <m/>
  </r>
  <r>
    <x v="17"/>
    <x v="3"/>
    <s v="F:\images\20210330\plaque 2/@05 Anastrozole 0.032 µg_L Dopé/D5_03.tif "/>
    <s v=" 51241.2204 "/>
    <s v=" 72.7737 "/>
    <x v="0"/>
    <n v="3729015"/>
    <m/>
    <m/>
    <m/>
  </r>
  <r>
    <x v="17"/>
    <x v="4"/>
    <s v="F:\images\20210330\plaque 2/@05 Anastrozole 0.032 µg_L Dopé/E5_01.tif "/>
    <s v=" 11896.442 "/>
    <s v=" 66.06 "/>
    <x v="0"/>
    <n v="785879"/>
    <m/>
    <m/>
    <m/>
  </r>
  <r>
    <x v="17"/>
    <x v="4"/>
    <s v="F:\images\20210330\plaque 2/@05 Anastrozole 0.032 µg_L Dopé/E5_02.tif "/>
    <s v=" 9106.1856 "/>
    <s v=" 65.0071 "/>
    <x v="0"/>
    <n v="591967"/>
    <m/>
    <m/>
    <m/>
  </r>
  <r>
    <x v="17"/>
    <x v="4"/>
    <s v="F:\images\20210330\plaque 2/@05 Anastrozole 0.032 µg_L Dopé/E5_03.tif "/>
    <s v=" 15551.8942 "/>
    <s v=" 65.879 "/>
    <x v="0"/>
    <n v="1024543"/>
    <m/>
    <m/>
    <m/>
  </r>
  <r>
    <x v="17"/>
    <x v="5"/>
    <s v="F:\images\20210330\plaque 2/@05 Anastrozole 0.032 µg_L Dopé/F5_01.tif "/>
    <s v=" 16481.9797 "/>
    <s v=" 66.3386 "/>
    <x v="0"/>
    <n v="1093391"/>
    <m/>
    <m/>
    <m/>
  </r>
  <r>
    <x v="17"/>
    <x v="5"/>
    <s v="F:\images\20210330\plaque 2/@05 Anastrozole 0.032 µg_L Dopé/F5_02.tif "/>
    <s v=" 19099.197 "/>
    <s v=" 65.9298 "/>
    <x v="0"/>
    <n v="1259206"/>
    <m/>
    <m/>
    <m/>
  </r>
  <r>
    <x v="17"/>
    <x v="5"/>
    <s v="F:\images\20210330\plaque 2/@05 Anastrozole 0.032 µg_L Dopé/F5_03.tif "/>
    <s v=" 16633.389 "/>
    <s v=" 67.498 "/>
    <x v="0"/>
    <n v="1122721"/>
    <m/>
    <m/>
    <m/>
  </r>
  <r>
    <x v="17"/>
    <x v="6"/>
    <s v="F:\images\20210330\plaque 2/@05 Anastrozole 0.032 µg_L Dopé/G5_01.tif "/>
    <s v=" 20094.1721 "/>
    <s v=" 68.0764 "/>
    <x v="0"/>
    <n v="1367939"/>
    <m/>
    <m/>
    <m/>
  </r>
  <r>
    <x v="17"/>
    <x v="6"/>
    <s v="F:\images\20210330\plaque 2/@05 Anastrozole 0.032 µg_L Dopé/G5_02.tif "/>
    <s v=" 18212.3713 "/>
    <s v=" 67.9846 "/>
    <x v="0"/>
    <n v="1238160"/>
    <m/>
    <m/>
    <m/>
  </r>
  <r>
    <x v="17"/>
    <x v="6"/>
    <s v="F:\images\20210330\plaque 2/@05 Anastrozole 0.032 µg_L Dopé/G5_03.tif "/>
    <s v=" 15487.0046 "/>
    <s v=" 66.3911 "/>
    <x v="0"/>
    <n v="1028199"/>
    <m/>
    <m/>
    <m/>
  </r>
  <r>
    <x v="17"/>
    <x v="7"/>
    <s v="F:\images\20210330\plaque 2/@05 Anastrozole 0.032 µg_L Dopé/H5_01.tif "/>
    <s v=" 7981.4311 "/>
    <s v=" 66.5339 "/>
    <x v="0"/>
    <n v="531036"/>
    <m/>
    <m/>
    <m/>
  </r>
  <r>
    <x v="17"/>
    <x v="7"/>
    <s v="F:\images\20210330\plaque 2/@05 Anastrozole 0.032 µg_L Dopé/H5_02.tif "/>
    <s v=" 7678.6126 "/>
    <s v=" 66.7803 "/>
    <x v="0"/>
    <n v="512780"/>
    <m/>
    <m/>
    <m/>
  </r>
  <r>
    <x v="17"/>
    <x v="7"/>
    <s v="F:\images\20210330\plaque 2/@05 Anastrozole 0.032 µg_L Dopé/H5_03.tif "/>
    <s v=" 7894.9115 "/>
    <s v=" 66.2356 "/>
    <x v="0"/>
    <n v="522924"/>
    <m/>
    <m/>
    <m/>
  </r>
  <r>
    <x v="1"/>
    <x v="8"/>
    <s v=" "/>
    <m/>
    <m/>
    <x v="1"/>
    <m/>
    <m/>
    <m/>
    <m/>
  </r>
  <r>
    <x v="1"/>
    <x v="8"/>
    <s v="group "/>
    <s v=" "/>
    <s v=" mean of mean fluo "/>
    <x v="2"/>
    <s v=" mean of total fluo "/>
    <s v=" SD total fluo "/>
    <s v=" n fluorescent "/>
    <s v=" n total"/>
  </r>
  <r>
    <x v="17"/>
    <x v="9"/>
    <s v="F:\images\20210330\plaque 2/@05 Anastrozole 0.032 µg_L Dopé/ "/>
    <s v=" "/>
    <s v=" 69.658 "/>
    <x v="19"/>
    <s v=" 2062167.12 "/>
    <s v=" 1318052.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30\plaque 2/@06 Anastrozole 0.16 µg_L Dopé/A6_01.tif "/>
    <s v=" 13994.5418 "/>
    <s v=" 67.9289 "/>
    <x v="0"/>
    <n v="950634"/>
    <m/>
    <m/>
    <m/>
  </r>
  <r>
    <x v="18"/>
    <x v="0"/>
    <s v="F:\images\20210330\plaque 2/@06 Anastrozole 0.16 µg_L Dopé/A6_02.tif "/>
    <s v=" 10685.1679 "/>
    <s v=" 66.496 "/>
    <x v="0"/>
    <n v="710520"/>
    <m/>
    <m/>
    <m/>
  </r>
  <r>
    <x v="18"/>
    <x v="0"/>
    <s v="F:\images\20210330\plaque 2/@06 Anastrozole 0.16 µg_L Dopé/A6_03.tif "/>
    <s v=" 6337.5591 "/>
    <s v=" 64.3413 "/>
    <x v="0"/>
    <n v="407767"/>
    <m/>
    <m/>
    <m/>
  </r>
  <r>
    <x v="18"/>
    <x v="1"/>
    <s v="F:\images\20210330\plaque 2/@06 Anastrozole 0.16 µg_L Dopé/B6_01.tif "/>
    <s v=" 19293.866 "/>
    <s v=" 68.3386 "/>
    <x v="0"/>
    <n v="1318515"/>
    <m/>
    <m/>
    <m/>
  </r>
  <r>
    <x v="18"/>
    <x v="1"/>
    <s v="F:\images\20210330\plaque 2/@06 Anastrozole 0.16 µg_L Dopé/B6_02.tif "/>
    <s v=" 20634.9195 "/>
    <s v=" 67.7537 "/>
    <x v="0"/>
    <n v="1398091"/>
    <m/>
    <m/>
    <m/>
  </r>
  <r>
    <x v="18"/>
    <x v="1"/>
    <s v="F:\images\20210330\plaque 2/@06 Anastrozole 0.16 µg_L Dopé/B6_03.tif "/>
    <s v=" 18926.1578 "/>
    <s v=" 67.024 "/>
    <x v="0"/>
    <n v="1268507"/>
    <m/>
    <m/>
    <m/>
  </r>
  <r>
    <x v="18"/>
    <x v="2"/>
    <s v="F:\images\20210330\plaque 2/@06 Anastrozole 0.16 µg_L Dopé/C6_01.tif "/>
    <s v=" 16222.421 "/>
    <s v=" 69.108 "/>
    <x v="0"/>
    <n v="1121099"/>
    <m/>
    <m/>
    <m/>
  </r>
  <r>
    <x v="18"/>
    <x v="2"/>
    <s v="F:\images\20210330\plaque 2/@06 Anastrozole 0.16 µg_L Dopé/C6_02.tif "/>
    <s v=" 9603.6732 "/>
    <s v=" 64.6036 "/>
    <x v="0"/>
    <n v="620432"/>
    <m/>
    <m/>
    <m/>
  </r>
  <r>
    <x v="18"/>
    <x v="2"/>
    <s v="F:\images\20210330\plaque 2/@06 Anastrozole 0.16 µg_L Dopé/C6_03.tif "/>
    <s v=" 14513.6593 "/>
    <s v=" 65.3383 "/>
    <x v="0"/>
    <n v="948298"/>
    <m/>
    <m/>
    <m/>
  </r>
  <r>
    <x v="18"/>
    <x v="3"/>
    <s v="F:\images\20210330\plaque 2/@06 Anastrozole 0.16 µg_L Dopé/D6_01.tif "/>
    <s v=" 15962.8622 "/>
    <s v=" 66.0528 "/>
    <x v="0"/>
    <n v="1054392"/>
    <m/>
    <m/>
    <m/>
  </r>
  <r>
    <x v="18"/>
    <x v="3"/>
    <s v="F:\images\20210330\plaque 2/@06 Anastrozole 0.16 µg_L Dopé/D6_02.tif "/>
    <s v=" 13648.4635 "/>
    <s v=" 65.3851 "/>
    <x v="0"/>
    <n v="892406"/>
    <m/>
    <m/>
    <m/>
  </r>
  <r>
    <x v="18"/>
    <x v="3"/>
    <s v="F:\images\20210330\plaque 2/@06 Anastrozole 0.16 µg_L Dopé/D6_03.tif "/>
    <s v=" 12480.4492 "/>
    <s v=" 66.2114 "/>
    <x v="0"/>
    <n v="826348"/>
    <m/>
    <m/>
    <m/>
  </r>
  <r>
    <x v="18"/>
    <x v="4"/>
    <s v="F:\images\20210330\plaque 2/@06 Anastrozole 0.16 µg_L Dopé/E6_01.tif "/>
    <s v=" 38198.3939 "/>
    <s v=" 69.9258 "/>
    <x v="0"/>
    <n v="2671054"/>
    <m/>
    <m/>
    <m/>
  </r>
  <r>
    <x v="18"/>
    <x v="4"/>
    <s v="F:\images\20210330\plaque 2/@06 Anastrozole 0.16 µg_L Dopé/E6_02.tif "/>
    <s v=" 37549.4971 "/>
    <s v=" 71.1976 "/>
    <x v="0"/>
    <n v="2673433"/>
    <m/>
    <m/>
    <m/>
  </r>
  <r>
    <x v="18"/>
    <x v="4"/>
    <s v="F:\images\20210330\plaque 2/@06 Anastrozole 0.16 µg_L Dopé/E6_03.tif "/>
    <s v=" 32769.2904 "/>
    <s v=" 68.7498 "/>
    <x v="0"/>
    <n v="2252883"/>
    <m/>
    <m/>
    <m/>
  </r>
  <r>
    <x v="18"/>
    <x v="5"/>
    <s v="F:\images\20210330\plaque 2/@06 Anastrozole 0.16 µg_L Dopé/F6_01.tif "/>
    <s v=" 6402.4488 "/>
    <s v=" 69.8277 "/>
    <x v="0"/>
    <n v="447068"/>
    <m/>
    <m/>
    <m/>
  </r>
  <r>
    <x v="18"/>
    <x v="5"/>
    <s v="F:\images\20210330\plaque 2/@06 Anastrozole 0.16 µg_L Dopé/F6_02.tif "/>
    <s v=" 4390.8686 "/>
    <s v=" 67.3892 "/>
    <x v="0"/>
    <n v="295897"/>
    <m/>
    <m/>
    <m/>
  </r>
  <r>
    <x v="18"/>
    <x v="5"/>
    <s v="F:\images\20210330\plaque 2/@06 Anastrozole 0.16 µg_L Dopé/F6_03.tif "/>
    <s v=" 4693.6871 "/>
    <s v=" 70.0553 "/>
    <x v="0"/>
    <n v="328818"/>
    <m/>
    <m/>
    <m/>
  </r>
  <r>
    <x v="18"/>
    <x v="6"/>
    <s v="F:\images\20210330\plaque 2/@06 Anastrozole 0.16 µg_L Dopé/G6_01.tif "/>
    <s v=" 4023.1604 "/>
    <s v=" 63.6183 "/>
    <x v="0"/>
    <n v="255947"/>
    <m/>
    <m/>
    <m/>
  </r>
  <r>
    <x v="18"/>
    <x v="6"/>
    <s v="F:\images\20210330\plaque 2/@06 Anastrozole 0.16 µg_L Dopé/G6_02.tif "/>
    <s v=" 6013.1107 "/>
    <s v=" 63.8921 "/>
    <x v="0"/>
    <n v="384190"/>
    <m/>
    <m/>
    <m/>
  </r>
  <r>
    <x v="18"/>
    <x v="6"/>
    <s v="F:\images\20210330\plaque 2/@06 Anastrozole 0.16 µg_L Dopé/G6_03.tif "/>
    <s v=" 4845.0964 "/>
    <s v=" 63.8571 "/>
    <x v="0"/>
    <n v="309394"/>
    <m/>
    <m/>
    <m/>
  </r>
  <r>
    <x v="18"/>
    <x v="7"/>
    <s v="F:\images\20210330\plaque 2/@06 Anastrozole 0.16 µg_L Dopé/H6_01.tif "/>
    <s v=" 20159.0618 "/>
    <s v=" 68.7704 "/>
    <x v="0"/>
    <n v="1386346"/>
    <m/>
    <m/>
    <m/>
  </r>
  <r>
    <x v="18"/>
    <x v="7"/>
    <s v="F:\images\20210330\plaque 2/@06 Anastrozole 0.16 µg_L Dopé/H6_02.tif "/>
    <s v=" 19099.197 "/>
    <s v=" 67.7225 "/>
    <x v="0"/>
    <n v="1293446"/>
    <m/>
    <m/>
    <m/>
  </r>
  <r>
    <x v="18"/>
    <x v="7"/>
    <s v="F:\images\20210330\plaque 2/@06 Anastrozole 0.16 µg_L Dopé/H6_03.tif "/>
    <s v=" 19164.0866 "/>
    <s v=" 68.2596 "/>
    <x v="0"/>
    <n v="1308133"/>
    <m/>
    <m/>
    <m/>
  </r>
  <r>
    <x v="1"/>
    <x v="8"/>
    <s v=" "/>
    <m/>
    <m/>
    <x v="1"/>
    <m/>
    <m/>
    <m/>
    <m/>
  </r>
  <r>
    <x v="1"/>
    <x v="8"/>
    <s v="group "/>
    <s v=" "/>
    <s v=" mean of mean fluo "/>
    <x v="2"/>
    <s v=" mean of total fluo "/>
    <s v=" SD total fluo "/>
    <s v=" n fluorescent "/>
    <s v=" n total"/>
  </r>
  <r>
    <x v="18"/>
    <x v="9"/>
    <s v="F:\images\20210330\plaque 2/@06 Anastrozole 0.16 µg_L Dopé/ "/>
    <s v=" "/>
    <s v=" 67.1603 "/>
    <x v="20"/>
    <s v=" 1046817.42 "/>
    <s v=" 693982.9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30\plaque 2/@07  Anastrozole 0.8 µg_L Dopé/A7_01.tif "/>
    <s v=" 410.968 "/>
    <s v=" 62.7368 "/>
    <x v="0"/>
    <n v="25783"/>
    <m/>
    <m/>
    <m/>
  </r>
  <r>
    <x v="19"/>
    <x v="0"/>
    <s v="F:\images\20210330\plaque 2/@07  Anastrozole 0.8 µg_L Dopé/A7_02.tif "/>
    <s v=" 886.8257 "/>
    <s v=" 63.9512 "/>
    <x v="0"/>
    <n v="56714"/>
    <m/>
    <m/>
    <m/>
  </r>
  <r>
    <x v="19"/>
    <x v="0"/>
    <s v="F:\images\20210330\plaque 2/@07  Anastrozole 0.8 µg_L Dopé/A7_03.tif "/>
    <s v=" 605.637 "/>
    <s v=" 63.4286 "/>
    <x v="0"/>
    <n v="38415"/>
    <m/>
    <m/>
    <m/>
  </r>
  <r>
    <x v="19"/>
    <x v="1"/>
    <s v="F:\images\20210330\plaque 2/@07  Anastrozole 0.8 µg_L Dopé/B7_01.tif "/>
    <s v=" 3179.5945 "/>
    <s v=" 63.8844 "/>
    <x v="0"/>
    <n v="203126"/>
    <m/>
    <m/>
    <m/>
  </r>
  <r>
    <x v="19"/>
    <x v="1"/>
    <s v="F:\images\20210330\plaque 2/@07  Anastrozole 0.8 µg_L Dopé/B7_02.tif "/>
    <s v=" 6532.2282 "/>
    <s v=" 70.8974 "/>
    <x v="0"/>
    <n v="463118"/>
    <m/>
    <m/>
    <m/>
  </r>
  <r>
    <x v="19"/>
    <x v="1"/>
    <s v="F:\images\20210330\plaque 2/@07  Anastrozole 0.8 µg_L Dopé/B7_03.tif "/>
    <s v=" 1730.3916 "/>
    <s v=" 62.8 "/>
    <x v="0"/>
    <n v="108669"/>
    <m/>
    <m/>
    <m/>
  </r>
  <r>
    <x v="19"/>
    <x v="2"/>
    <s v="F:\images\20210330\plaque 2/@07  Anastrozole 0.8 µg_L Dopé/C7_01.tif "/>
    <s v=" 2271.1389 "/>
    <s v=" 66.0476 "/>
    <x v="0"/>
    <n v="150003"/>
    <m/>
    <m/>
    <m/>
  </r>
  <r>
    <x v="19"/>
    <x v="2"/>
    <s v="F:\images\20210330\plaque 2/@07  Anastrozole 0.8 µg_L Dopé/C7_02.tif "/>
    <s v=" 4001.5305 "/>
    <s v=" 67.9081 "/>
    <x v="0"/>
    <n v="271736"/>
    <m/>
    <m/>
    <m/>
  </r>
  <r>
    <x v="19"/>
    <x v="2"/>
    <s v="F:\images\20210330\plaque 2/@07  Anastrozole 0.8 µg_L Dopé/C7_03.tif "/>
    <s v=" 2227.8791 "/>
    <s v=" 66.3107 "/>
    <x v="0"/>
    <n v="147732"/>
    <m/>
    <m/>
    <m/>
  </r>
  <r>
    <x v="19"/>
    <x v="3"/>
    <s v="F:\images\20210330\plaque 2/@07  Anastrozole 0.8 µg_L Dopé/D7_01.tif "/>
    <s v=" 4499.0181 "/>
    <s v=" 67.5913 "/>
    <x v="0"/>
    <n v="304095"/>
    <m/>
    <m/>
    <m/>
  </r>
  <r>
    <x v="19"/>
    <x v="3"/>
    <s v="F:\images\20210330\plaque 2/@07  Anastrozole 0.8 µg_L Dopé/D7_02.tif "/>
    <s v=" 5169.5448 "/>
    <s v=" 66.8452 "/>
    <x v="0"/>
    <n v="345559"/>
    <m/>
    <m/>
    <m/>
  </r>
  <r>
    <x v="19"/>
    <x v="3"/>
    <s v="F:\images\20210330\plaque 2/@07  Anastrozole 0.8 µg_L Dopé/D7_03.tif "/>
    <s v=" 5169.5448 "/>
    <s v=" 69.477 "/>
    <x v="0"/>
    <n v="359164"/>
    <m/>
    <m/>
    <m/>
  </r>
  <r>
    <x v="19"/>
    <x v="4"/>
    <s v="F:\images\20210330\plaque 2/@07  Anastrozole 0.8 µg_L Dopé/E7_01.tif "/>
    <s v=" 3071.445 "/>
    <s v=" 65.7887 "/>
    <x v="0"/>
    <n v="202066"/>
    <m/>
    <m/>
    <m/>
  </r>
  <r>
    <x v="19"/>
    <x v="4"/>
    <s v="F:\images\20210330\plaque 2/@07  Anastrozole 0.8 µg_L Dopé/E7_02.tif "/>
    <s v=" 2011.5802 "/>
    <s v=" 68.2043 "/>
    <x v="0"/>
    <n v="137198"/>
    <m/>
    <m/>
    <m/>
  </r>
  <r>
    <x v="19"/>
    <x v="4"/>
    <s v="F:\images\20210330\plaque 2/@07  Anastrozole 0.8 µg_L Dopé/E7_03.tif "/>
    <s v=" 2920.0358 "/>
    <s v=" 63.8593 "/>
    <x v="0"/>
    <n v="186471"/>
    <m/>
    <m/>
    <m/>
  </r>
  <r>
    <x v="19"/>
    <x v="5"/>
    <s v="F:\images\20210330\plaque 2/@07  Anastrozole 0.8 µg_L Dopé/F7_01.tif "/>
    <s v=" 7029.7158 "/>
    <s v=" 73.4923 "/>
    <x v="0"/>
    <n v="516630"/>
    <m/>
    <m/>
    <m/>
  </r>
  <r>
    <x v="19"/>
    <x v="5"/>
    <s v="F:\images\20210330\plaque 2/@07  Anastrozole 0.8 µg_L Dopé/F7_02.tif "/>
    <s v=" 5169.5448 "/>
    <s v=" 65.8326 "/>
    <x v="0"/>
    <n v="340325"/>
    <m/>
    <m/>
    <m/>
  </r>
  <r>
    <x v="19"/>
    <x v="5"/>
    <s v="F:\images\20210330\plaque 2/@07  Anastrozole 0.8 µg_L Dopé/F7_03.tif "/>
    <s v=" 6142.8901 "/>
    <s v=" 70.9401 "/>
    <x v="0"/>
    <n v="435777"/>
    <m/>
    <m/>
    <m/>
  </r>
  <r>
    <x v="19"/>
    <x v="6"/>
    <s v="F:\images\20210330\plaque 2/@07  Anastrozole 0.8 µg_L Dopé/G7_01.tif "/>
    <s v=" 1124.7545 "/>
    <s v=" 63.1346 "/>
    <x v="0"/>
    <n v="71011"/>
    <m/>
    <m/>
    <m/>
  </r>
  <r>
    <x v="19"/>
    <x v="6"/>
    <s v="F:\images\20210330\plaque 2/@07  Anastrozole 0.8 µg_L Dopé/G7_02.tif "/>
    <s v=" 821.936 "/>
    <s v=" 63.6842 "/>
    <x v="0"/>
    <n v="52344"/>
    <m/>
    <m/>
    <m/>
  </r>
  <r>
    <x v="19"/>
    <x v="6"/>
    <s v="F:\images\20210330\plaque 2/@07  Anastrozole 0.8 µg_L Dopé/G7_03.tif "/>
    <s v=" 670.5267 "/>
    <s v=" 62.3548 "/>
    <x v="0"/>
    <n v="41811"/>
    <m/>
    <m/>
    <m/>
  </r>
  <r>
    <x v="19"/>
    <x v="7"/>
    <s v="F:\images\20210330\plaque 2/@07  Anastrozole 0.8 µg_L Dopé/H7_01.tif "/>
    <s v=" 1600.6122 "/>
    <s v=" 64.4865 "/>
    <x v="0"/>
    <n v="103218"/>
    <m/>
    <m/>
    <m/>
  </r>
  <r>
    <x v="19"/>
    <x v="7"/>
    <s v="F:\images\20210330\plaque 2/@07  Anastrozole 0.8 µg_L Dopé/H7_02.tif "/>
    <s v=" 951.7154 "/>
    <s v=" 65.0227 "/>
    <x v="0"/>
    <n v="61883"/>
    <m/>
    <m/>
    <m/>
  </r>
  <r>
    <x v="19"/>
    <x v="7"/>
    <s v="F:\images\20210330\plaque 2/@07  Anastrozole 0.8 µg_L Dopé/H7_03.tif "/>
    <s v=" 2941.6657 "/>
    <s v=" 66.3088 "/>
    <x v="0"/>
    <n v="195058"/>
    <m/>
    <m/>
    <m/>
  </r>
  <r>
    <x v="1"/>
    <x v="8"/>
    <s v=" "/>
    <m/>
    <m/>
    <x v="1"/>
    <m/>
    <m/>
    <m/>
    <m/>
  </r>
  <r>
    <x v="1"/>
    <x v="8"/>
    <s v="group "/>
    <s v=" "/>
    <s v=" mean of mean fluo "/>
    <x v="2"/>
    <s v=" mean of total fluo "/>
    <s v=" SD total fluo "/>
    <s v=" n fluorescent "/>
    <s v=" n total"/>
  </r>
  <r>
    <x v="19"/>
    <x v="9"/>
    <s v="F:\images\20210330\plaque 2/@07  Anastrozole 0.8 µg_L Dopé/ "/>
    <s v=" "/>
    <s v=" 66.0411 "/>
    <x v="21"/>
    <s v=" 200746.083 "/>
    <s v=" 146539.0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30\plaque 2/@08 Anastrozole 20 µg_L Dopé/A8_01.tif "/>
    <s v=" 3093.0749 "/>
    <s v=" 66.4476 "/>
    <x v="0"/>
    <n v="205527"/>
    <m/>
    <m/>
    <m/>
  </r>
  <r>
    <x v="20"/>
    <x v="0"/>
    <s v="F:\images\20210330\plaque 2/@08 Anastrozole 20 µg_L Dopé/A8_02.tif "/>
    <s v=" 389.3381 "/>
    <s v=" 71.2778 "/>
    <x v="0"/>
    <n v="27751"/>
    <m/>
    <m/>
    <m/>
  </r>
  <r>
    <x v="20"/>
    <x v="0"/>
    <s v="F:\images\20210330\plaque 2/@08 Anastrozole 20 µg_L Dopé/A8_03.tif "/>
    <s v=" 194.6691 "/>
    <s v=" 62.4444 "/>
    <x v="0"/>
    <n v="12156"/>
    <m/>
    <m/>
    <m/>
  </r>
  <r>
    <x v="20"/>
    <x v="1"/>
    <s v="F:\images\20210330\plaque 2/@08 Anastrozole 20 µg_L Dopé/B8_01.tif "/>
    <s v=" 5212.8046 "/>
    <s v=" 70.4315 "/>
    <x v="0"/>
    <n v="367146"/>
    <m/>
    <m/>
    <m/>
  </r>
  <r>
    <x v="20"/>
    <x v="1"/>
    <s v="F:\images\20210330\plaque 2/@08 Anastrozole 20 µg_L Dopé/B8_02.tif "/>
    <s v=" 129.7794 "/>
    <n v="67"/>
    <x v="0"/>
    <n v="8695"/>
    <m/>
    <m/>
    <m/>
  </r>
  <r>
    <x v="20"/>
    <x v="1"/>
    <s v="F:\images\20210330\plaque 2/@08 Anastrozole 20 µg_L Dopé/B8_03.tif "/>
    <s v=" 6078.0004 "/>
    <s v=" 73.3986 "/>
    <x v="0"/>
    <n v="446117"/>
    <m/>
    <m/>
    <m/>
  </r>
  <r>
    <x v="20"/>
    <x v="2"/>
    <s v="F:\images\20210330\plaque 2/@08 Anastrozole 20 µg_L Dopé/C8_01.tif "/>
    <s v=" 6337.5591 "/>
    <s v=" 69.6587 "/>
    <x v="0"/>
    <n v="441466"/>
    <m/>
    <m/>
    <m/>
  </r>
  <r>
    <x v="20"/>
    <x v="2"/>
    <s v="F:\images\20210330\plaque 2/@08 Anastrozole 20 µg_L Dopé/C8_02.tif "/>
    <s v=" 3352.6337 "/>
    <s v=" 71.1742 "/>
    <x v="0"/>
    <n v="238621"/>
    <m/>
    <m/>
    <m/>
  </r>
  <r>
    <x v="20"/>
    <x v="2"/>
    <s v="F:\images\20210330\plaque 2/@08 Anastrozole 20 µg_L Dopé/C8_03.tif "/>
    <s v=" 3979.9006 "/>
    <s v=" 68.2609 "/>
    <x v="0"/>
    <n v="271671"/>
    <m/>
    <m/>
    <m/>
  </r>
  <r>
    <x v="20"/>
    <x v="3"/>
    <s v="F:\images\20210330\plaque 2/@08 Anastrozole 20 µg_L Dopé/D8_01.tif "/>
    <s v=" 4369.2387 "/>
    <s v=" 70.5693 "/>
    <x v="0"/>
    <n v="308334"/>
    <m/>
    <m/>
    <m/>
  </r>
  <r>
    <x v="20"/>
    <x v="3"/>
    <s v="F:\images\20210330\plaque 2/@08 Anastrozole 20 µg_L Dopé/D8_02.tif "/>
    <s v=" 2509.0678 "/>
    <s v=" 66.9569 "/>
    <x v="0"/>
    <n v="167999"/>
    <m/>
    <m/>
    <m/>
  </r>
  <r>
    <x v="20"/>
    <x v="3"/>
    <s v="F:\images\20210330\plaque 2/@08 Anastrozole 20 µg_L Dopé/D8_03.tif "/>
    <s v=" 3482.413 "/>
    <s v=" 70.087 "/>
    <x v="0"/>
    <n v="244072"/>
    <m/>
    <m/>
    <m/>
  </r>
  <r>
    <x v="20"/>
    <x v="4"/>
    <s v="F:\images\20210330\plaque 2/@08 Anastrozole 20 µg_L Dopé/E8_01.tif "/>
    <s v=" 6034.7406 "/>
    <s v=" 69.828 "/>
    <x v="0"/>
    <n v="421394"/>
    <m/>
    <m/>
    <m/>
  </r>
  <r>
    <x v="20"/>
    <x v="4"/>
    <s v="F:\images\20210330\plaque 2/@08 Anastrozole 20 µg_L Dopé/E8_02.tif "/>
    <s v=" 648.8968 "/>
    <s v=" 62.8667 "/>
    <x v="0"/>
    <n v="40794"/>
    <m/>
    <m/>
    <m/>
  </r>
  <r>
    <x v="20"/>
    <x v="4"/>
    <s v="F:\images\20210330\plaque 2/@08 Anastrozole 20 µg_L Dopé/E8_03.tif "/>
    <s v=" 3568.9326 "/>
    <s v=" 69.0121 "/>
    <x v="0"/>
    <n v="246300"/>
    <m/>
    <m/>
    <m/>
  </r>
  <r>
    <x v="20"/>
    <x v="5"/>
    <s v="F:\images\20210330\plaque 2/@08 Anastrozole 20 µg_L Dopé/F8_01.tif "/>
    <s v=" 2184.6194 "/>
    <s v=" 65.2871 "/>
    <x v="0"/>
    <n v="142628"/>
    <m/>
    <m/>
    <m/>
  </r>
  <r>
    <x v="20"/>
    <x v="5"/>
    <s v="F:\images\20210330\plaque 2/@08 Anastrozole 20 µg_L Dopé/F8_02.tif "/>
    <s v=" 713.7865 "/>
    <s v=" 64.9394 "/>
    <x v="0"/>
    <n v="46353"/>
    <m/>
    <m/>
    <m/>
  </r>
  <r>
    <x v="20"/>
    <x v="5"/>
    <s v="F:\images\20210330\plaque 2/@08 Anastrozole 20 µg_L Dopé/F8_03.tif "/>
    <s v=" 1168.0143 "/>
    <s v=" 64.4259 "/>
    <x v="0"/>
    <n v="75250"/>
    <m/>
    <m/>
    <m/>
  </r>
  <r>
    <x v="20"/>
    <x v="6"/>
    <s v="F:\images\20210330\plaque 2/@08 Anastrozole 20 µg_L Dopé/G8_01.tif "/>
    <s v=" 2509.0678 "/>
    <s v=" 66.8448 "/>
    <x v="0"/>
    <n v="167718"/>
    <m/>
    <m/>
    <m/>
  </r>
  <r>
    <x v="20"/>
    <x v="6"/>
    <s v="F:\images\20210330\plaque 2/@08 Anastrozole 20 µg_L Dopé/G8_02.tif "/>
    <s v=" 281.1886 "/>
    <s v=" 62.6154 "/>
    <x v="0"/>
    <n v="17607"/>
    <m/>
    <m/>
    <m/>
  </r>
  <r>
    <x v="20"/>
    <x v="6"/>
    <s v="F:\images\20210330\plaque 2/@08 Anastrozole 20 µg_L Dopé/G8_03.tif "/>
    <s v=" 497.4876 "/>
    <s v=" 64.2609 "/>
    <x v="0"/>
    <n v="31969"/>
    <m/>
    <m/>
    <m/>
  </r>
  <r>
    <x v="20"/>
    <x v="7"/>
    <s v="F:\images\20210330\plaque 2/@08 Anastrozole 20 µg_L Dopé/H8_01.tif "/>
    <s v=" 86.5196 "/>
    <n v="63"/>
    <x v="0"/>
    <n v="5451"/>
    <m/>
    <m/>
    <m/>
  </r>
  <r>
    <x v="20"/>
    <x v="7"/>
    <s v="F:\images\20210330\plaque 2/@08 Anastrozole 20 µg_L Dopé/H8_02.tif "/>
    <s v=" 129.7794 "/>
    <s v=" 63.3333 "/>
    <x v="0"/>
    <n v="8219"/>
    <m/>
    <m/>
    <m/>
  </r>
  <r>
    <x v="20"/>
    <x v="7"/>
    <s v="F:\images\20210330\plaque 2/@08 Anastrozole 20 µg_L Dopé/H8_03- exclu.tif"/>
    <m/>
    <m/>
    <x v="1"/>
    <m/>
    <m/>
    <m/>
    <m/>
  </r>
  <r>
    <x v="1"/>
    <x v="8"/>
    <s v=" "/>
    <m/>
    <m/>
    <x v="1"/>
    <m/>
    <m/>
    <m/>
    <m/>
  </r>
  <r>
    <x v="1"/>
    <x v="8"/>
    <s v="group "/>
    <s v=" "/>
    <s v=" mean of mean fluo "/>
    <x v="2"/>
    <s v=" mean of total fluo "/>
    <s v=" SD total fluo "/>
    <s v=" n fluorescent "/>
    <s v=" n total"/>
  </r>
  <r>
    <x v="20"/>
    <x v="9"/>
    <s v="F:\images\20210330\plaque 2/@08 Anastrozole 20 µg_L Dopé/ "/>
    <s v=" "/>
    <s v=" 66.9931 "/>
    <x v="22"/>
    <s v=" 164703.542 "/>
    <s v=" 152116.3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30\plaque 2/@09  Anastrozole 4 µg_L Dopé/A9_01.tif "/>
    <s v=" 2595.5874 "/>
    <s v=" 66.175 "/>
    <x v="0"/>
    <n v="171763"/>
    <m/>
    <m/>
    <m/>
  </r>
  <r>
    <x v="21"/>
    <x v="0"/>
    <s v="F:\images\20210330\plaque 2/@09  Anastrozole 4 µg_L Dopé/A9_02.tif "/>
    <s v=" 4499.0181 "/>
    <s v=" 67.7788 "/>
    <x v="0"/>
    <n v="304938"/>
    <m/>
    <m/>
    <m/>
  </r>
  <r>
    <x v="21"/>
    <x v="0"/>
    <s v="F:\images\20210330\plaque 2/@09  Anastrozole 4 µg_L Dopé/A9_03.tif "/>
    <s v=" 2595.5874 "/>
    <s v=" 66.0083 "/>
    <x v="0"/>
    <n v="171330"/>
    <m/>
    <m/>
    <m/>
  </r>
  <r>
    <x v="21"/>
    <x v="1"/>
    <s v="F:\images\20210330\plaque 2/@09  Anastrozole 4 µg_L Dopé/B9_01- exclu.tif"/>
    <m/>
    <m/>
    <x v="1"/>
    <m/>
    <m/>
    <m/>
    <m/>
  </r>
  <r>
    <x v="21"/>
    <x v="1"/>
    <s v="F:\images\20210330\plaque 2/@09  Anastrozole 4 µg_L Dopé/B9_02.tif "/>
    <s v=" 5256.0644 "/>
    <s v=" 67.893 "/>
    <x v="0"/>
    <n v="356850"/>
    <m/>
    <m/>
    <m/>
  </r>
  <r>
    <x v="21"/>
    <x v="1"/>
    <s v="F:\images\20210330\plaque 2/@09  Anastrozole 4 µg_L Dopé/B9_03.tif "/>
    <s v=" 8305.8795 "/>
    <s v=" 73.849 "/>
    <x v="0"/>
    <n v="613381"/>
    <m/>
    <m/>
    <m/>
  </r>
  <r>
    <x v="21"/>
    <x v="2"/>
    <s v="F:\images\20210330\plaque 2/@09  Anastrozole 4 µg_L Dopé/C9_01.tif "/>
    <s v=" 367.7082 "/>
    <s v=" 63.5882 "/>
    <x v="0"/>
    <n v="23382"/>
    <m/>
    <m/>
    <m/>
  </r>
  <r>
    <x v="21"/>
    <x v="2"/>
    <s v="F:\images\20210330\plaque 2/@09  Anastrozole 4 µg_L Dopé/C9_02.tif "/>
    <s v=" 497.4876 "/>
    <s v=" 62.8261 "/>
    <x v="0"/>
    <n v="31255"/>
    <m/>
    <m/>
    <m/>
  </r>
  <r>
    <x v="21"/>
    <x v="2"/>
    <s v="F:\images\20210330\plaque 2/@09  Anastrozole 4 µg_L Dopé/C9_03.tif "/>
    <s v=" 432.5979 "/>
    <s v=" 64.05 "/>
    <x v="0"/>
    <n v="27708"/>
    <m/>
    <m/>
    <m/>
  </r>
  <r>
    <x v="21"/>
    <x v="3"/>
    <s v="F:\images\20210330\plaque 2/@09  Anastrozole 4 µg_L Dopé/D9_01.tif "/>
    <s v=" 2314.3987 "/>
    <s v=" 65.4019 "/>
    <x v="0"/>
    <n v="151366"/>
    <m/>
    <m/>
    <m/>
  </r>
  <r>
    <x v="21"/>
    <x v="3"/>
    <s v="F:\images\20210330\plaque 2/@09  Anastrozole 4 µg_L Dopé/D9_02.tif "/>
    <s v=" 173.0392 "/>
    <s v=" 63.25 "/>
    <x v="0"/>
    <n v="10945"/>
    <m/>
    <m/>
    <m/>
  </r>
  <r>
    <x v="21"/>
    <x v="3"/>
    <s v="F:\images\20210330\plaque 2/@09  Anastrozole 4 µg_L Dopé/D9_03.tif "/>
    <s v=" 3071.445 "/>
    <s v=" 65.7817 "/>
    <x v="0"/>
    <n v="202045"/>
    <m/>
    <m/>
    <m/>
  </r>
  <r>
    <x v="21"/>
    <x v="4"/>
    <s v="F:\images\20210330\plaque 2/@09  Anastrozole 4 µg_L Dopé/E9_01- exclu.tif"/>
    <m/>
    <m/>
    <x v="1"/>
    <m/>
    <m/>
    <m/>
    <m/>
  </r>
  <r>
    <x v="21"/>
    <x v="4"/>
    <s v="F:\images\20210330\plaque 2/@09  Anastrozole 4 µg_L Dopé/E9_02.tif "/>
    <s v=" 302.8185 "/>
    <s v=" 63.4286 "/>
    <x v="0"/>
    <n v="19207"/>
    <m/>
    <m/>
    <m/>
  </r>
  <r>
    <x v="21"/>
    <x v="4"/>
    <s v="F:\images\20210330\plaque 2/@09  Anastrozole 4 µg_L Dopé/E9_03.tif "/>
    <s v=" 454.2278 "/>
    <s v=" 66.4286 "/>
    <x v="0"/>
    <n v="30174"/>
    <m/>
    <m/>
    <m/>
  </r>
  <r>
    <x v="21"/>
    <x v="5"/>
    <s v="F:\images\20210330\plaque 2/@09  Anastrozole 4 µg_L Dopé/F9_01.tif "/>
    <s v=" 1838.541 "/>
    <s v=" 64.2471 "/>
    <x v="0"/>
    <n v="118121"/>
    <m/>
    <m/>
    <m/>
  </r>
  <r>
    <x v="21"/>
    <x v="5"/>
    <s v="F:\images\20210330\plaque 2/@09  Anastrozole 4 µg_L Dopé/F9_02.tif "/>
    <s v=" 4780.2067 "/>
    <s v=" 71.1719 "/>
    <x v="0"/>
    <n v="340217"/>
    <m/>
    <m/>
    <m/>
  </r>
  <r>
    <x v="21"/>
    <x v="5"/>
    <s v="F:\images\20210330\plaque 2/@09  Anastrozole 4 µg_L Dopé/F9_03.tif "/>
    <s v=" 3806.8615 "/>
    <s v=" 70.0341 "/>
    <x v="0"/>
    <n v="266610"/>
    <m/>
    <m/>
    <m/>
  </r>
  <r>
    <x v="21"/>
    <x v="6"/>
    <s v="F:\images\20210330\plaque 2/@09  Anastrozole 4 µg_L Dopé/G9_01.tif "/>
    <s v=" 1211.2741 "/>
    <s v=" 63.8571 "/>
    <x v="0"/>
    <n v="77349"/>
    <m/>
    <m/>
    <m/>
  </r>
  <r>
    <x v="21"/>
    <x v="6"/>
    <s v="F:\images\20210330\plaque 2/@09  Anastrozole 4 µg_L Dopé/G9_02.tif "/>
    <s v=" 713.7865 "/>
    <s v=" 63.3636 "/>
    <x v="0"/>
    <n v="45228"/>
    <m/>
    <m/>
    <m/>
  </r>
  <r>
    <x v="21"/>
    <x v="6"/>
    <s v="F:\images\20210330\plaque 2/@09  Anastrozole 4 µg_L Dopé/G9_03.tif "/>
    <s v=" 1687.1318 "/>
    <s v=" 65.3974 "/>
    <x v="0"/>
    <n v="110334"/>
    <m/>
    <m/>
    <m/>
  </r>
  <r>
    <x v="21"/>
    <x v="7"/>
    <s v="F:\images\20210330\plaque 2/@09  Anastrozole 4 µg_L Dopé/H9_01.tif "/>
    <s v=" 1708.7617 "/>
    <s v=" 64.5063 "/>
    <x v="0"/>
    <n v="110226"/>
    <m/>
    <m/>
    <m/>
  </r>
  <r>
    <x v="21"/>
    <x v="7"/>
    <s v="F:\images\20210330\plaque 2/@09  Anastrozole 4 µg_L Dopé/H9_02.tif "/>
    <s v=" 1600.6122 "/>
    <s v=" 65.2297 "/>
    <x v="0"/>
    <n v="104408"/>
    <m/>
    <m/>
    <m/>
  </r>
  <r>
    <x v="21"/>
    <x v="7"/>
    <s v="F:\images\20210330\plaque 2/@09  Anastrozole 4 µg_L Dopé/H9_03.tif "/>
    <s v=" 1016.605 "/>
    <s v=" 63.5745 "/>
    <x v="0"/>
    <n v="64630"/>
    <m/>
    <m/>
    <m/>
  </r>
  <r>
    <x v="1"/>
    <x v="8"/>
    <s v=" "/>
    <m/>
    <m/>
    <x v="1"/>
    <m/>
    <m/>
    <m/>
    <m/>
  </r>
  <r>
    <x v="1"/>
    <x v="8"/>
    <s v="group "/>
    <s v=" "/>
    <s v=" mean of mean fluo "/>
    <x v="2"/>
    <s v=" mean of total fluo "/>
    <s v=" SD total fluo "/>
    <s v=" n fluorescent "/>
    <s v=" n total"/>
  </r>
  <r>
    <x v="21"/>
    <x v="9"/>
    <s v="F:\images\20210330\plaque 2/@09  Anastrozole 4 µg_L Dopé/ "/>
    <s v=" "/>
    <s v=" 65.6249 "/>
    <x v="23"/>
    <s v=" 140732.25 "/>
    <s v=" 146860.598 "/>
    <n v="24"/>
    <n v="24"/>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3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3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5" dataDxfId="44" tableBorderDxfId="43">
  <autoFilter ref="A6:F58" xr:uid="{00000000-0009-0000-0100-000001000000}"/>
  <tableColumns count="6">
    <tableColumn id="4" xr3:uid="{00000000-0010-0000-0000-000004000000}" name="Nom sur le graphique" dataDxfId="42">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41">
      <calculatedColumnFormula>A2</calculatedColumnFormula>
    </tableColumn>
    <tableColumn id="2" xr3:uid="{00000000-0010-0000-0000-000002000000}" name="Concentration" dataDxfId="40">
      <calculatedColumnFormula>B2</calculatedColumnFormula>
    </tableColumn>
    <tableColumn id="10" xr3:uid="{00000000-0010-0000-0000-00000A000000}" name="Unité" dataDxfId="39"/>
    <tableColumn id="3" xr3:uid="{00000000-0010-0000-0000-000003000000}" name="Nom de l'échantillon donné par le client" dataDxfId="38">
      <calculatedColumnFormula>C2</calculatedColumnFormula>
    </tableColumn>
    <tableColumn id="9" xr3:uid="{00000000-0010-0000-0000-000009000000}" name="Dopage (+Testostérone / + EE2, ….)" dataDxfId="37"/>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4">
      <calculatedColumnFormula>IFERROR(LEFT(RIGHT(C2,LEN(C2)-SEARCH("@",C2)),SEARCH("/",RIGHT(C2,LEN(C2)-SEARCH("@",C2)-1))),"")</calculatedColumnFormula>
    </tableColumn>
    <tableColumn id="2" xr3:uid="{00000000-0010-0000-0200-000002000000}" name="N° de valeur" dataDxfId="33">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CF85D87F-C233-4CC2-8F5D-DCEBFAA15CE9}"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8">
      <calculatedColumnFormula>IFERROR(LEFT(RIGHT(C2,LEN(C2)-SEARCH("@",C2)),SEARCH("/",RIGHT(C2,LEN(C2)-SEARCH("@",C2)-1))),"")</calculatedColumnFormula>
    </tableColumn>
    <tableColumn id="2" xr3:uid="{00000000-0010-0000-0300-000002000000}" name="N° de valeur" dataDxfId="27">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DF8A38D5-D67D-4FA1-86FF-3367C90DC7CF}"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09C2C3B0-3952-4C16-B83D-CF5BC7511D15}"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values'!$B$74:$AK$83,4,FALSE)</calculatedColumnFormula>
    </tableColumn>
    <tableColumn id="6" xr3:uid="{00000000-0010-0000-0600-000006000000}" name="CHG-test ND" dataDxfId="6">
      <calculatedColumnFormula>HLOOKUP(Tableau3[[#This Row],[Nom ND]],'pooled normalised values'!$B$74:$AK$83,8,FALSE)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values'!$B$74:$AK$83,4,FALSE)</calculatedColumnFormula>
    </tableColumn>
    <tableColumn id="11" xr3:uid="{00000000-0010-0000-0600-00000B000000}" name="CHG-test D" dataDxfId="2">
      <calculatedColumnFormula>HLOOKUP(Tableau3[[#This Row],[Nom D]],'pooled normalised values'!$B$74:$AK$83,8,FALSE)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27" zoomScale="55" zoomScaleNormal="55" workbookViewId="0">
      <selection activeCell="E39" sqref="E39:E43"/>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5"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204" t="s">
        <v>36</v>
      </c>
      <c r="B1" s="205"/>
      <c r="C1" s="205"/>
      <c r="D1" s="205"/>
      <c r="E1" s="205"/>
      <c r="F1" s="205"/>
      <c r="G1" s="205"/>
      <c r="H1" s="205"/>
      <c r="I1" s="206"/>
    </row>
    <row r="2" spans="1:9" ht="21" x14ac:dyDescent="0.5">
      <c r="A2" s="194" t="s">
        <v>17</v>
      </c>
      <c r="B2" s="42" t="s">
        <v>115</v>
      </c>
      <c r="C2" s="207"/>
      <c r="D2" s="208"/>
      <c r="E2" s="42" t="s">
        <v>21</v>
      </c>
      <c r="F2" s="219"/>
      <c r="G2" s="220"/>
      <c r="H2" s="220"/>
      <c r="I2" s="221"/>
    </row>
    <row r="3" spans="1:9" ht="21" x14ac:dyDescent="0.5">
      <c r="A3" s="195" t="s">
        <v>18</v>
      </c>
      <c r="B3" s="43" t="s">
        <v>115</v>
      </c>
      <c r="C3" s="209"/>
      <c r="D3" s="210"/>
      <c r="E3" s="43" t="s">
        <v>21</v>
      </c>
      <c r="F3" s="216"/>
      <c r="G3" s="217"/>
      <c r="H3" s="217"/>
      <c r="I3" s="218"/>
    </row>
    <row r="4" spans="1:9" ht="21.5" thickBot="1" x14ac:dyDescent="0.55000000000000004">
      <c r="A4" s="196" t="s">
        <v>22</v>
      </c>
      <c r="B4" s="184" t="s">
        <v>115</v>
      </c>
      <c r="C4" s="211"/>
      <c r="D4" s="212"/>
      <c r="E4" s="184" t="s">
        <v>21</v>
      </c>
      <c r="F4" s="213"/>
      <c r="G4" s="214"/>
      <c r="H4" s="214"/>
      <c r="I4" s="215"/>
    </row>
    <row r="5" spans="1:9" s="1" customFormat="1" ht="65.25" customHeight="1" thickBot="1" x14ac:dyDescent="0.4">
      <c r="A5" s="204" t="s">
        <v>37</v>
      </c>
      <c r="B5" s="205"/>
      <c r="C5" s="205"/>
      <c r="D5" s="205"/>
      <c r="E5" s="205"/>
      <c r="F5" s="205"/>
      <c r="G5" s="205"/>
      <c r="H5" s="205"/>
      <c r="I5" s="206"/>
    </row>
    <row r="6" spans="1:9" s="113" customFormat="1" ht="39" customHeight="1" x14ac:dyDescent="0.5">
      <c r="A6" s="79" t="s">
        <v>35</v>
      </c>
      <c r="B6" s="104" t="s">
        <v>7</v>
      </c>
      <c r="C6" s="67" t="s">
        <v>19</v>
      </c>
      <c r="D6" s="67" t="s">
        <v>75</v>
      </c>
      <c r="E6" s="162" t="s">
        <v>51</v>
      </c>
      <c r="F6" s="112" t="s">
        <v>78</v>
      </c>
    </row>
    <row r="7" spans="1:9" s="171" customFormat="1" ht="39" customHeight="1" x14ac:dyDescent="0.5">
      <c r="A7"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7" t="s">
        <v>123</v>
      </c>
      <c r="C7" s="168"/>
      <c r="D7" s="169"/>
      <c r="E7" s="170" t="s">
        <v>125</v>
      </c>
      <c r="F7" s="114"/>
    </row>
    <row r="8" spans="1:9" s="171" customFormat="1" ht="39" customHeight="1" x14ac:dyDescent="0.5">
      <c r="A8"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7" t="s">
        <v>123</v>
      </c>
      <c r="C8" s="168">
        <v>22.5</v>
      </c>
      <c r="D8" s="169" t="s">
        <v>124</v>
      </c>
      <c r="E8" s="170" t="s">
        <v>126</v>
      </c>
      <c r="F8" s="114"/>
    </row>
    <row r="9" spans="1:9" s="171" customFormat="1" ht="39" customHeight="1" x14ac:dyDescent="0.5">
      <c r="A9"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7" t="s">
        <v>123</v>
      </c>
      <c r="C9" s="168">
        <v>33.799999999999997</v>
      </c>
      <c r="D9" s="169" t="s">
        <v>124</v>
      </c>
      <c r="E9" s="170" t="s">
        <v>126</v>
      </c>
      <c r="F9" s="114"/>
    </row>
    <row r="10" spans="1:9" s="171" customFormat="1" ht="39" customHeight="1" x14ac:dyDescent="0.5">
      <c r="A10"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7" t="s">
        <v>123</v>
      </c>
      <c r="C10" s="168">
        <v>50.6</v>
      </c>
      <c r="D10" s="169" t="s">
        <v>124</v>
      </c>
      <c r="E10" s="170" t="s">
        <v>126</v>
      </c>
      <c r="F10" s="114"/>
    </row>
    <row r="11" spans="1:9" s="171" customFormat="1" ht="39" customHeight="1" x14ac:dyDescent="0.5">
      <c r="A11"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7" t="s">
        <v>123</v>
      </c>
      <c r="C11" s="168">
        <v>76</v>
      </c>
      <c r="D11" s="169" t="s">
        <v>124</v>
      </c>
      <c r="E11" s="170" t="s">
        <v>126</v>
      </c>
      <c r="F11" s="114"/>
    </row>
    <row r="12" spans="1:9" s="171" customFormat="1" ht="39" customHeight="1" x14ac:dyDescent="0.5">
      <c r="A12"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7" t="s">
        <v>123</v>
      </c>
      <c r="C12" s="168">
        <v>114</v>
      </c>
      <c r="D12" s="169" t="s">
        <v>124</v>
      </c>
      <c r="E12" s="170" t="s">
        <v>126</v>
      </c>
      <c r="F12" s="114"/>
    </row>
    <row r="13" spans="1:9" s="171" customFormat="1" ht="39" customHeight="1" x14ac:dyDescent="0.5">
      <c r="A13"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7" t="s">
        <v>123</v>
      </c>
      <c r="C13" s="168">
        <v>170.9</v>
      </c>
      <c r="D13" s="169" t="s">
        <v>124</v>
      </c>
      <c r="E13" s="170" t="s">
        <v>126</v>
      </c>
      <c r="F13" s="114"/>
    </row>
    <row r="14" spans="1:9" s="171" customFormat="1" ht="39" customHeight="1" x14ac:dyDescent="0.5">
      <c r="A14"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7" t="s">
        <v>123</v>
      </c>
      <c r="C14" s="168">
        <v>488</v>
      </c>
      <c r="D14" s="169" t="s">
        <v>124</v>
      </c>
      <c r="E14" s="170" t="s">
        <v>126</v>
      </c>
      <c r="F14" s="114"/>
    </row>
    <row r="15" spans="1:9" s="171" customFormat="1" ht="39" customHeight="1" x14ac:dyDescent="0.5">
      <c r="A15" s="166" t="s">
        <v>4310</v>
      </c>
      <c r="B15" s="167"/>
      <c r="C15" s="168">
        <v>3.2000000000000001E-2</v>
      </c>
      <c r="D15" s="169" t="s">
        <v>4309</v>
      </c>
      <c r="E15" s="170"/>
      <c r="F15" s="114"/>
    </row>
    <row r="16" spans="1:9" s="115" customFormat="1" ht="39" customHeight="1" x14ac:dyDescent="0.35">
      <c r="A16" s="166" t="s">
        <v>4311</v>
      </c>
      <c r="B16" s="40"/>
      <c r="C16" s="109">
        <v>0.16</v>
      </c>
      <c r="D16" s="169" t="s">
        <v>4309</v>
      </c>
      <c r="E16" s="40"/>
      <c r="F16" s="114"/>
    </row>
    <row r="17" spans="1:6" s="115" customFormat="1" ht="39" customHeight="1" x14ac:dyDescent="0.35">
      <c r="A17" s="166" t="s">
        <v>4312</v>
      </c>
      <c r="B17" s="105"/>
      <c r="C17" s="109">
        <v>0.8</v>
      </c>
      <c r="D17" s="169" t="s">
        <v>4309</v>
      </c>
      <c r="E17" s="105"/>
      <c r="F17" s="114"/>
    </row>
    <row r="18" spans="1:6" s="115" customFormat="1" ht="39" customHeight="1" x14ac:dyDescent="0.35">
      <c r="A18" s="166" t="s">
        <v>4313</v>
      </c>
      <c r="B18" s="40"/>
      <c r="C18" s="109">
        <v>4</v>
      </c>
      <c r="D18" s="169" t="s">
        <v>4309</v>
      </c>
      <c r="E18" s="40"/>
      <c r="F18" s="114"/>
    </row>
    <row r="19" spans="1:6" s="115" customFormat="1" ht="39" customHeight="1" x14ac:dyDescent="0.35">
      <c r="A19" s="166" t="s">
        <v>4314</v>
      </c>
      <c r="B19" s="105"/>
      <c r="C19" s="109">
        <v>20</v>
      </c>
      <c r="D19" s="169" t="s">
        <v>4309</v>
      </c>
      <c r="E19" s="105"/>
      <c r="F19" s="114"/>
    </row>
    <row r="20" spans="1:6" s="115" customFormat="1" ht="39" customHeight="1" x14ac:dyDescent="0.35">
      <c r="A2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9"/>
      <c r="D20" s="109"/>
      <c r="E20" s="40"/>
      <c r="F20" s="114"/>
    </row>
    <row r="21" spans="1:6" s="115" customFormat="1" ht="39" customHeight="1" x14ac:dyDescent="0.35">
      <c r="A2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5"/>
      <c r="C21" s="109"/>
      <c r="D21" s="109"/>
      <c r="E21" s="105"/>
      <c r="F21" s="114"/>
    </row>
    <row r="22" spans="1:6" s="115" customFormat="1" ht="39" customHeight="1" x14ac:dyDescent="0.35">
      <c r="A2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9"/>
      <c r="D22" s="109"/>
      <c r="E22" s="40"/>
      <c r="F22" s="114"/>
    </row>
    <row r="23" spans="1:6" s="115" customFormat="1" ht="39" customHeight="1" x14ac:dyDescent="0.35">
      <c r="A2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5"/>
      <c r="C23" s="109"/>
      <c r="D23" s="109"/>
      <c r="E23" s="105"/>
      <c r="F23" s="114"/>
    </row>
    <row r="24" spans="1:6" s="115" customFormat="1" ht="39" customHeight="1" x14ac:dyDescent="0.35">
      <c r="A2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9"/>
      <c r="D24" s="109"/>
      <c r="E24" s="40"/>
      <c r="F24" s="114"/>
    </row>
    <row r="25" spans="1:6" s="115" customFormat="1" ht="39" customHeight="1" x14ac:dyDescent="0.35">
      <c r="A25"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5"/>
      <c r="C25" s="109"/>
      <c r="D25" s="109"/>
      <c r="E25" s="105"/>
      <c r="F25" s="114"/>
    </row>
    <row r="26" spans="1:6" s="115" customFormat="1" ht="39" customHeight="1" x14ac:dyDescent="0.35">
      <c r="A26"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9"/>
      <c r="D26" s="109"/>
      <c r="E26" s="40"/>
      <c r="F26" s="114"/>
    </row>
    <row r="27" spans="1:6" s="115" customFormat="1" ht="39" customHeight="1" x14ac:dyDescent="0.35">
      <c r="A27"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5"/>
      <c r="C27" s="109"/>
      <c r="D27" s="109"/>
      <c r="E27" s="105"/>
      <c r="F27" s="114"/>
    </row>
    <row r="28" spans="1:6" s="115" customFormat="1" ht="39" customHeight="1" x14ac:dyDescent="0.35">
      <c r="A28"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9"/>
      <c r="D28" s="109"/>
      <c r="E28" s="40"/>
      <c r="F28" s="114"/>
    </row>
    <row r="29" spans="1:6" s="115" customFormat="1" ht="39" customHeight="1" x14ac:dyDescent="0.35">
      <c r="A29"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5"/>
      <c r="C29" s="109"/>
      <c r="D29" s="109"/>
      <c r="E29" s="105"/>
      <c r="F29" s="114"/>
    </row>
    <row r="30" spans="1:6" s="115" customFormat="1" ht="39" customHeight="1" x14ac:dyDescent="0.35">
      <c r="A30"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9"/>
      <c r="D30" s="118"/>
      <c r="E30" s="40"/>
      <c r="F30" s="114"/>
    </row>
    <row r="31" spans="1:6" s="115" customFormat="1" ht="39" customHeight="1" x14ac:dyDescent="0.35">
      <c r="A31"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5"/>
      <c r="C31" s="109"/>
      <c r="D31" s="118"/>
      <c r="E31" s="105"/>
      <c r="F31" s="114"/>
    </row>
    <row r="32" spans="1:6" s="115" customFormat="1" ht="39" customHeight="1" x14ac:dyDescent="0.35">
      <c r="A32"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9"/>
      <c r="D32" s="118"/>
      <c r="E32" s="40"/>
      <c r="F32" s="114"/>
    </row>
    <row r="33" spans="1:6" s="115" customFormat="1" ht="39" customHeight="1" x14ac:dyDescent="0.35">
      <c r="A33"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5"/>
      <c r="C33" s="109"/>
      <c r="D33" s="118"/>
      <c r="E33" s="105"/>
      <c r="F33" s="114"/>
    </row>
    <row r="34" spans="1:6" s="115" customFormat="1" ht="39" customHeight="1" x14ac:dyDescent="0.35">
      <c r="A34" s="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9"/>
      <c r="D34" s="118"/>
      <c r="E34" s="40"/>
      <c r="F34" s="114"/>
    </row>
    <row r="35" spans="1:6" s="115" customFormat="1" ht="39" customHeight="1" thickBot="1" x14ac:dyDescent="0.4">
      <c r="A35" s="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72"/>
      <c r="C35" s="173"/>
      <c r="D35" s="119"/>
      <c r="E35" s="172"/>
      <c r="F35" s="114"/>
    </row>
    <row r="36" spans="1:6" s="115" customFormat="1" ht="39" customHeight="1" x14ac:dyDescent="0.35">
      <c r="A36"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6" t="s">
        <v>123</v>
      </c>
      <c r="C36" s="110">
        <v>30</v>
      </c>
      <c r="D36" s="120" t="s">
        <v>127</v>
      </c>
      <c r="E36" s="163" t="s">
        <v>20</v>
      </c>
      <c r="F36" s="175"/>
    </row>
    <row r="37" spans="1:6" s="115" customFormat="1" ht="39" customHeight="1" x14ac:dyDescent="0.35">
      <c r="A37" s="17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7" t="s">
        <v>123</v>
      </c>
      <c r="C37" s="111">
        <v>64</v>
      </c>
      <c r="D37" s="121" t="s">
        <v>124</v>
      </c>
      <c r="E37" s="164" t="s">
        <v>128</v>
      </c>
      <c r="F37" s="177"/>
    </row>
    <row r="38" spans="1:6" s="115" customFormat="1" ht="39" customHeight="1" thickBot="1" x14ac:dyDescent="0.4">
      <c r="A38" s="17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9" t="s">
        <v>123</v>
      </c>
      <c r="C38" s="180">
        <v>10</v>
      </c>
      <c r="D38" s="181" t="s">
        <v>129</v>
      </c>
      <c r="E38" s="182" t="s">
        <v>130</v>
      </c>
      <c r="F38" s="183"/>
    </row>
    <row r="39" spans="1:6" s="115" customFormat="1" ht="39" customHeight="1" thickBot="1" x14ac:dyDescent="0.4">
      <c r="A39" s="5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Anastrozole-0,032ug/L + Testostérone</v>
      </c>
      <c r="B39" s="197">
        <f>B15</f>
        <v>0</v>
      </c>
      <c r="C39" s="197">
        <f t="shared" ref="C39:D39" si="0">C15</f>
        <v>3.2000000000000001E-2</v>
      </c>
      <c r="D39" s="197" t="str">
        <f t="shared" si="0"/>
        <v>ug/L</v>
      </c>
      <c r="E39" s="197" t="s">
        <v>4315</v>
      </c>
      <c r="F39" s="116" t="s">
        <v>50</v>
      </c>
    </row>
    <row r="40" spans="1:6" s="115" customFormat="1" ht="39" customHeight="1" thickBot="1" x14ac:dyDescent="0.4">
      <c r="A4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Anastrozole-0,16ug/L + Testostérone</v>
      </c>
      <c r="B40" s="199">
        <f t="shared" ref="B40:D40" si="1">B16</f>
        <v>0</v>
      </c>
      <c r="C40" s="199">
        <f t="shared" si="1"/>
        <v>0.16</v>
      </c>
      <c r="D40" s="199" t="str">
        <f t="shared" si="1"/>
        <v>ug/L</v>
      </c>
      <c r="E40" s="197" t="s">
        <v>4315</v>
      </c>
      <c r="F40" s="117" t="s">
        <v>50</v>
      </c>
    </row>
    <row r="41" spans="1:6" s="115" customFormat="1" ht="39" customHeight="1" thickBot="1" x14ac:dyDescent="0.4">
      <c r="A4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Anastrozole-0,8ug/L + Testostérone</v>
      </c>
      <c r="B41" s="199">
        <f t="shared" ref="B41:D41" si="2">B17</f>
        <v>0</v>
      </c>
      <c r="C41" s="199">
        <f t="shared" si="2"/>
        <v>0.8</v>
      </c>
      <c r="D41" s="199" t="str">
        <f t="shared" si="2"/>
        <v>ug/L</v>
      </c>
      <c r="E41" s="197" t="s">
        <v>4315</v>
      </c>
      <c r="F41" s="117" t="s">
        <v>50</v>
      </c>
    </row>
    <row r="42" spans="1:6" s="115" customFormat="1" ht="39" customHeight="1" thickBot="1" x14ac:dyDescent="0.4">
      <c r="A4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Anastrozole-4ug/L + Testostérone</v>
      </c>
      <c r="B42" s="199">
        <f t="shared" ref="B42:D42" si="3">B18</f>
        <v>0</v>
      </c>
      <c r="C42" s="199">
        <f t="shared" si="3"/>
        <v>4</v>
      </c>
      <c r="D42" s="199" t="str">
        <f t="shared" si="3"/>
        <v>ug/L</v>
      </c>
      <c r="E42" s="197" t="s">
        <v>4315</v>
      </c>
      <c r="F42" s="117" t="s">
        <v>50</v>
      </c>
    </row>
    <row r="43" spans="1:6" s="115" customFormat="1" ht="39" customHeight="1" x14ac:dyDescent="0.35">
      <c r="A4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Anastrozole-20ug/L + Testostérone</v>
      </c>
      <c r="B43" s="199">
        <f t="shared" ref="B43:D43" si="4">B19</f>
        <v>0</v>
      </c>
      <c r="C43" s="199">
        <f t="shared" si="4"/>
        <v>20</v>
      </c>
      <c r="D43" s="199" t="str">
        <f t="shared" si="4"/>
        <v>ug/L</v>
      </c>
      <c r="E43" s="197" t="s">
        <v>4315</v>
      </c>
      <c r="F43" s="117" t="s">
        <v>50</v>
      </c>
    </row>
    <row r="44" spans="1:6" s="115" customFormat="1" ht="39" customHeight="1" x14ac:dyDescent="0.35">
      <c r="A4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9">
        <f t="shared" ref="B44:E44" si="5">B20</f>
        <v>0</v>
      </c>
      <c r="C44" s="199">
        <f t="shared" si="5"/>
        <v>0</v>
      </c>
      <c r="D44" s="199">
        <f t="shared" si="5"/>
        <v>0</v>
      </c>
      <c r="E44" s="199">
        <f t="shared" si="5"/>
        <v>0</v>
      </c>
      <c r="F44" s="117" t="s">
        <v>50</v>
      </c>
    </row>
    <row r="45" spans="1:6" s="115" customFormat="1" ht="39" customHeight="1" x14ac:dyDescent="0.35">
      <c r="A4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9">
        <f t="shared" ref="B45:E45" si="6">B21</f>
        <v>0</v>
      </c>
      <c r="C45" s="199">
        <f t="shared" si="6"/>
        <v>0</v>
      </c>
      <c r="D45" s="199">
        <f t="shared" si="6"/>
        <v>0</v>
      </c>
      <c r="E45" s="199">
        <f t="shared" si="6"/>
        <v>0</v>
      </c>
      <c r="F45" s="117" t="s">
        <v>50</v>
      </c>
    </row>
    <row r="46" spans="1:6" s="115" customFormat="1" ht="39" customHeight="1" x14ac:dyDescent="0.35">
      <c r="A4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9">
        <f t="shared" ref="B46:E46" si="7">B22</f>
        <v>0</v>
      </c>
      <c r="C46" s="199">
        <f t="shared" si="7"/>
        <v>0</v>
      </c>
      <c r="D46" s="199">
        <f t="shared" si="7"/>
        <v>0</v>
      </c>
      <c r="E46" s="199">
        <f t="shared" si="7"/>
        <v>0</v>
      </c>
      <c r="F46" s="117" t="s">
        <v>50</v>
      </c>
    </row>
    <row r="47" spans="1:6" s="115" customFormat="1" ht="39" customHeight="1" x14ac:dyDescent="0.35">
      <c r="A4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9">
        <f t="shared" ref="B47:E47" si="8">B23</f>
        <v>0</v>
      </c>
      <c r="C47" s="199">
        <f t="shared" si="8"/>
        <v>0</v>
      </c>
      <c r="D47" s="199">
        <f t="shared" si="8"/>
        <v>0</v>
      </c>
      <c r="E47" s="199">
        <f t="shared" si="8"/>
        <v>0</v>
      </c>
      <c r="F47" s="117" t="s">
        <v>50</v>
      </c>
    </row>
    <row r="48" spans="1:6" s="115" customFormat="1" ht="39" customHeight="1" x14ac:dyDescent="0.35">
      <c r="A48"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9">
        <f t="shared" ref="B48:E48" si="9">B24</f>
        <v>0</v>
      </c>
      <c r="C48" s="199">
        <f t="shared" si="9"/>
        <v>0</v>
      </c>
      <c r="D48" s="199">
        <f t="shared" si="9"/>
        <v>0</v>
      </c>
      <c r="E48" s="199">
        <f t="shared" si="9"/>
        <v>0</v>
      </c>
      <c r="F48" s="117" t="s">
        <v>50</v>
      </c>
    </row>
    <row r="49" spans="1:6" s="115" customFormat="1" ht="39" customHeight="1" x14ac:dyDescent="0.35">
      <c r="A49"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9">
        <f t="shared" ref="B49:E49" si="10">B25</f>
        <v>0</v>
      </c>
      <c r="C49" s="199">
        <f t="shared" si="10"/>
        <v>0</v>
      </c>
      <c r="D49" s="199">
        <f t="shared" si="10"/>
        <v>0</v>
      </c>
      <c r="E49" s="199">
        <f t="shared" si="10"/>
        <v>0</v>
      </c>
      <c r="F49" s="117" t="s">
        <v>50</v>
      </c>
    </row>
    <row r="50" spans="1:6" s="115" customFormat="1" ht="39" customHeight="1" x14ac:dyDescent="0.35">
      <c r="A50"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9">
        <f t="shared" ref="B50:E50" si="11">B26</f>
        <v>0</v>
      </c>
      <c r="C50" s="199">
        <f t="shared" si="11"/>
        <v>0</v>
      </c>
      <c r="D50" s="199">
        <f t="shared" si="11"/>
        <v>0</v>
      </c>
      <c r="E50" s="199">
        <f t="shared" si="11"/>
        <v>0</v>
      </c>
      <c r="F50" s="117" t="s">
        <v>50</v>
      </c>
    </row>
    <row r="51" spans="1:6" s="115" customFormat="1" ht="39" customHeight="1" x14ac:dyDescent="0.35">
      <c r="A51"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9">
        <f t="shared" ref="B51:E51" si="12">B27</f>
        <v>0</v>
      </c>
      <c r="C51" s="199">
        <f t="shared" si="12"/>
        <v>0</v>
      </c>
      <c r="D51" s="199">
        <f t="shared" si="12"/>
        <v>0</v>
      </c>
      <c r="E51" s="199">
        <f t="shared" si="12"/>
        <v>0</v>
      </c>
      <c r="F51" s="117" t="s">
        <v>50</v>
      </c>
    </row>
    <row r="52" spans="1:6" s="115" customFormat="1" ht="39" customHeight="1" x14ac:dyDescent="0.35">
      <c r="A52"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9">
        <f t="shared" ref="B52:E52" si="13">B28</f>
        <v>0</v>
      </c>
      <c r="C52" s="199">
        <f t="shared" si="13"/>
        <v>0</v>
      </c>
      <c r="D52" s="199">
        <f t="shared" si="13"/>
        <v>0</v>
      </c>
      <c r="E52" s="199">
        <f t="shared" si="13"/>
        <v>0</v>
      </c>
      <c r="F52" s="117" t="s">
        <v>50</v>
      </c>
    </row>
    <row r="53" spans="1:6" s="115" customFormat="1" ht="39" customHeight="1" x14ac:dyDescent="0.35">
      <c r="A53"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9">
        <f t="shared" ref="B53:E53" si="14">B29</f>
        <v>0</v>
      </c>
      <c r="C53" s="199">
        <f t="shared" si="14"/>
        <v>0</v>
      </c>
      <c r="D53" s="199">
        <f t="shared" si="14"/>
        <v>0</v>
      </c>
      <c r="E53" s="199">
        <f t="shared" si="14"/>
        <v>0</v>
      </c>
      <c r="F53" s="117" t="s">
        <v>50</v>
      </c>
    </row>
    <row r="54" spans="1:6" s="115" customFormat="1" ht="39" customHeight="1" x14ac:dyDescent="0.35">
      <c r="A54"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9">
        <f t="shared" ref="B54:E54" si="15">B30</f>
        <v>0</v>
      </c>
      <c r="C54" s="199">
        <f t="shared" si="15"/>
        <v>0</v>
      </c>
      <c r="D54" s="199">
        <f t="shared" si="15"/>
        <v>0</v>
      </c>
      <c r="E54" s="199">
        <f t="shared" si="15"/>
        <v>0</v>
      </c>
      <c r="F54" s="117" t="s">
        <v>50</v>
      </c>
    </row>
    <row r="55" spans="1:6" s="115" customFormat="1" ht="39" customHeight="1" x14ac:dyDescent="0.35">
      <c r="A55"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9">
        <f t="shared" ref="B55:E55" si="16">B31</f>
        <v>0</v>
      </c>
      <c r="C55" s="199">
        <f t="shared" si="16"/>
        <v>0</v>
      </c>
      <c r="D55" s="199">
        <f t="shared" si="16"/>
        <v>0</v>
      </c>
      <c r="E55" s="199">
        <f t="shared" si="16"/>
        <v>0</v>
      </c>
      <c r="F55" s="117" t="s">
        <v>50</v>
      </c>
    </row>
    <row r="56" spans="1:6" s="115" customFormat="1" ht="39" customHeight="1" x14ac:dyDescent="0.35">
      <c r="A56"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9">
        <f t="shared" ref="B56:E56" si="17">B32</f>
        <v>0</v>
      </c>
      <c r="C56" s="199">
        <f t="shared" si="17"/>
        <v>0</v>
      </c>
      <c r="D56" s="199">
        <f t="shared" si="17"/>
        <v>0</v>
      </c>
      <c r="E56" s="199">
        <f t="shared" si="17"/>
        <v>0</v>
      </c>
      <c r="F56" s="117" t="s">
        <v>50</v>
      </c>
    </row>
    <row r="57" spans="1:6" s="115" customFormat="1" ht="39" customHeight="1" x14ac:dyDescent="0.35">
      <c r="A57" s="7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9">
        <f t="shared" ref="B57:E57" si="18">B33</f>
        <v>0</v>
      </c>
      <c r="C57" s="199">
        <f t="shared" si="18"/>
        <v>0</v>
      </c>
      <c r="D57" s="199">
        <f t="shared" si="18"/>
        <v>0</v>
      </c>
      <c r="E57" s="199">
        <f t="shared" si="18"/>
        <v>0</v>
      </c>
      <c r="F57" s="117" t="s">
        <v>50</v>
      </c>
    </row>
    <row r="58" spans="1:6" s="115" customFormat="1" ht="39" customHeight="1" x14ac:dyDescent="0.35">
      <c r="A58" s="10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8">
        <f t="shared" ref="B58:E58" si="19">B34</f>
        <v>0</v>
      </c>
      <c r="C58" s="198">
        <f t="shared" si="19"/>
        <v>0</v>
      </c>
      <c r="D58" s="198">
        <f t="shared" si="19"/>
        <v>0</v>
      </c>
      <c r="E58" s="198">
        <f t="shared" si="19"/>
        <v>0</v>
      </c>
      <c r="F58" s="117"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M1" zoomScale="70" zoomScaleNormal="70" workbookViewId="0">
      <selection activeCell="Z5" sqref="Z5:AF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30" width="11.453125" style="1"/>
    <col min="31" max="31" width="11.453125" style="1" customWidth="1"/>
    <col min="32" max="32" width="32.81640625" style="1" customWidth="1"/>
    <col min="33" max="16384" width="11.453125" style="1"/>
  </cols>
  <sheetData>
    <row r="1" spans="1:144" x14ac:dyDescent="0.35">
      <c r="A1" s="1" t="s">
        <v>107</v>
      </c>
      <c r="B1" s="1" t="s">
        <v>108</v>
      </c>
      <c r="C1" s="1" t="s">
        <v>109</v>
      </c>
      <c r="D1" s="1" t="s">
        <v>110</v>
      </c>
      <c r="E1" s="1" t="s">
        <v>111</v>
      </c>
      <c r="F1" s="1" t="s">
        <v>112</v>
      </c>
      <c r="G1" s="1" t="s">
        <v>113</v>
      </c>
      <c r="H1" s="1" t="s">
        <v>117</v>
      </c>
      <c r="I1" s="1" t="s">
        <v>118</v>
      </c>
      <c r="J1" s="1" t="s">
        <v>1574</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D2" s="1" t="s">
        <v>167</v>
      </c>
      <c r="E2" s="1" t="s">
        <v>168</v>
      </c>
      <c r="F2" s="1" t="s">
        <v>112</v>
      </c>
      <c r="G2" s="1">
        <v>469250</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169</v>
      </c>
      <c r="D3" s="1" t="s">
        <v>170</v>
      </c>
      <c r="E3" s="1" t="s">
        <v>171</v>
      </c>
      <c r="F3" s="1" t="s">
        <v>112</v>
      </c>
      <c r="G3" s="1">
        <v>377580</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172</v>
      </c>
      <c r="D4" s="1" t="s">
        <v>173</v>
      </c>
      <c r="E4" s="1" t="s">
        <v>174</v>
      </c>
      <c r="F4" s="1" t="s">
        <v>112</v>
      </c>
      <c r="G4" s="1">
        <v>154952</v>
      </c>
      <c r="K4" s="122" t="s">
        <v>100</v>
      </c>
      <c r="L4" s="1" t="s">
        <v>1575</v>
      </c>
      <c r="M4" s="1" t="s">
        <v>1576</v>
      </c>
      <c r="N4" s="1" t="s">
        <v>1577</v>
      </c>
      <c r="O4" s="1" t="s">
        <v>1578</v>
      </c>
      <c r="P4" s="1" t="s">
        <v>1579</v>
      </c>
      <c r="Q4" s="1" t="s">
        <v>1580</v>
      </c>
      <c r="R4" s="1" t="s">
        <v>1581</v>
      </c>
      <c r="S4" s="1" t="s">
        <v>1582</v>
      </c>
      <c r="T4" s="1" t="s">
        <v>1583</v>
      </c>
      <c r="U4" s="1" t="s">
        <v>1584</v>
      </c>
      <c r="V4" s="1" t="s">
        <v>1585</v>
      </c>
      <c r="W4" s="1" t="s">
        <v>1586</v>
      </c>
      <c r="X4" s="1" t="s">
        <v>1587</v>
      </c>
      <c r="Y4" s="1" t="s">
        <v>1588</v>
      </c>
      <c r="Z4" s="1" t="s">
        <v>1589</v>
      </c>
      <c r="AA4" s="1" t="s">
        <v>1590</v>
      </c>
      <c r="AB4" s="1" t="s">
        <v>1591</v>
      </c>
      <c r="AC4" s="1" t="s">
        <v>1592</v>
      </c>
      <c r="AD4" s="1" t="s">
        <v>1593</v>
      </c>
      <c r="AE4" s="1" t="s">
        <v>1594</v>
      </c>
      <c r="AF4" s="1" t="s">
        <v>1595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175</v>
      </c>
      <c r="D5" s="1" t="s">
        <v>176</v>
      </c>
      <c r="E5" s="1" t="s">
        <v>177</v>
      </c>
      <c r="F5" s="1" t="s">
        <v>112</v>
      </c>
      <c r="G5" s="1">
        <v>179773</v>
      </c>
      <c r="K5" s="149" t="s">
        <v>164</v>
      </c>
      <c r="L5" s="44">
        <v>333927.33333333331</v>
      </c>
      <c r="M5" s="44">
        <v>154451.66666666666</v>
      </c>
      <c r="N5" s="44">
        <v>418999</v>
      </c>
      <c r="O5" s="44">
        <v>1406641.5</v>
      </c>
      <c r="P5" s="44">
        <v>1579246.5</v>
      </c>
      <c r="Q5" s="44">
        <v>4877416.666666667</v>
      </c>
      <c r="R5" s="44">
        <v>7861807</v>
      </c>
      <c r="S5" s="44">
        <v>376093.66666666669</v>
      </c>
      <c r="T5" s="44">
        <v>630511</v>
      </c>
      <c r="U5" s="44">
        <v>225448.66666666666</v>
      </c>
      <c r="V5" s="44">
        <v>116505.66666666667</v>
      </c>
      <c r="W5" s="44">
        <v>800375</v>
      </c>
      <c r="X5" s="44">
        <v>2015137</v>
      </c>
      <c r="Y5" s="44">
        <v>2196259</v>
      </c>
      <c r="Z5" s="44">
        <v>2925532</v>
      </c>
      <c r="AA5" s="44">
        <v>67226.333333333328</v>
      </c>
      <c r="AB5" s="44">
        <v>605508.66666666663</v>
      </c>
      <c r="AC5" s="44">
        <v>78393.333333333328</v>
      </c>
      <c r="AD5" s="44">
        <v>49352</v>
      </c>
      <c r="AE5" s="44">
        <v>715357.66666666663</v>
      </c>
      <c r="AF5" s="44">
        <v>348603.66666666669</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178</v>
      </c>
      <c r="D6" s="1" t="s">
        <v>179</v>
      </c>
      <c r="E6" s="1" t="s">
        <v>180</v>
      </c>
      <c r="F6" s="1" t="s">
        <v>112</v>
      </c>
      <c r="G6" s="1">
        <v>22863</v>
      </c>
      <c r="K6" s="149" t="s">
        <v>1596</v>
      </c>
      <c r="L6" s="44">
        <v>83041.333333333328</v>
      </c>
      <c r="M6" s="44">
        <v>65283</v>
      </c>
      <c r="N6" s="44">
        <v>325784.33333333331</v>
      </c>
      <c r="O6" s="44">
        <v>1002195.6666666666</v>
      </c>
      <c r="P6" s="44">
        <v>1011332</v>
      </c>
      <c r="Q6" s="44">
        <v>5322179.333333333</v>
      </c>
      <c r="R6" s="44">
        <v>6430729.333333333</v>
      </c>
      <c r="S6" s="44">
        <v>215696</v>
      </c>
      <c r="T6" s="44">
        <v>222280</v>
      </c>
      <c r="U6" s="44">
        <v>208611.33333333334</v>
      </c>
      <c r="V6" s="44">
        <v>27953.666666666668</v>
      </c>
      <c r="W6" s="44">
        <v>266581</v>
      </c>
      <c r="X6" s="44">
        <v>2180052.3333333335</v>
      </c>
      <c r="Y6" s="44">
        <v>1584217.5</v>
      </c>
      <c r="Z6" s="44">
        <v>6507614.333333333</v>
      </c>
      <c r="AA6" s="44">
        <v>181687.33333333334</v>
      </c>
      <c r="AB6" s="44">
        <v>1502815</v>
      </c>
      <c r="AC6" s="44">
        <v>2103124</v>
      </c>
      <c r="AD6" s="44">
        <v>344035.5</v>
      </c>
      <c r="AE6" s="44">
        <v>361525.66666666669</v>
      </c>
      <c r="AF6" s="44">
        <v>186531.33333333334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181</v>
      </c>
      <c r="D7" s="1" t="s">
        <v>182</v>
      </c>
      <c r="E7" s="1" t="s">
        <v>183</v>
      </c>
      <c r="F7" s="1" t="s">
        <v>112</v>
      </c>
      <c r="G7" s="1">
        <v>46488</v>
      </c>
      <c r="K7" s="149" t="s">
        <v>1597</v>
      </c>
      <c r="L7" s="44">
        <v>698933.66666666663</v>
      </c>
      <c r="M7" s="44">
        <v>29969.333333333332</v>
      </c>
      <c r="N7" s="44">
        <v>59268</v>
      </c>
      <c r="O7" s="44">
        <v>1129527.6666666667</v>
      </c>
      <c r="P7" s="44">
        <v>166561.33333333334</v>
      </c>
      <c r="Q7" s="44"/>
      <c r="R7" s="44">
        <v>6716704</v>
      </c>
      <c r="S7" s="44">
        <v>170593</v>
      </c>
      <c r="T7" s="44">
        <v>311651.33333333331</v>
      </c>
      <c r="U7" s="44">
        <v>426649</v>
      </c>
      <c r="V7" s="44">
        <v>107717.33333333333</v>
      </c>
      <c r="W7" s="44">
        <v>264982.66666666669</v>
      </c>
      <c r="X7" s="44">
        <v>3341695.6666666665</v>
      </c>
      <c r="Y7" s="44">
        <v>3401402.6666666665</v>
      </c>
      <c r="Z7" s="44">
        <v>3250837.3333333335</v>
      </c>
      <c r="AA7" s="44">
        <v>29835</v>
      </c>
      <c r="AB7" s="44">
        <v>1131949.3333333333</v>
      </c>
      <c r="AC7" s="44">
        <v>1233133.3333333333</v>
      </c>
      <c r="AD7" s="44">
        <v>247086.33333333334</v>
      </c>
      <c r="AE7" s="44">
        <v>41738.333333333336</v>
      </c>
      <c r="AF7" s="44">
        <v>195457.33333333334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184</v>
      </c>
      <c r="D8" s="1" t="s">
        <v>185</v>
      </c>
      <c r="E8" s="1" t="s">
        <v>186</v>
      </c>
      <c r="F8" s="1" t="s">
        <v>112</v>
      </c>
      <c r="G8" s="1">
        <v>766015</v>
      </c>
      <c r="K8" s="149" t="s">
        <v>1598</v>
      </c>
      <c r="L8" s="44">
        <v>653613.5</v>
      </c>
      <c r="M8" s="44">
        <v>26974.333333333332</v>
      </c>
      <c r="N8" s="44">
        <v>84593</v>
      </c>
      <c r="O8" s="44">
        <v>807883.66666666663</v>
      </c>
      <c r="P8" s="44">
        <v>2014213</v>
      </c>
      <c r="Q8" s="44">
        <v>2960055</v>
      </c>
      <c r="R8" s="44">
        <v>8495160.666666666</v>
      </c>
      <c r="S8" s="44">
        <v>116476.66666666667</v>
      </c>
      <c r="T8" s="44">
        <v>149078.66666666666</v>
      </c>
      <c r="U8" s="44">
        <v>164030.66666666666</v>
      </c>
      <c r="V8" s="44">
        <v>158193.33333333334</v>
      </c>
      <c r="W8" s="44">
        <v>226906</v>
      </c>
      <c r="X8" s="44">
        <v>1320540</v>
      </c>
      <c r="Y8" s="44">
        <v>220387</v>
      </c>
      <c r="Z8" s="44">
        <v>2818144.5</v>
      </c>
      <c r="AA8" s="44">
        <v>22370</v>
      </c>
      <c r="AB8" s="44">
        <v>1714776</v>
      </c>
      <c r="AC8" s="44">
        <v>1219551.6666666667</v>
      </c>
      <c r="AD8" s="44">
        <v>13785</v>
      </c>
      <c r="AE8" s="44">
        <v>131595.66666666666</v>
      </c>
      <c r="AF8" s="44">
        <v>343985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187</v>
      </c>
      <c r="D9" s="1" t="s">
        <v>188</v>
      </c>
      <c r="E9" s="1" t="s">
        <v>189</v>
      </c>
      <c r="F9" s="1" t="s">
        <v>112</v>
      </c>
      <c r="G9" s="1">
        <v>589984</v>
      </c>
      <c r="K9" s="149" t="s">
        <v>1599</v>
      </c>
      <c r="L9" s="44">
        <v>61911.5</v>
      </c>
      <c r="M9" s="44">
        <v>96510.5</v>
      </c>
      <c r="N9" s="44">
        <v>363316.66666666669</v>
      </c>
      <c r="O9" s="44">
        <v>27895.666666666668</v>
      </c>
      <c r="P9" s="44">
        <v>937985.66666666663</v>
      </c>
      <c r="Q9" s="44">
        <v>1751547</v>
      </c>
      <c r="R9" s="44">
        <v>7859262</v>
      </c>
      <c r="S9" s="44">
        <v>521133</v>
      </c>
      <c r="T9" s="44">
        <v>34371</v>
      </c>
      <c r="U9" s="44">
        <v>151754</v>
      </c>
      <c r="V9" s="44">
        <v>190548.33333333334</v>
      </c>
      <c r="W9" s="44">
        <v>28033.333333333332</v>
      </c>
      <c r="X9" s="44">
        <v>3397429</v>
      </c>
      <c r="Y9" s="44">
        <v>1900615</v>
      </c>
      <c r="Z9" s="44">
        <v>2535248</v>
      </c>
      <c r="AA9" s="44">
        <v>379375</v>
      </c>
      <c r="AB9" s="44">
        <v>1478204</v>
      </c>
      <c r="AC9" s="44">
        <v>273981.33333333331</v>
      </c>
      <c r="AD9" s="44">
        <v>41542.333333333336</v>
      </c>
      <c r="AE9" s="44">
        <v>144988.66666666666</v>
      </c>
      <c r="AF9" s="44">
        <v>209496</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190</v>
      </c>
      <c r="D10" s="1" t="s">
        <v>191</v>
      </c>
      <c r="E10" s="1" t="s">
        <v>192</v>
      </c>
      <c r="F10" s="1" t="s">
        <v>112</v>
      </c>
      <c r="G10" s="1">
        <v>740802</v>
      </c>
      <c r="K10" s="149" t="s">
        <v>1600</v>
      </c>
      <c r="L10" s="44">
        <v>22537</v>
      </c>
      <c r="M10" s="44">
        <v>932895.33333333337</v>
      </c>
      <c r="N10" s="44">
        <v>310571.33333333331</v>
      </c>
      <c r="O10" s="44">
        <v>115762.5</v>
      </c>
      <c r="P10" s="44">
        <v>3500810</v>
      </c>
      <c r="Q10" s="44">
        <v>4247195.666666667</v>
      </c>
      <c r="R10" s="44">
        <v>8062326</v>
      </c>
      <c r="S10" s="44">
        <v>286431.66666666669</v>
      </c>
      <c r="T10" s="44">
        <v>157939.66666666666</v>
      </c>
      <c r="U10" s="44">
        <v>26670.333333333332</v>
      </c>
      <c r="V10" s="44">
        <v>333825.66666666669</v>
      </c>
      <c r="W10" s="44">
        <v>340674.5</v>
      </c>
      <c r="X10" s="44">
        <v>4111818.5</v>
      </c>
      <c r="Y10" s="44">
        <v>2190052.3333333335</v>
      </c>
      <c r="Z10" s="44">
        <v>2834275</v>
      </c>
      <c r="AA10" s="44">
        <v>29142.666666666668</v>
      </c>
      <c r="AB10" s="44">
        <v>1368659</v>
      </c>
      <c r="AC10" s="44">
        <v>294524</v>
      </c>
      <c r="AD10" s="44">
        <v>203172.66666666666</v>
      </c>
      <c r="AE10" s="44">
        <v>79133</v>
      </c>
      <c r="AF10" s="44">
        <v>94302.333333333328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730448</v>
      </c>
      <c r="K11" s="149" t="s">
        <v>1601</v>
      </c>
      <c r="L11" s="44">
        <v>80880.5</v>
      </c>
      <c r="M11" s="44">
        <v>29498</v>
      </c>
      <c r="N11" s="44">
        <v>31151</v>
      </c>
      <c r="O11" s="44">
        <v>250705</v>
      </c>
      <c r="P11" s="44">
        <v>2659788</v>
      </c>
      <c r="Q11" s="44">
        <v>4246412.666666667</v>
      </c>
      <c r="R11" s="44">
        <v>3455330.3333333335</v>
      </c>
      <c r="S11" s="44">
        <v>211163.66666666666</v>
      </c>
      <c r="T11" s="44">
        <v>273009.5</v>
      </c>
      <c r="U11" s="44">
        <v>255642.66666666666</v>
      </c>
      <c r="V11" s="44">
        <v>935955.33333333337</v>
      </c>
      <c r="W11" s="44">
        <v>91387.666666666672</v>
      </c>
      <c r="X11" s="44">
        <v>4673816</v>
      </c>
      <c r="Y11" s="44">
        <v>18324</v>
      </c>
      <c r="Z11" s="44">
        <v>2822006</v>
      </c>
      <c r="AA11" s="44">
        <v>178801.33333333334</v>
      </c>
      <c r="AB11" s="44">
        <v>792989.66666666663</v>
      </c>
      <c r="AC11" s="44">
        <v>1399125.5</v>
      </c>
      <c r="AD11" s="44">
        <v>132633</v>
      </c>
      <c r="AE11" s="44">
        <v>387594</v>
      </c>
      <c r="AF11" s="44">
        <v>14901.333333333334</v>
      </c>
      <c r="AG11"/>
    </row>
    <row r="12" spans="1:144" x14ac:dyDescent="0.3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K12" s="149" t="s">
        <v>1602</v>
      </c>
      <c r="L12" s="44">
        <v>50839</v>
      </c>
      <c r="M12" s="44">
        <v>204253.33333333334</v>
      </c>
      <c r="N12" s="44">
        <v>260566.33333333334</v>
      </c>
      <c r="O12" s="44">
        <v>814554.66666666663</v>
      </c>
      <c r="P12" s="44">
        <v>1652372</v>
      </c>
      <c r="Q12" s="44">
        <v>2773049</v>
      </c>
      <c r="R12" s="44">
        <v>5030642.666666667</v>
      </c>
      <c r="S12" s="44"/>
      <c r="T12" s="44">
        <v>417730.33333333331</v>
      </c>
      <c r="U12" s="44">
        <v>325378.33333333331</v>
      </c>
      <c r="V12" s="44"/>
      <c r="W12" s="44">
        <v>146489.66666666666</v>
      </c>
      <c r="X12" s="44">
        <v>4192884</v>
      </c>
      <c r="Y12" s="44">
        <v>492911.33333333331</v>
      </c>
      <c r="Z12" s="44">
        <v>6209348.333333333</v>
      </c>
      <c r="AA12" s="44">
        <v>501786.33333333331</v>
      </c>
      <c r="AB12" s="44">
        <v>588243</v>
      </c>
      <c r="AC12" s="44">
        <v>207835.33333333334</v>
      </c>
      <c r="AD12" s="44">
        <v>170904.66666666666</v>
      </c>
      <c r="AE12" s="44">
        <v>438099</v>
      </c>
      <c r="AF12" s="44">
        <v>560906</v>
      </c>
      <c r="AG12"/>
    </row>
    <row r="13" spans="1:144" x14ac:dyDescent="0.3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197</v>
      </c>
      <c r="D13" s="1" t="s">
        <v>198</v>
      </c>
      <c r="E13" s="1" t="s">
        <v>199</v>
      </c>
      <c r="F13" s="1" t="s">
        <v>112</v>
      </c>
      <c r="G13" s="1">
        <v>576779</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200</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201</v>
      </c>
      <c r="D15" s="1" t="s">
        <v>202</v>
      </c>
      <c r="E15" s="1" t="s">
        <v>203</v>
      </c>
      <c r="F15" s="1" t="s">
        <v>112</v>
      </c>
      <c r="G15" s="1">
        <v>100459</v>
      </c>
    </row>
    <row r="16" spans="1:144" x14ac:dyDescent="0.3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204</v>
      </c>
      <c r="D16" s="1" t="s">
        <v>179</v>
      </c>
      <c r="E16" s="1" t="s">
        <v>205</v>
      </c>
      <c r="F16" s="1" t="s">
        <v>112</v>
      </c>
      <c r="G16" s="1">
        <v>23364</v>
      </c>
      <c r="M16"/>
      <c r="N16"/>
      <c r="O16"/>
      <c r="P16"/>
      <c r="Q16"/>
      <c r="R16"/>
      <c r="S16"/>
      <c r="T16"/>
      <c r="U16"/>
      <c r="V16"/>
      <c r="W16"/>
      <c r="X16"/>
      <c r="Y16"/>
      <c r="Z16"/>
      <c r="AA16"/>
      <c r="AB16"/>
      <c r="AC16"/>
      <c r="AD16"/>
      <c r="AE16"/>
      <c r="AF16"/>
      <c r="AG16"/>
      <c r="AH16"/>
    </row>
    <row r="17" spans="1:34" x14ac:dyDescent="0.3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206</v>
      </c>
      <c r="D17" s="1" t="s">
        <v>207</v>
      </c>
      <c r="E17" s="1" t="s">
        <v>208</v>
      </c>
      <c r="F17" s="1" t="s">
        <v>112</v>
      </c>
      <c r="G17" s="1">
        <v>28041</v>
      </c>
      <c r="M17"/>
      <c r="N17"/>
      <c r="O17"/>
      <c r="P17"/>
      <c r="Q17"/>
      <c r="R17"/>
      <c r="S17"/>
      <c r="T17"/>
      <c r="U17"/>
      <c r="V17"/>
      <c r="W17"/>
      <c r="X17"/>
      <c r="Y17"/>
      <c r="Z17"/>
      <c r="AA17"/>
      <c r="AB17"/>
      <c r="AC17"/>
      <c r="AD17"/>
      <c r="AE17"/>
      <c r="AF17"/>
      <c r="AG17"/>
      <c r="AH17"/>
    </row>
    <row r="18" spans="1:34" x14ac:dyDescent="0.3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209</v>
      </c>
      <c r="D18" s="1" t="s">
        <v>210</v>
      </c>
      <c r="E18" s="1" t="s">
        <v>211</v>
      </c>
      <c r="F18" s="1" t="s">
        <v>112</v>
      </c>
      <c r="G18" s="1">
        <v>20470</v>
      </c>
      <c r="M18"/>
      <c r="N18"/>
      <c r="O18"/>
      <c r="P18"/>
      <c r="Q18"/>
      <c r="R18"/>
      <c r="S18"/>
      <c r="T18"/>
      <c r="U18"/>
      <c r="V18"/>
      <c r="W18"/>
      <c r="X18"/>
      <c r="Y18"/>
      <c r="Z18"/>
      <c r="AA18"/>
      <c r="AB18"/>
      <c r="AC18"/>
      <c r="AD18"/>
      <c r="AE18"/>
      <c r="AF18"/>
      <c r="AG18"/>
      <c r="AH18"/>
    </row>
    <row r="19" spans="1:34" x14ac:dyDescent="0.3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212</v>
      </c>
      <c r="D19" s="1" t="s">
        <v>213</v>
      </c>
      <c r="E19" s="1" t="s">
        <v>214</v>
      </c>
      <c r="F19" s="1" t="s">
        <v>112</v>
      </c>
      <c r="G19" s="1">
        <v>19100</v>
      </c>
      <c r="K19"/>
      <c r="L19"/>
      <c r="M19"/>
      <c r="N19"/>
      <c r="O19"/>
      <c r="P19"/>
      <c r="Q19"/>
      <c r="R19"/>
      <c r="S19"/>
      <c r="T19"/>
      <c r="U19"/>
      <c r="V19"/>
      <c r="W19"/>
      <c r="X19"/>
      <c r="Y19"/>
      <c r="Z19"/>
      <c r="AA19"/>
      <c r="AB19"/>
      <c r="AC19"/>
      <c r="AD19"/>
      <c r="AE19"/>
      <c r="AF19"/>
      <c r="AG19"/>
      <c r="AH19"/>
    </row>
    <row r="20" spans="1:34" x14ac:dyDescent="0.3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215</v>
      </c>
      <c r="K20"/>
      <c r="L20"/>
      <c r="M20"/>
      <c r="N20"/>
      <c r="O20"/>
      <c r="P20"/>
      <c r="Q20"/>
      <c r="R20"/>
      <c r="S20"/>
      <c r="T20"/>
      <c r="U20"/>
      <c r="V20"/>
      <c r="W20"/>
      <c r="X20"/>
      <c r="Y20"/>
      <c r="Z20"/>
      <c r="AA20"/>
      <c r="AB20"/>
      <c r="AC20"/>
      <c r="AD20"/>
      <c r="AE20"/>
      <c r="AF20"/>
      <c r="AG20"/>
      <c r="AH20"/>
    </row>
    <row r="21" spans="1:34" x14ac:dyDescent="0.3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216</v>
      </c>
      <c r="D21" s="1" t="s">
        <v>217</v>
      </c>
      <c r="E21" s="1" t="s">
        <v>218</v>
      </c>
      <c r="F21" s="1" t="s">
        <v>112</v>
      </c>
      <c r="G21" s="1">
        <v>77248</v>
      </c>
      <c r="K21"/>
      <c r="L21"/>
      <c r="M21"/>
      <c r="N21"/>
      <c r="O21"/>
      <c r="P21"/>
      <c r="Q21"/>
      <c r="R21"/>
      <c r="S21"/>
      <c r="T21"/>
      <c r="U21"/>
      <c r="V21"/>
      <c r="W21"/>
      <c r="X21"/>
      <c r="Y21"/>
      <c r="Z21"/>
      <c r="AA21"/>
      <c r="AB21"/>
      <c r="AC21"/>
      <c r="AD21"/>
      <c r="AE21"/>
      <c r="AF21"/>
      <c r="AG21"/>
      <c r="AH21"/>
    </row>
    <row r="22" spans="1:34" x14ac:dyDescent="0.3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219</v>
      </c>
      <c r="D22" s="1" t="s">
        <v>220</v>
      </c>
      <c r="E22" s="1" t="s">
        <v>221</v>
      </c>
      <c r="F22" s="1" t="s">
        <v>112</v>
      </c>
      <c r="G22" s="1">
        <v>84513</v>
      </c>
      <c r="K22"/>
      <c r="L22"/>
      <c r="M22"/>
      <c r="N22"/>
      <c r="O22"/>
      <c r="P22"/>
      <c r="Q22"/>
      <c r="R22"/>
      <c r="S22"/>
      <c r="T22"/>
      <c r="U22"/>
      <c r="V22"/>
      <c r="W22"/>
      <c r="X22"/>
      <c r="Y22"/>
      <c r="Z22"/>
      <c r="AA22"/>
      <c r="AB22"/>
      <c r="AC22"/>
      <c r="AD22"/>
      <c r="AE22"/>
      <c r="AF22"/>
      <c r="AG22"/>
      <c r="AH22"/>
    </row>
    <row r="23" spans="1:34" x14ac:dyDescent="0.3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222</v>
      </c>
      <c r="K23"/>
      <c r="L23"/>
      <c r="M23"/>
      <c r="N23"/>
      <c r="O23"/>
      <c r="P23"/>
      <c r="Q23"/>
      <c r="R23"/>
      <c r="S23"/>
      <c r="T23"/>
      <c r="U23"/>
      <c r="V23"/>
      <c r="W23"/>
      <c r="X23"/>
      <c r="Y23"/>
      <c r="Z23"/>
      <c r="AA23"/>
      <c r="AB23"/>
      <c r="AC23"/>
      <c r="AD23"/>
      <c r="AE23"/>
      <c r="AF23"/>
      <c r="AG23"/>
      <c r="AH23"/>
    </row>
    <row r="24" spans="1:34" x14ac:dyDescent="0.3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223</v>
      </c>
      <c r="K24"/>
      <c r="L24"/>
      <c r="M24"/>
      <c r="N24"/>
      <c r="O24"/>
      <c r="P24"/>
      <c r="Q24"/>
      <c r="R24"/>
      <c r="S24"/>
      <c r="T24"/>
      <c r="U24"/>
      <c r="V24"/>
      <c r="W24"/>
      <c r="X24"/>
      <c r="Y24"/>
      <c r="Z24"/>
      <c r="AA24"/>
      <c r="AB24"/>
      <c r="AC24"/>
      <c r="AD24"/>
      <c r="AE24"/>
      <c r="AF24"/>
      <c r="AG24"/>
      <c r="AH24"/>
    </row>
    <row r="25" spans="1:34" x14ac:dyDescent="0.3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224</v>
      </c>
      <c r="D25" s="1" t="s">
        <v>225</v>
      </c>
      <c r="E25" s="1" t="s">
        <v>226</v>
      </c>
      <c r="F25" s="1" t="s">
        <v>112</v>
      </c>
      <c r="G25" s="1">
        <v>50839</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227</v>
      </c>
      <c r="D27" s="1" t="s">
        <v>112</v>
      </c>
      <c r="E27" s="1" t="s">
        <v>228</v>
      </c>
      <c r="F27" s="1" t="s">
        <v>229</v>
      </c>
      <c r="G27" s="1" t="s">
        <v>230</v>
      </c>
      <c r="H27" s="1" t="s">
        <v>231</v>
      </c>
      <c r="I27" s="1" t="s">
        <v>232</v>
      </c>
      <c r="J27" s="1" t="s">
        <v>233</v>
      </c>
      <c r="K27"/>
      <c r="L27"/>
      <c r="M27"/>
      <c r="N27"/>
      <c r="O27"/>
      <c r="P27"/>
      <c r="Q27"/>
      <c r="R27"/>
      <c r="S27"/>
      <c r="T27"/>
      <c r="U27"/>
      <c r="V27"/>
      <c r="W27"/>
      <c r="X27"/>
      <c r="Y27"/>
      <c r="Z27"/>
      <c r="AA27"/>
      <c r="AB27"/>
      <c r="AC27"/>
      <c r="AD27"/>
      <c r="AE27"/>
      <c r="AF27"/>
      <c r="AG27"/>
      <c r="AH27"/>
    </row>
    <row r="28" spans="1:34" x14ac:dyDescent="0.3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234</v>
      </c>
      <c r="D28" s="1" t="s">
        <v>112</v>
      </c>
      <c r="E28" s="1" t="s">
        <v>235</v>
      </c>
      <c r="F28" s="1" t="s">
        <v>236</v>
      </c>
      <c r="G28" s="1" t="s">
        <v>237</v>
      </c>
      <c r="H28" s="1" t="s">
        <v>238</v>
      </c>
      <c r="I28" s="1">
        <v>24</v>
      </c>
      <c r="J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239</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5">
      <c r="A35" s="1" t="str">
        <f t="shared" si="0"/>
        <v>02 ee2 33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240</v>
      </c>
      <c r="D35" s="1" t="s">
        <v>241</v>
      </c>
      <c r="E35" s="1" t="s">
        <v>242</v>
      </c>
      <c r="F35" s="1" t="s">
        <v>112</v>
      </c>
      <c r="G35" s="1">
        <v>262872</v>
      </c>
      <c r="K35"/>
      <c r="L35"/>
      <c r="M35"/>
      <c r="N35"/>
      <c r="O35"/>
      <c r="P35"/>
      <c r="Q35"/>
      <c r="R35"/>
      <c r="S35"/>
      <c r="T35"/>
      <c r="U35"/>
      <c r="V35"/>
      <c r="W35"/>
      <c r="X35"/>
      <c r="Y35"/>
      <c r="Z35"/>
      <c r="AA35"/>
      <c r="AB35"/>
      <c r="AC35"/>
      <c r="AD35"/>
      <c r="AE35"/>
      <c r="AF35"/>
      <c r="AG35"/>
      <c r="AH35"/>
    </row>
    <row r="36" spans="1:34" x14ac:dyDescent="0.35">
      <c r="A36" s="1" t="str">
        <f t="shared" si="0"/>
        <v>02 ee2 33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243</v>
      </c>
      <c r="D36" s="1" t="s">
        <v>244</v>
      </c>
      <c r="E36" s="1" t="s">
        <v>245</v>
      </c>
      <c r="F36" s="1" t="s">
        <v>112</v>
      </c>
      <c r="G36" s="1">
        <v>175792</v>
      </c>
      <c r="K36"/>
      <c r="L36"/>
      <c r="M36"/>
      <c r="N36"/>
      <c r="O36"/>
      <c r="P36"/>
      <c r="Q36"/>
      <c r="R36"/>
      <c r="S36"/>
      <c r="T36"/>
      <c r="U36"/>
      <c r="V36"/>
      <c r="W36"/>
      <c r="X36"/>
      <c r="Y36"/>
      <c r="Z36"/>
      <c r="AA36"/>
      <c r="AB36"/>
      <c r="AC36"/>
      <c r="AD36"/>
      <c r="AE36"/>
      <c r="AF36"/>
      <c r="AG36"/>
      <c r="AH36"/>
    </row>
    <row r="37" spans="1:34" x14ac:dyDescent="0.35">
      <c r="A37" s="1" t="str">
        <f t="shared" si="0"/>
        <v>02 ee2 33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246</v>
      </c>
      <c r="D37" s="1" t="s">
        <v>247</v>
      </c>
      <c r="E37" s="1" t="s">
        <v>248</v>
      </c>
      <c r="F37" s="1" t="s">
        <v>112</v>
      </c>
      <c r="G37" s="1">
        <v>24691</v>
      </c>
      <c r="K37"/>
      <c r="L37"/>
      <c r="M37"/>
      <c r="N37"/>
      <c r="O37"/>
      <c r="P37"/>
      <c r="Q37"/>
      <c r="R37"/>
      <c r="S37"/>
      <c r="T37"/>
      <c r="U37"/>
      <c r="V37"/>
      <c r="W37"/>
      <c r="X37"/>
      <c r="Y37"/>
      <c r="Z37"/>
      <c r="AA37"/>
      <c r="AB37"/>
      <c r="AC37"/>
      <c r="AD37"/>
      <c r="AE37"/>
      <c r="AF37"/>
      <c r="AG37"/>
      <c r="AH37"/>
    </row>
    <row r="38" spans="1:34" x14ac:dyDescent="0.35">
      <c r="A38" s="1" t="str">
        <f t="shared" si="0"/>
        <v>02 ee2 33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249</v>
      </c>
      <c r="D38" s="1" t="s">
        <v>250</v>
      </c>
      <c r="E38" s="1" t="s">
        <v>251</v>
      </c>
      <c r="F38" s="1" t="s">
        <v>112</v>
      </c>
      <c r="G38" s="1">
        <v>32783</v>
      </c>
      <c r="K38"/>
      <c r="L38"/>
      <c r="M38"/>
      <c r="N38"/>
      <c r="O38"/>
      <c r="P38"/>
      <c r="Q38"/>
      <c r="R38"/>
      <c r="S38"/>
      <c r="T38"/>
      <c r="U38"/>
      <c r="V38"/>
      <c r="W38"/>
      <c r="X38"/>
      <c r="Y38"/>
      <c r="Z38"/>
      <c r="AA38"/>
      <c r="AB38"/>
      <c r="AC38"/>
      <c r="AD38"/>
      <c r="AE38"/>
      <c r="AF38"/>
      <c r="AG38"/>
      <c r="AH38"/>
    </row>
    <row r="39" spans="1:34" x14ac:dyDescent="0.35">
      <c r="A39" s="1" t="str">
        <f t="shared" si="0"/>
        <v>02 ee2 33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252</v>
      </c>
      <c r="D39" s="1" t="s">
        <v>253</v>
      </c>
      <c r="E39" s="1" t="s">
        <v>254</v>
      </c>
      <c r="F39" s="1" t="s">
        <v>112</v>
      </c>
      <c r="G39" s="1">
        <v>34371</v>
      </c>
    </row>
    <row r="40" spans="1:34" x14ac:dyDescent="0.35">
      <c r="A40" s="1" t="str">
        <f t="shared" si="0"/>
        <v>02 ee2 33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255</v>
      </c>
      <c r="D40" s="1" t="s">
        <v>256</v>
      </c>
      <c r="E40" s="1" t="s">
        <v>257</v>
      </c>
      <c r="F40" s="1" t="s">
        <v>112</v>
      </c>
      <c r="G40" s="1">
        <v>128695</v>
      </c>
    </row>
    <row r="41" spans="1:34" x14ac:dyDescent="0.35">
      <c r="A41" s="1" t="str">
        <f t="shared" si="0"/>
        <v>02 ee2 33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258</v>
      </c>
      <c r="D41" s="1" t="s">
        <v>259</v>
      </c>
      <c r="E41" s="1" t="s">
        <v>260</v>
      </c>
      <c r="F41" s="1" t="s">
        <v>112</v>
      </c>
      <c r="G41" s="1">
        <v>36089</v>
      </c>
    </row>
    <row r="42" spans="1:34" x14ac:dyDescent="0.35">
      <c r="A42" s="1" t="str">
        <f t="shared" si="0"/>
        <v>02 ee2 33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261</v>
      </c>
      <c r="D42" s="1" t="s">
        <v>262</v>
      </c>
      <c r="E42" s="1" t="s">
        <v>263</v>
      </c>
      <c r="F42" s="1" t="s">
        <v>112</v>
      </c>
      <c r="G42" s="1">
        <v>30499</v>
      </c>
    </row>
    <row r="43" spans="1:34" x14ac:dyDescent="0.35">
      <c r="A43" s="1" t="str">
        <f t="shared" si="0"/>
        <v>02 ee2 33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264</v>
      </c>
      <c r="D43" s="1" t="s">
        <v>179</v>
      </c>
      <c r="E43" s="1" t="s">
        <v>265</v>
      </c>
      <c r="F43" s="1" t="s">
        <v>112</v>
      </c>
      <c r="G43" s="1">
        <v>23320</v>
      </c>
    </row>
    <row r="44" spans="1:34" x14ac:dyDescent="0.35">
      <c r="A44" s="1" t="str">
        <f t="shared" si="0"/>
        <v>02 ee2 33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266</v>
      </c>
      <c r="D44" s="1" t="s">
        <v>250</v>
      </c>
      <c r="E44" s="1" t="s">
        <v>267</v>
      </c>
      <c r="F44" s="1" t="s">
        <v>112</v>
      </c>
      <c r="G44" s="1">
        <v>33109</v>
      </c>
    </row>
    <row r="45" spans="1:34" x14ac:dyDescent="0.35">
      <c r="A45" s="1" t="str">
        <f t="shared" si="0"/>
        <v>02 ee2 33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268</v>
      </c>
      <c r="D45" s="1" t="s">
        <v>210</v>
      </c>
      <c r="E45" s="1" t="s">
        <v>269</v>
      </c>
      <c r="F45" s="1" t="s">
        <v>112</v>
      </c>
      <c r="G45" s="1">
        <v>20187</v>
      </c>
    </row>
    <row r="46" spans="1:34" x14ac:dyDescent="0.35">
      <c r="A46" s="1" t="str">
        <f t="shared" si="0"/>
        <v>02 ee2 33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270</v>
      </c>
      <c r="D46" s="1" t="s">
        <v>207</v>
      </c>
      <c r="E46" s="1" t="s">
        <v>271</v>
      </c>
      <c r="F46" s="1" t="s">
        <v>112</v>
      </c>
      <c r="G46" s="1">
        <v>27627</v>
      </c>
    </row>
    <row r="47" spans="1:34" x14ac:dyDescent="0.35">
      <c r="A47" s="1" t="str">
        <f t="shared" si="0"/>
        <v>02 ee2 33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272</v>
      </c>
    </row>
    <row r="48" spans="1:34" x14ac:dyDescent="0.35">
      <c r="A48" s="1" t="str">
        <f t="shared" si="0"/>
        <v>02 ee2 33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273</v>
      </c>
      <c r="D48" s="1" t="s">
        <v>274</v>
      </c>
      <c r="E48" s="1" t="s">
        <v>275</v>
      </c>
      <c r="F48" s="1" t="s">
        <v>112</v>
      </c>
      <c r="G48" s="1">
        <v>50643</v>
      </c>
    </row>
    <row r="49" spans="1:10" x14ac:dyDescent="0.35">
      <c r="A49" s="1" t="str">
        <f t="shared" si="0"/>
        <v>02 ee2 33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276</v>
      </c>
      <c r="D49" s="1" t="s">
        <v>277</v>
      </c>
      <c r="E49" s="1" t="s">
        <v>278</v>
      </c>
      <c r="F49" s="1" t="s">
        <v>112</v>
      </c>
      <c r="G49" s="1">
        <v>142378</v>
      </c>
    </row>
    <row r="50" spans="1:10" x14ac:dyDescent="0.35">
      <c r="A50" s="1" t="str">
        <f t="shared" si="0"/>
        <v>02 ee2 33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279</v>
      </c>
      <c r="D50" s="1" t="s">
        <v>280</v>
      </c>
      <c r="E50" s="1" t="s">
        <v>281</v>
      </c>
      <c r="F50" s="1" t="s">
        <v>112</v>
      </c>
      <c r="G50" s="1">
        <v>426265</v>
      </c>
    </row>
    <row r="51" spans="1:10" x14ac:dyDescent="0.35">
      <c r="A51" s="1" t="str">
        <f t="shared" si="0"/>
        <v>02 ee2 33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282</v>
      </c>
      <c r="D51" s="1" t="s">
        <v>283</v>
      </c>
      <c r="E51" s="1" t="s">
        <v>284</v>
      </c>
      <c r="F51" s="1" t="s">
        <v>112</v>
      </c>
      <c r="G51" s="1">
        <v>1543995</v>
      </c>
    </row>
    <row r="52" spans="1:10" x14ac:dyDescent="0.35">
      <c r="A52" s="1" t="str">
        <f t="shared" si="0"/>
        <v>02 ee2 33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285</v>
      </c>
      <c r="D52" s="1" t="s">
        <v>286</v>
      </c>
      <c r="E52" s="1" t="s">
        <v>287</v>
      </c>
      <c r="F52" s="1" t="s">
        <v>112</v>
      </c>
      <c r="G52" s="1">
        <v>828426</v>
      </c>
    </row>
    <row r="53" spans="1:10" x14ac:dyDescent="0.35">
      <c r="A53" s="1" t="str">
        <f t="shared" si="0"/>
        <v>02 ee2 33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288</v>
      </c>
    </row>
    <row r="54" spans="1:10" x14ac:dyDescent="0.35">
      <c r="A54" s="1" t="str">
        <f t="shared" si="0"/>
        <v>02 ee2 33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289</v>
      </c>
      <c r="D54" s="1" t="s">
        <v>262</v>
      </c>
      <c r="E54" s="1" t="s">
        <v>290</v>
      </c>
      <c r="F54" s="1" t="s">
        <v>112</v>
      </c>
      <c r="G54" s="1">
        <v>29911</v>
      </c>
    </row>
    <row r="55" spans="1:10" x14ac:dyDescent="0.35">
      <c r="A55" s="1" t="str">
        <f t="shared" si="0"/>
        <v>02 ee2 33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291</v>
      </c>
      <c r="D55" s="1" t="s">
        <v>292</v>
      </c>
      <c r="E55" s="1" t="s">
        <v>293</v>
      </c>
      <c r="F55" s="1" t="s">
        <v>112</v>
      </c>
      <c r="G55" s="1">
        <v>29085</v>
      </c>
    </row>
    <row r="56" spans="1:10" x14ac:dyDescent="0.35">
      <c r="A56" s="1" t="str">
        <f t="shared" si="0"/>
        <v>02 ee2 33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294</v>
      </c>
      <c r="D56" s="1" t="s">
        <v>295</v>
      </c>
      <c r="E56" s="1" t="s">
        <v>296</v>
      </c>
      <c r="F56" s="1" t="s">
        <v>112</v>
      </c>
      <c r="G56" s="1">
        <v>206726</v>
      </c>
    </row>
    <row r="57" spans="1:10" x14ac:dyDescent="0.35">
      <c r="A57" s="1" t="str">
        <f t="shared" si="0"/>
        <v>02 ee2 33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297</v>
      </c>
      <c r="D57" s="1" t="s">
        <v>298</v>
      </c>
      <c r="E57" s="1" t="s">
        <v>299</v>
      </c>
      <c r="F57" s="1" t="s">
        <v>112</v>
      </c>
      <c r="G57" s="1">
        <v>161043</v>
      </c>
    </row>
    <row r="58" spans="1:10" x14ac:dyDescent="0.35">
      <c r="A58" s="1" t="str">
        <f t="shared" si="0"/>
        <v>02 ee2 33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300</v>
      </c>
      <c r="D58" s="1" t="s">
        <v>301</v>
      </c>
      <c r="E58" s="1" t="s">
        <v>302</v>
      </c>
      <c r="F58" s="1" t="s">
        <v>112</v>
      </c>
      <c r="G58" s="1">
        <v>244991</v>
      </c>
    </row>
    <row r="59" spans="1:10"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227</v>
      </c>
      <c r="D60" s="1" t="s">
        <v>112</v>
      </c>
      <c r="E60" s="1" t="s">
        <v>228</v>
      </c>
      <c r="F60" s="1" t="s">
        <v>229</v>
      </c>
      <c r="G60" s="1" t="s">
        <v>230</v>
      </c>
      <c r="H60" s="1" t="s">
        <v>231</v>
      </c>
      <c r="I60" s="1" t="s">
        <v>232</v>
      </c>
      <c r="J60" s="1" t="s">
        <v>233</v>
      </c>
    </row>
    <row r="61" spans="1:10" x14ac:dyDescent="0.35">
      <c r="A61" s="1" t="str">
        <f t="shared" si="0"/>
        <v>02 ee2 33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303</v>
      </c>
      <c r="D61" s="1" t="s">
        <v>112</v>
      </c>
      <c r="E61" s="1" t="s">
        <v>304</v>
      </c>
      <c r="F61" s="1" t="s">
        <v>305</v>
      </c>
      <c r="G61" s="1" t="s">
        <v>306</v>
      </c>
      <c r="H61" s="1" t="s">
        <v>307</v>
      </c>
      <c r="I61" s="1">
        <v>24</v>
      </c>
      <c r="J61" s="1">
        <v>24</v>
      </c>
    </row>
    <row r="62" spans="1:10"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239</v>
      </c>
      <c r="D67" s="1" t="s">
        <v>110</v>
      </c>
      <c r="E67" s="1" t="s">
        <v>111</v>
      </c>
      <c r="F67" s="1" t="s">
        <v>112</v>
      </c>
      <c r="G67" s="1" t="s">
        <v>113</v>
      </c>
    </row>
    <row r="68" spans="1:7" x14ac:dyDescent="0.35">
      <c r="A68" s="1" t="str">
        <f t="shared" si="1"/>
        <v>03 ee2 50</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308</v>
      </c>
      <c r="D68" s="1" t="s">
        <v>309</v>
      </c>
      <c r="E68" s="1" t="s">
        <v>310</v>
      </c>
      <c r="F68" s="1" t="s">
        <v>112</v>
      </c>
      <c r="G68" s="1">
        <v>407187</v>
      </c>
    </row>
    <row r="69" spans="1:7" x14ac:dyDescent="0.35">
      <c r="A69" s="1" t="str">
        <f t="shared" si="1"/>
        <v>03 ee2 50</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311</v>
      </c>
      <c r="D69" s="1" t="s">
        <v>312</v>
      </c>
      <c r="E69" s="1" t="s">
        <v>313</v>
      </c>
      <c r="F69" s="1" t="s">
        <v>112</v>
      </c>
      <c r="G69" s="1">
        <v>422719</v>
      </c>
    </row>
    <row r="70" spans="1:7" x14ac:dyDescent="0.35">
      <c r="A70" s="1" t="str">
        <f t="shared" si="1"/>
        <v>03 ee2 50</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314</v>
      </c>
      <c r="D70" s="1" t="s">
        <v>315</v>
      </c>
      <c r="E70" s="1" t="s">
        <v>316</v>
      </c>
      <c r="F70" s="1" t="s">
        <v>112</v>
      </c>
      <c r="G70" s="1">
        <v>427091</v>
      </c>
    </row>
    <row r="71" spans="1:7" x14ac:dyDescent="0.35">
      <c r="A71" s="1" t="str">
        <f t="shared" si="1"/>
        <v>03 ee2 50</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317</v>
      </c>
      <c r="D71" s="1" t="s">
        <v>318</v>
      </c>
      <c r="E71" s="1" t="s">
        <v>319</v>
      </c>
      <c r="F71" s="1" t="s">
        <v>112</v>
      </c>
      <c r="G71" s="1">
        <v>334116</v>
      </c>
    </row>
    <row r="72" spans="1:7" x14ac:dyDescent="0.35">
      <c r="A72" s="1" t="str">
        <f t="shared" si="1"/>
        <v>03 ee2 50</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320</v>
      </c>
      <c r="D72" s="1" t="s">
        <v>321</v>
      </c>
      <c r="E72" s="1" t="s">
        <v>322</v>
      </c>
      <c r="F72" s="1" t="s">
        <v>112</v>
      </c>
      <c r="G72" s="1">
        <v>348495</v>
      </c>
    </row>
    <row r="73" spans="1:7" x14ac:dyDescent="0.35">
      <c r="A73" s="1" t="str">
        <f t="shared" si="1"/>
        <v>03 ee2 50</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323</v>
      </c>
      <c r="D73" s="1" t="s">
        <v>324</v>
      </c>
      <c r="E73" s="1" t="s">
        <v>325</v>
      </c>
      <c r="F73" s="1" t="s">
        <v>112</v>
      </c>
      <c r="G73" s="1">
        <v>294742</v>
      </c>
    </row>
    <row r="74" spans="1:7" x14ac:dyDescent="0.35">
      <c r="A74" s="1" t="str">
        <f t="shared" si="1"/>
        <v>03 ee2 50</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326</v>
      </c>
      <c r="D74" s="1" t="s">
        <v>327</v>
      </c>
      <c r="E74" s="1" t="s">
        <v>328</v>
      </c>
      <c r="F74" s="1" t="s">
        <v>112</v>
      </c>
      <c r="G74" s="1">
        <v>94041</v>
      </c>
    </row>
    <row r="75" spans="1:7" x14ac:dyDescent="0.35">
      <c r="A75" s="1" t="str">
        <f t="shared" si="1"/>
        <v>03 ee2 50</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329</v>
      </c>
      <c r="D75" s="1" t="s">
        <v>247</v>
      </c>
      <c r="E75" s="1" t="s">
        <v>330</v>
      </c>
      <c r="F75" s="1" t="s">
        <v>112</v>
      </c>
      <c r="G75" s="1">
        <v>24495</v>
      </c>
    </row>
    <row r="76" spans="1:7" x14ac:dyDescent="0.35">
      <c r="A76" s="1" t="str">
        <f t="shared" si="1"/>
        <v>03 ee2 50</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331</v>
      </c>
    </row>
    <row r="77" spans="1:7" x14ac:dyDescent="0.35">
      <c r="A77" s="1" t="str">
        <f t="shared" si="1"/>
        <v>03 ee2 50</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332</v>
      </c>
      <c r="D77" s="1" t="s">
        <v>333</v>
      </c>
      <c r="E77" s="1" t="s">
        <v>334</v>
      </c>
      <c r="F77" s="1" t="s">
        <v>112</v>
      </c>
      <c r="G77" s="1">
        <v>74463</v>
      </c>
    </row>
    <row r="78" spans="1:7" x14ac:dyDescent="0.35">
      <c r="A78" s="1" t="str">
        <f t="shared" si="1"/>
        <v>03 ee2 50</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335</v>
      </c>
      <c r="D78" s="1" t="s">
        <v>336</v>
      </c>
      <c r="E78" s="1" t="s">
        <v>337</v>
      </c>
      <c r="F78" s="1" t="s">
        <v>112</v>
      </c>
      <c r="G78" s="1">
        <v>109878</v>
      </c>
    </row>
    <row r="79" spans="1:7" x14ac:dyDescent="0.35">
      <c r="A79" s="1" t="str">
        <f t="shared" si="1"/>
        <v>03 ee2 50</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338</v>
      </c>
      <c r="D79" s="1" t="s">
        <v>339</v>
      </c>
      <c r="E79" s="1" t="s">
        <v>340</v>
      </c>
      <c r="F79" s="1" t="s">
        <v>112</v>
      </c>
      <c r="G79" s="1">
        <v>69438</v>
      </c>
    </row>
    <row r="80" spans="1:7" x14ac:dyDescent="0.35">
      <c r="A80" s="1" t="str">
        <f t="shared" si="1"/>
        <v>03 ee2 50</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341</v>
      </c>
      <c r="D80" s="1" t="s">
        <v>342</v>
      </c>
      <c r="E80" s="1" t="s">
        <v>343</v>
      </c>
      <c r="F80" s="1" t="s">
        <v>112</v>
      </c>
      <c r="G80" s="1">
        <v>345928</v>
      </c>
    </row>
    <row r="81" spans="1:10" x14ac:dyDescent="0.35">
      <c r="A81" s="1" t="str">
        <f t="shared" si="1"/>
        <v>03 ee2 50</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344</v>
      </c>
      <c r="D81" s="1" t="s">
        <v>345</v>
      </c>
      <c r="E81" s="1" t="s">
        <v>346</v>
      </c>
      <c r="F81" s="1" t="s">
        <v>112</v>
      </c>
      <c r="G81" s="1">
        <v>388740</v>
      </c>
    </row>
    <row r="82" spans="1:10" x14ac:dyDescent="0.35">
      <c r="A82" s="1" t="str">
        <f t="shared" si="1"/>
        <v>03 ee2 50</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347</v>
      </c>
      <c r="D82" s="1" t="s">
        <v>348</v>
      </c>
      <c r="E82" s="1" t="s">
        <v>349</v>
      </c>
      <c r="F82" s="1" t="s">
        <v>112</v>
      </c>
      <c r="G82" s="1">
        <v>355282</v>
      </c>
    </row>
    <row r="83" spans="1:10" x14ac:dyDescent="0.35">
      <c r="A83" s="1" t="str">
        <f t="shared" si="1"/>
        <v>03 ee2 50</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350</v>
      </c>
      <c r="D83" s="1" t="s">
        <v>351</v>
      </c>
      <c r="E83" s="1" t="s">
        <v>352</v>
      </c>
      <c r="F83" s="1" t="s">
        <v>112</v>
      </c>
      <c r="G83" s="1">
        <v>225478</v>
      </c>
    </row>
    <row r="84" spans="1:10" x14ac:dyDescent="0.35">
      <c r="A84" s="1" t="str">
        <f t="shared" si="1"/>
        <v>03 ee2 50</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353</v>
      </c>
      <c r="D84" s="1" t="s">
        <v>354</v>
      </c>
      <c r="E84" s="1" t="s">
        <v>355</v>
      </c>
      <c r="F84" s="1" t="s">
        <v>112</v>
      </c>
      <c r="G84" s="1">
        <v>427157</v>
      </c>
    </row>
    <row r="85" spans="1:10" x14ac:dyDescent="0.35">
      <c r="A85" s="1" t="str">
        <f t="shared" si="1"/>
        <v>03 ee2 50</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356</v>
      </c>
      <c r="D85" s="1" t="s">
        <v>357</v>
      </c>
      <c r="E85" s="1" t="s">
        <v>358</v>
      </c>
      <c r="F85" s="1" t="s">
        <v>112</v>
      </c>
      <c r="G85" s="1">
        <v>279079</v>
      </c>
    </row>
    <row r="86" spans="1:10" x14ac:dyDescent="0.35">
      <c r="A86" s="1" t="str">
        <f t="shared" si="1"/>
        <v>03 ee2 50</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359</v>
      </c>
    </row>
    <row r="87" spans="1:10" x14ac:dyDescent="0.35">
      <c r="A87" s="1" t="str">
        <f t="shared" si="1"/>
        <v>03 ee2 50</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360</v>
      </c>
    </row>
    <row r="88" spans="1:10" x14ac:dyDescent="0.35">
      <c r="A88" s="1" t="str">
        <f t="shared" si="1"/>
        <v>03 ee2 50</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361</v>
      </c>
      <c r="D88" s="1" t="s">
        <v>362</v>
      </c>
      <c r="E88" s="1" t="s">
        <v>363</v>
      </c>
      <c r="F88" s="1" t="s">
        <v>112</v>
      </c>
      <c r="G88" s="1">
        <v>31151</v>
      </c>
    </row>
    <row r="89" spans="1:10" x14ac:dyDescent="0.35">
      <c r="A89" s="1" t="str">
        <f t="shared" si="1"/>
        <v>03 ee2 50</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364</v>
      </c>
      <c r="D89" s="1" t="s">
        <v>365</v>
      </c>
      <c r="E89" s="1" t="s">
        <v>366</v>
      </c>
      <c r="F89" s="1" t="s">
        <v>112</v>
      </c>
      <c r="G89" s="1">
        <v>395788</v>
      </c>
    </row>
    <row r="90" spans="1:10" x14ac:dyDescent="0.35">
      <c r="A90" s="1" t="str">
        <f t="shared" si="1"/>
        <v>03 ee2 50</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367</v>
      </c>
      <c r="D90" s="1" t="s">
        <v>368</v>
      </c>
      <c r="E90" s="1" t="s">
        <v>369</v>
      </c>
      <c r="F90" s="1" t="s">
        <v>112</v>
      </c>
      <c r="G90" s="1">
        <v>249363</v>
      </c>
    </row>
    <row r="91" spans="1:10" x14ac:dyDescent="0.35">
      <c r="A91" s="1" t="str">
        <f t="shared" si="1"/>
        <v>03 ee2 50</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370</v>
      </c>
      <c r="D91" s="1" t="s">
        <v>371</v>
      </c>
      <c r="E91" s="1" t="s">
        <v>372</v>
      </c>
      <c r="F91" s="1" t="s">
        <v>112</v>
      </c>
      <c r="G91" s="1">
        <v>136548</v>
      </c>
    </row>
    <row r="92" spans="1:10"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227</v>
      </c>
      <c r="D93" s="1" t="s">
        <v>112</v>
      </c>
      <c r="E93" s="1" t="s">
        <v>228</v>
      </c>
      <c r="F93" s="1" t="s">
        <v>229</v>
      </c>
      <c r="G93" s="1" t="s">
        <v>230</v>
      </c>
      <c r="H93" s="1" t="s">
        <v>231</v>
      </c>
      <c r="I93" s="1" t="s">
        <v>232</v>
      </c>
      <c r="J93" s="1" t="s">
        <v>233</v>
      </c>
    </row>
    <row r="94" spans="1:10" x14ac:dyDescent="0.35">
      <c r="A94" s="1" t="str">
        <f t="shared" si="1"/>
        <v>03 ee2 50</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373</v>
      </c>
      <c r="D94" s="1" t="s">
        <v>112</v>
      </c>
      <c r="E94" s="1" t="s">
        <v>374</v>
      </c>
      <c r="F94" s="1" t="s">
        <v>375</v>
      </c>
      <c r="G94" s="1" t="s">
        <v>376</v>
      </c>
      <c r="H94" s="1" t="s">
        <v>377</v>
      </c>
      <c r="I94" s="1">
        <v>24</v>
      </c>
      <c r="J94" s="1">
        <v>24</v>
      </c>
    </row>
    <row r="95" spans="1:10"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239</v>
      </c>
      <c r="D100" s="1" t="s">
        <v>110</v>
      </c>
      <c r="E100" s="1" t="s">
        <v>111</v>
      </c>
      <c r="F100" s="1" t="s">
        <v>112</v>
      </c>
      <c r="G100" s="1" t="s">
        <v>113</v>
      </c>
    </row>
    <row r="101" spans="1:7" x14ac:dyDescent="0.3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378</v>
      </c>
    </row>
    <row r="102" spans="1:7" x14ac:dyDescent="0.3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379</v>
      </c>
      <c r="D102" s="1" t="s">
        <v>380</v>
      </c>
      <c r="E102" s="1" t="s">
        <v>381</v>
      </c>
      <c r="F102" s="1" t="s">
        <v>112</v>
      </c>
      <c r="G102" s="1">
        <v>1382386</v>
      </c>
    </row>
    <row r="103" spans="1:7" x14ac:dyDescent="0.3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382</v>
      </c>
      <c r="D103" s="1" t="s">
        <v>383</v>
      </c>
      <c r="E103" s="1" t="s">
        <v>384</v>
      </c>
      <c r="F103" s="1" t="s">
        <v>112</v>
      </c>
      <c r="G103" s="1">
        <v>1430897</v>
      </c>
    </row>
    <row r="104" spans="1:7" x14ac:dyDescent="0.3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385</v>
      </c>
      <c r="D104" s="1" t="s">
        <v>386</v>
      </c>
      <c r="E104" s="1" t="s">
        <v>387</v>
      </c>
      <c r="F104" s="1" t="s">
        <v>112</v>
      </c>
      <c r="G104" s="1">
        <v>1105983</v>
      </c>
    </row>
    <row r="105" spans="1:7" x14ac:dyDescent="0.3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388</v>
      </c>
      <c r="D105" s="1" t="s">
        <v>389</v>
      </c>
      <c r="E105" s="1" t="s">
        <v>390</v>
      </c>
      <c r="F105" s="1" t="s">
        <v>112</v>
      </c>
      <c r="G105" s="1">
        <v>1358805</v>
      </c>
    </row>
    <row r="106" spans="1:7" x14ac:dyDescent="0.3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391</v>
      </c>
      <c r="D106" s="1" t="s">
        <v>392</v>
      </c>
      <c r="E106" s="1" t="s">
        <v>393</v>
      </c>
      <c r="F106" s="1" t="s">
        <v>112</v>
      </c>
      <c r="G106" s="1">
        <v>541799</v>
      </c>
    </row>
    <row r="107" spans="1:7" x14ac:dyDescent="0.3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394</v>
      </c>
      <c r="D107" s="1" t="s">
        <v>380</v>
      </c>
      <c r="E107" s="1" t="s">
        <v>395</v>
      </c>
      <c r="F107" s="1" t="s">
        <v>112</v>
      </c>
      <c r="G107" s="1">
        <v>1410361</v>
      </c>
    </row>
    <row r="108" spans="1:7" x14ac:dyDescent="0.3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396</v>
      </c>
      <c r="D108" s="1" t="s">
        <v>397</v>
      </c>
      <c r="E108" s="1" t="s">
        <v>398</v>
      </c>
      <c r="F108" s="1" t="s">
        <v>112</v>
      </c>
      <c r="G108" s="1">
        <v>1077899</v>
      </c>
    </row>
    <row r="109" spans="1:7" x14ac:dyDescent="0.3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399</v>
      </c>
      <c r="D109" s="1" t="s">
        <v>400</v>
      </c>
      <c r="E109" s="1" t="s">
        <v>401</v>
      </c>
      <c r="F109" s="1" t="s">
        <v>112</v>
      </c>
      <c r="G109" s="1">
        <v>900323</v>
      </c>
    </row>
    <row r="110" spans="1:7" x14ac:dyDescent="0.3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402</v>
      </c>
      <c r="D110" s="1" t="s">
        <v>403</v>
      </c>
      <c r="E110" s="1" t="s">
        <v>404</v>
      </c>
      <c r="F110" s="1" t="s">
        <v>112</v>
      </c>
      <c r="G110" s="1">
        <v>861405</v>
      </c>
    </row>
    <row r="111" spans="1:7" x14ac:dyDescent="0.3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405</v>
      </c>
      <c r="D111" s="1" t="s">
        <v>406</v>
      </c>
      <c r="E111" s="1" t="s">
        <v>407</v>
      </c>
      <c r="F111" s="1" t="s">
        <v>112</v>
      </c>
      <c r="G111" s="1">
        <v>1040417</v>
      </c>
    </row>
    <row r="112" spans="1:7" x14ac:dyDescent="0.3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408</v>
      </c>
      <c r="D112" s="1" t="s">
        <v>409</v>
      </c>
      <c r="E112" s="1" t="s">
        <v>410</v>
      </c>
      <c r="F112" s="1" t="s">
        <v>112</v>
      </c>
      <c r="G112" s="1">
        <v>521829</v>
      </c>
    </row>
    <row r="113" spans="1:10" x14ac:dyDescent="0.3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411</v>
      </c>
      <c r="D113" s="1" t="s">
        <v>412</v>
      </c>
      <c r="E113" s="1" t="s">
        <v>413</v>
      </c>
      <c r="F113" s="1" t="s">
        <v>112</v>
      </c>
      <c r="G113" s="1">
        <v>39722</v>
      </c>
    </row>
    <row r="114" spans="1:10" x14ac:dyDescent="0.3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414</v>
      </c>
      <c r="D114" s="1" t="s">
        <v>415</v>
      </c>
      <c r="E114" s="1" t="s">
        <v>416</v>
      </c>
      <c r="F114" s="1" t="s">
        <v>112</v>
      </c>
      <c r="G114" s="1">
        <v>26192</v>
      </c>
    </row>
    <row r="115" spans="1:10" x14ac:dyDescent="0.3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417</v>
      </c>
      <c r="D115" s="1" t="s">
        <v>418</v>
      </c>
      <c r="E115" s="1" t="s">
        <v>419</v>
      </c>
      <c r="F115" s="1" t="s">
        <v>112</v>
      </c>
      <c r="G115" s="1">
        <v>17773</v>
      </c>
    </row>
    <row r="116" spans="1:10" x14ac:dyDescent="0.3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420</v>
      </c>
      <c r="D116" s="1" t="s">
        <v>421</v>
      </c>
      <c r="E116" s="1" t="s">
        <v>422</v>
      </c>
      <c r="F116" s="1" t="s">
        <v>112</v>
      </c>
      <c r="G116" s="1">
        <v>87363</v>
      </c>
    </row>
    <row r="117" spans="1:10" x14ac:dyDescent="0.3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423</v>
      </c>
      <c r="D117" s="1" t="s">
        <v>424</v>
      </c>
      <c r="E117" s="1" t="s">
        <v>425</v>
      </c>
      <c r="F117" s="1" t="s">
        <v>112</v>
      </c>
      <c r="G117" s="1">
        <v>144162</v>
      </c>
    </row>
    <row r="118" spans="1:10" x14ac:dyDescent="0.3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426</v>
      </c>
    </row>
    <row r="119" spans="1:10" x14ac:dyDescent="0.3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427</v>
      </c>
      <c r="D119" s="1" t="s">
        <v>428</v>
      </c>
      <c r="E119" s="1" t="s">
        <v>429</v>
      </c>
      <c r="F119" s="1" t="s">
        <v>112</v>
      </c>
      <c r="G119" s="1">
        <v>222737</v>
      </c>
    </row>
    <row r="120" spans="1:10" x14ac:dyDescent="0.3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430</v>
      </c>
      <c r="D120" s="1" t="s">
        <v>431</v>
      </c>
      <c r="E120" s="1" t="s">
        <v>432</v>
      </c>
      <c r="F120" s="1" t="s">
        <v>112</v>
      </c>
      <c r="G120" s="1">
        <v>277926</v>
      </c>
    </row>
    <row r="121" spans="1:10" x14ac:dyDescent="0.3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433</v>
      </c>
      <c r="D121" s="1" t="s">
        <v>434</v>
      </c>
      <c r="E121" s="1" t="s">
        <v>435</v>
      </c>
      <c r="F121" s="1" t="s">
        <v>112</v>
      </c>
      <c r="G121" s="1">
        <v>251452</v>
      </c>
    </row>
    <row r="122" spans="1:10" x14ac:dyDescent="0.3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436</v>
      </c>
      <c r="D122" s="1" t="s">
        <v>437</v>
      </c>
      <c r="E122" s="1" t="s">
        <v>438</v>
      </c>
      <c r="F122" s="1" t="s">
        <v>112</v>
      </c>
      <c r="G122" s="1">
        <v>633904</v>
      </c>
    </row>
    <row r="123" spans="1:10" x14ac:dyDescent="0.3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439</v>
      </c>
      <c r="D123" s="1" t="s">
        <v>440</v>
      </c>
      <c r="E123" s="1" t="s">
        <v>441</v>
      </c>
      <c r="F123" s="1" t="s">
        <v>112</v>
      </c>
      <c r="G123" s="1">
        <v>1059886</v>
      </c>
    </row>
    <row r="124" spans="1:10" x14ac:dyDescent="0.3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442</v>
      </c>
      <c r="D124" s="1" t="s">
        <v>443</v>
      </c>
      <c r="E124" s="1" t="s">
        <v>444</v>
      </c>
      <c r="F124" s="1" t="s">
        <v>112</v>
      </c>
      <c r="G124" s="1">
        <v>749874</v>
      </c>
    </row>
    <row r="125" spans="1:10"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227</v>
      </c>
      <c r="D126" s="1" t="s">
        <v>112</v>
      </c>
      <c r="E126" s="1" t="s">
        <v>228</v>
      </c>
      <c r="F126" s="1" t="s">
        <v>229</v>
      </c>
      <c r="G126" s="1" t="s">
        <v>230</v>
      </c>
      <c r="H126" s="1" t="s">
        <v>231</v>
      </c>
      <c r="I126" s="1" t="s">
        <v>232</v>
      </c>
      <c r="J126" s="1" t="s">
        <v>233</v>
      </c>
    </row>
    <row r="127" spans="1:10" x14ac:dyDescent="0.3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445</v>
      </c>
      <c r="D127" s="1" t="s">
        <v>112</v>
      </c>
      <c r="E127" s="1" t="s">
        <v>446</v>
      </c>
      <c r="F127" s="1" t="s">
        <v>447</v>
      </c>
      <c r="G127" s="1" t="s">
        <v>448</v>
      </c>
      <c r="H127" s="1" t="s">
        <v>449</v>
      </c>
      <c r="I127" s="1">
        <v>24</v>
      </c>
      <c r="J127" s="1">
        <v>24</v>
      </c>
    </row>
    <row r="128" spans="1:10"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239</v>
      </c>
      <c r="D133" s="1" t="s">
        <v>110</v>
      </c>
      <c r="E133" s="1" t="s">
        <v>111</v>
      </c>
      <c r="F133" s="1" t="s">
        <v>112</v>
      </c>
      <c r="G133" s="1" t="s">
        <v>113</v>
      </c>
    </row>
    <row r="134" spans="1:7" x14ac:dyDescent="0.3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450</v>
      </c>
      <c r="D134" s="1" t="s">
        <v>451</v>
      </c>
      <c r="E134" s="1" t="s">
        <v>452</v>
      </c>
      <c r="F134" s="1" t="s">
        <v>112</v>
      </c>
      <c r="G134" s="1">
        <v>1672907</v>
      </c>
    </row>
    <row r="135" spans="1:7" x14ac:dyDescent="0.3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453</v>
      </c>
    </row>
    <row r="136" spans="1:7" x14ac:dyDescent="0.3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454</v>
      </c>
      <c r="D136" s="1" t="s">
        <v>455</v>
      </c>
      <c r="E136" s="1" t="s">
        <v>456</v>
      </c>
      <c r="F136" s="1" t="s">
        <v>112</v>
      </c>
      <c r="G136" s="1">
        <v>1485586</v>
      </c>
    </row>
    <row r="137" spans="1:7" x14ac:dyDescent="0.3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457</v>
      </c>
    </row>
    <row r="138" spans="1:7" x14ac:dyDescent="0.3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458</v>
      </c>
      <c r="D138" s="1" t="s">
        <v>437</v>
      </c>
      <c r="E138" s="1" t="s">
        <v>459</v>
      </c>
      <c r="F138" s="1" t="s">
        <v>112</v>
      </c>
      <c r="G138" s="1">
        <v>640300</v>
      </c>
    </row>
    <row r="139" spans="1:7" x14ac:dyDescent="0.3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460</v>
      </c>
      <c r="D139" s="1" t="s">
        <v>461</v>
      </c>
      <c r="E139" s="1" t="s">
        <v>462</v>
      </c>
      <c r="F139" s="1" t="s">
        <v>112</v>
      </c>
      <c r="G139" s="1">
        <v>1382364</v>
      </c>
    </row>
    <row r="140" spans="1:7" x14ac:dyDescent="0.3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463</v>
      </c>
      <c r="D140" s="1" t="s">
        <v>464</v>
      </c>
      <c r="E140" s="1" t="s">
        <v>465</v>
      </c>
      <c r="F140" s="1" t="s">
        <v>112</v>
      </c>
      <c r="G140" s="1">
        <v>228632</v>
      </c>
    </row>
    <row r="141" spans="1:7" x14ac:dyDescent="0.3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466</v>
      </c>
      <c r="D141" s="1" t="s">
        <v>467</v>
      </c>
      <c r="E141" s="1" t="s">
        <v>468</v>
      </c>
      <c r="F141" s="1" t="s">
        <v>112</v>
      </c>
      <c r="G141" s="1">
        <v>192847</v>
      </c>
    </row>
    <row r="142" spans="1:7" x14ac:dyDescent="0.3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469</v>
      </c>
      <c r="D142" s="1" t="s">
        <v>470</v>
      </c>
      <c r="E142" s="1" t="s">
        <v>471</v>
      </c>
      <c r="F142" s="1" t="s">
        <v>112</v>
      </c>
      <c r="G142" s="1">
        <v>78205</v>
      </c>
    </row>
    <row r="143" spans="1:7" x14ac:dyDescent="0.3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472</v>
      </c>
      <c r="D143" s="1" t="s">
        <v>473</v>
      </c>
      <c r="E143" s="1" t="s">
        <v>474</v>
      </c>
      <c r="F143" s="1" t="s">
        <v>112</v>
      </c>
      <c r="G143" s="1">
        <v>2199196</v>
      </c>
    </row>
    <row r="144" spans="1:7" x14ac:dyDescent="0.3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475</v>
      </c>
    </row>
    <row r="145" spans="1:10" x14ac:dyDescent="0.3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476</v>
      </c>
      <c r="D145" s="1" t="s">
        <v>477</v>
      </c>
      <c r="E145" s="1" t="s">
        <v>478</v>
      </c>
      <c r="F145" s="1" t="s">
        <v>112</v>
      </c>
      <c r="G145" s="1">
        <v>1829230</v>
      </c>
    </row>
    <row r="146" spans="1:10" x14ac:dyDescent="0.3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479</v>
      </c>
      <c r="D146" s="1" t="s">
        <v>480</v>
      </c>
      <c r="E146" s="1" t="s">
        <v>481</v>
      </c>
      <c r="F146" s="1" t="s">
        <v>112</v>
      </c>
      <c r="G146" s="1">
        <v>1044224</v>
      </c>
    </row>
    <row r="147" spans="1:10" x14ac:dyDescent="0.3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482</v>
      </c>
      <c r="D147" s="1" t="s">
        <v>483</v>
      </c>
      <c r="E147" s="1" t="s">
        <v>484</v>
      </c>
      <c r="F147" s="1" t="s">
        <v>112</v>
      </c>
      <c r="G147" s="1">
        <v>740585</v>
      </c>
    </row>
    <row r="148" spans="1:10" x14ac:dyDescent="0.3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485</v>
      </c>
      <c r="D148" s="1" t="s">
        <v>486</v>
      </c>
      <c r="E148" s="1" t="s">
        <v>487</v>
      </c>
      <c r="F148" s="1" t="s">
        <v>112</v>
      </c>
      <c r="G148" s="1">
        <v>1029148</v>
      </c>
    </row>
    <row r="149" spans="1:10" x14ac:dyDescent="0.3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488</v>
      </c>
      <c r="D149" s="1" t="s">
        <v>489</v>
      </c>
      <c r="E149" s="1" t="s">
        <v>490</v>
      </c>
      <c r="F149" s="1" t="s">
        <v>112</v>
      </c>
      <c r="G149" s="1">
        <v>3743538</v>
      </c>
    </row>
    <row r="150" spans="1:10" x14ac:dyDescent="0.3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491</v>
      </c>
      <c r="D150" s="1" t="s">
        <v>492</v>
      </c>
      <c r="E150" s="1" t="s">
        <v>493</v>
      </c>
      <c r="F150" s="1" t="s">
        <v>112</v>
      </c>
      <c r="G150" s="1">
        <v>2791768</v>
      </c>
    </row>
    <row r="151" spans="1:10" x14ac:dyDescent="0.3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494</v>
      </c>
      <c r="D151" s="1" t="s">
        <v>495</v>
      </c>
      <c r="E151" s="1" t="s">
        <v>496</v>
      </c>
      <c r="F151" s="1" t="s">
        <v>112</v>
      </c>
      <c r="G151" s="1">
        <v>3967124</v>
      </c>
    </row>
    <row r="152" spans="1:10" x14ac:dyDescent="0.3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497</v>
      </c>
    </row>
    <row r="153" spans="1:10" x14ac:dyDescent="0.3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498</v>
      </c>
      <c r="D153" s="1" t="s">
        <v>499</v>
      </c>
      <c r="E153" s="1" t="s">
        <v>500</v>
      </c>
      <c r="F153" s="1" t="s">
        <v>112</v>
      </c>
      <c r="G153" s="1">
        <v>2480189</v>
      </c>
    </row>
    <row r="154" spans="1:10" x14ac:dyDescent="0.3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501</v>
      </c>
      <c r="D154" s="1" t="s">
        <v>502</v>
      </c>
      <c r="E154" s="1" t="s">
        <v>503</v>
      </c>
      <c r="F154" s="1" t="s">
        <v>112</v>
      </c>
      <c r="G154" s="1">
        <v>2839387</v>
      </c>
    </row>
    <row r="155" spans="1:10" x14ac:dyDescent="0.3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504</v>
      </c>
      <c r="D155" s="1" t="s">
        <v>505</v>
      </c>
      <c r="E155" s="1" t="s">
        <v>506</v>
      </c>
      <c r="F155" s="1" t="s">
        <v>112</v>
      </c>
      <c r="G155" s="1">
        <v>1601860</v>
      </c>
    </row>
    <row r="156" spans="1:10" x14ac:dyDescent="0.3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507</v>
      </c>
      <c r="D156" s="1" t="s">
        <v>508</v>
      </c>
      <c r="E156" s="1" t="s">
        <v>509</v>
      </c>
      <c r="F156" s="1" t="s">
        <v>112</v>
      </c>
      <c r="G156" s="1">
        <v>1720809</v>
      </c>
    </row>
    <row r="157" spans="1:10" x14ac:dyDescent="0.3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510</v>
      </c>
      <c r="D157" s="1" t="s">
        <v>511</v>
      </c>
      <c r="E157" s="1" t="s">
        <v>512</v>
      </c>
      <c r="F157" s="1" t="s">
        <v>112</v>
      </c>
      <c r="G157" s="1">
        <v>1634447</v>
      </c>
    </row>
    <row r="158" spans="1:10"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227</v>
      </c>
      <c r="D159" s="1" t="s">
        <v>112</v>
      </c>
      <c r="E159" s="1" t="s">
        <v>228</v>
      </c>
      <c r="F159" s="1" t="s">
        <v>229</v>
      </c>
      <c r="G159" s="1" t="s">
        <v>230</v>
      </c>
      <c r="H159" s="1" t="s">
        <v>231</v>
      </c>
      <c r="I159" s="1" t="s">
        <v>232</v>
      </c>
      <c r="J159" s="1" t="s">
        <v>233</v>
      </c>
    </row>
    <row r="160" spans="1:10" x14ac:dyDescent="0.3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513</v>
      </c>
      <c r="D160" s="1" t="s">
        <v>112</v>
      </c>
      <c r="E160" s="1" t="s">
        <v>514</v>
      </c>
      <c r="F160" s="1" t="s">
        <v>515</v>
      </c>
      <c r="G160" s="1" t="s">
        <v>516</v>
      </c>
      <c r="H160" s="1" t="s">
        <v>517</v>
      </c>
      <c r="I160" s="1">
        <v>24</v>
      </c>
      <c r="J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239</v>
      </c>
      <c r="D166" s="1" t="s">
        <v>110</v>
      </c>
      <c r="E166" s="1" t="s">
        <v>111</v>
      </c>
      <c r="F166" s="1" t="s">
        <v>112</v>
      </c>
      <c r="G166" s="1" t="s">
        <v>113</v>
      </c>
    </row>
    <row r="167" spans="1:7" x14ac:dyDescent="0.35">
      <c r="A167" s="1" t="str">
        <f t="shared" si="2"/>
        <v>06 ee2 170</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518</v>
      </c>
      <c r="D167" s="1" t="s">
        <v>519</v>
      </c>
      <c r="E167" s="1" t="s">
        <v>520</v>
      </c>
      <c r="F167" s="1" t="s">
        <v>112</v>
      </c>
      <c r="G167" s="1">
        <v>4778321</v>
      </c>
    </row>
    <row r="168" spans="1:7" x14ac:dyDescent="0.35">
      <c r="A168" s="1" t="str">
        <f t="shared" si="2"/>
        <v>06 ee2 170</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521</v>
      </c>
      <c r="D168" s="1" t="s">
        <v>522</v>
      </c>
      <c r="E168" s="1" t="s">
        <v>523</v>
      </c>
      <c r="F168" s="1" t="s">
        <v>112</v>
      </c>
      <c r="G168" s="1">
        <v>5111284</v>
      </c>
    </row>
    <row r="169" spans="1:7" x14ac:dyDescent="0.35">
      <c r="A169" s="1" t="str">
        <f t="shared" si="2"/>
        <v>06 ee2 170</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524</v>
      </c>
      <c r="D169" s="1" t="s">
        <v>525</v>
      </c>
      <c r="E169" s="1" t="s">
        <v>526</v>
      </c>
      <c r="F169" s="1" t="s">
        <v>112</v>
      </c>
      <c r="G169" s="1">
        <v>4742645</v>
      </c>
    </row>
    <row r="170" spans="1:7" x14ac:dyDescent="0.35">
      <c r="A170" s="1" t="str">
        <f t="shared" si="2"/>
        <v>06 ee2 170</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527</v>
      </c>
      <c r="D170" s="1" t="s">
        <v>528</v>
      </c>
      <c r="E170" s="1" t="s">
        <v>529</v>
      </c>
      <c r="F170" s="1" t="s">
        <v>112</v>
      </c>
      <c r="G170" s="1">
        <v>5356318</v>
      </c>
    </row>
    <row r="171" spans="1:7" x14ac:dyDescent="0.35">
      <c r="A171" s="1" t="str">
        <f t="shared" si="2"/>
        <v>06 ee2 170</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530</v>
      </c>
      <c r="D171" s="1" t="s">
        <v>531</v>
      </c>
      <c r="E171" s="1" t="s">
        <v>532</v>
      </c>
      <c r="F171" s="1" t="s">
        <v>112</v>
      </c>
      <c r="G171" s="1">
        <v>5410442</v>
      </c>
    </row>
    <row r="172" spans="1:7" x14ac:dyDescent="0.35">
      <c r="A172" s="1" t="str">
        <f t="shared" si="2"/>
        <v>06 ee2 170</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533</v>
      </c>
      <c r="D172" s="1" t="s">
        <v>534</v>
      </c>
      <c r="E172" s="1" t="s">
        <v>535</v>
      </c>
      <c r="F172" s="1" t="s">
        <v>112</v>
      </c>
      <c r="G172" s="1">
        <v>5199778</v>
      </c>
    </row>
    <row r="173" spans="1:7" x14ac:dyDescent="0.35">
      <c r="A173" s="1" t="str">
        <f t="shared" si="2"/>
        <v>06 ee2 170</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536</v>
      </c>
    </row>
    <row r="174" spans="1:7" x14ac:dyDescent="0.35">
      <c r="A174" s="1" t="str">
        <f t="shared" si="2"/>
        <v>06 ee2 170</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537</v>
      </c>
    </row>
    <row r="175" spans="1:7" x14ac:dyDescent="0.35">
      <c r="A175" s="1" t="str">
        <f t="shared" si="2"/>
        <v>06 ee2 170</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538</v>
      </c>
    </row>
    <row r="176" spans="1:7" x14ac:dyDescent="0.35">
      <c r="A176" s="1" t="str">
        <f t="shared" si="2"/>
        <v>06 ee2 170</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539</v>
      </c>
    </row>
    <row r="177" spans="1:10" x14ac:dyDescent="0.35">
      <c r="A177" s="1" t="str">
        <f t="shared" si="2"/>
        <v>06 ee2 170</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540</v>
      </c>
    </row>
    <row r="178" spans="1:10" x14ac:dyDescent="0.35">
      <c r="A178" s="1" t="str">
        <f t="shared" si="2"/>
        <v>06 ee2 170</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541</v>
      </c>
      <c r="D178" s="1" t="s">
        <v>542</v>
      </c>
      <c r="E178" s="1" t="s">
        <v>543</v>
      </c>
      <c r="F178" s="1" t="s">
        <v>112</v>
      </c>
      <c r="G178" s="1">
        <v>2960055</v>
      </c>
    </row>
    <row r="179" spans="1:10" x14ac:dyDescent="0.35">
      <c r="A179" s="1" t="str">
        <f t="shared" si="2"/>
        <v>06 ee2 170</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544</v>
      </c>
      <c r="D179" s="1" t="s">
        <v>545</v>
      </c>
      <c r="E179" s="1" t="s">
        <v>546</v>
      </c>
      <c r="F179" s="1" t="s">
        <v>112</v>
      </c>
      <c r="G179" s="1">
        <v>1703798</v>
      </c>
    </row>
    <row r="180" spans="1:10" x14ac:dyDescent="0.35">
      <c r="A180" s="1" t="str">
        <f t="shared" si="2"/>
        <v>06 ee2 170</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547</v>
      </c>
      <c r="D180" s="1" t="s">
        <v>548</v>
      </c>
      <c r="E180" s="1" t="s">
        <v>549</v>
      </c>
      <c r="F180" s="1" t="s">
        <v>112</v>
      </c>
      <c r="G180" s="1">
        <v>1800188</v>
      </c>
    </row>
    <row r="181" spans="1:10" x14ac:dyDescent="0.35">
      <c r="A181" s="1" t="str">
        <f t="shared" si="2"/>
        <v>06 ee2 170</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550</v>
      </c>
      <c r="D181" s="1" t="s">
        <v>551</v>
      </c>
      <c r="E181" s="1" t="s">
        <v>552</v>
      </c>
      <c r="F181" s="1" t="s">
        <v>112</v>
      </c>
      <c r="G181" s="1">
        <v>1750655</v>
      </c>
    </row>
    <row r="182" spans="1:10" x14ac:dyDescent="0.35">
      <c r="A182" s="1" t="str">
        <f t="shared" si="2"/>
        <v>06 ee2 170</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553</v>
      </c>
      <c r="D182" s="1" t="s">
        <v>554</v>
      </c>
      <c r="E182" s="1" t="s">
        <v>555</v>
      </c>
      <c r="F182" s="1" t="s">
        <v>112</v>
      </c>
      <c r="G182" s="1">
        <v>4465828</v>
      </c>
    </row>
    <row r="183" spans="1:10" x14ac:dyDescent="0.35">
      <c r="A183" s="1" t="str">
        <f t="shared" si="2"/>
        <v>06 ee2 170</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556</v>
      </c>
      <c r="D183" s="1" t="s">
        <v>557</v>
      </c>
      <c r="E183" s="1" t="s">
        <v>558</v>
      </c>
      <c r="F183" s="1" t="s">
        <v>112</v>
      </c>
      <c r="G183" s="1">
        <v>3999776</v>
      </c>
    </row>
    <row r="184" spans="1:10" x14ac:dyDescent="0.35">
      <c r="A184" s="1" t="str">
        <f t="shared" si="2"/>
        <v>06 ee2 170</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559</v>
      </c>
      <c r="D184" s="1" t="s">
        <v>560</v>
      </c>
      <c r="E184" s="1" t="s">
        <v>561</v>
      </c>
      <c r="F184" s="1" t="s">
        <v>112</v>
      </c>
      <c r="G184" s="1">
        <v>4275983</v>
      </c>
    </row>
    <row r="185" spans="1:10" x14ac:dyDescent="0.35">
      <c r="A185" s="1" t="str">
        <f t="shared" si="2"/>
        <v>06 ee2 170</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562</v>
      </c>
      <c r="D185" s="1" t="s">
        <v>563</v>
      </c>
      <c r="E185" s="1" t="s">
        <v>564</v>
      </c>
      <c r="F185" s="1" t="s">
        <v>112</v>
      </c>
      <c r="G185" s="1">
        <v>4317968</v>
      </c>
    </row>
    <row r="186" spans="1:10" x14ac:dyDescent="0.35">
      <c r="A186" s="1" t="str">
        <f t="shared" si="2"/>
        <v>06 ee2 170</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565</v>
      </c>
      <c r="D186" s="1" t="s">
        <v>566</v>
      </c>
      <c r="E186" s="1" t="s">
        <v>567</v>
      </c>
      <c r="F186" s="1" t="s">
        <v>112</v>
      </c>
      <c r="G186" s="1">
        <v>4363172</v>
      </c>
    </row>
    <row r="187" spans="1:10" x14ac:dyDescent="0.35">
      <c r="A187" s="1" t="str">
        <f t="shared" si="2"/>
        <v>06 ee2 170</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568</v>
      </c>
      <c r="D187" s="1" t="s">
        <v>569</v>
      </c>
      <c r="E187" s="1" t="s">
        <v>570</v>
      </c>
      <c r="F187" s="1" t="s">
        <v>112</v>
      </c>
      <c r="G187" s="1">
        <v>4058098</v>
      </c>
    </row>
    <row r="188" spans="1:10" x14ac:dyDescent="0.35">
      <c r="A188" s="1" t="str">
        <f t="shared" si="2"/>
        <v>06 ee2 170</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571</v>
      </c>
    </row>
    <row r="189" spans="1:10" x14ac:dyDescent="0.35">
      <c r="A189" s="1" t="str">
        <f t="shared" si="2"/>
        <v>06 ee2 170</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572</v>
      </c>
      <c r="D189" s="1" t="s">
        <v>573</v>
      </c>
      <c r="E189" s="1" t="s">
        <v>574</v>
      </c>
      <c r="F189" s="1" t="s">
        <v>112</v>
      </c>
      <c r="G189" s="1">
        <v>2836385</v>
      </c>
    </row>
    <row r="190" spans="1:10" x14ac:dyDescent="0.35">
      <c r="A190" s="1" t="str">
        <f t="shared" si="2"/>
        <v>06 ee2 170</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575</v>
      </c>
      <c r="D190" s="1" t="s">
        <v>576</v>
      </c>
      <c r="E190" s="1" t="s">
        <v>577</v>
      </c>
      <c r="F190" s="1" t="s">
        <v>112</v>
      </c>
      <c r="G190" s="1">
        <v>2709713</v>
      </c>
    </row>
    <row r="191" spans="1:10"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227</v>
      </c>
      <c r="D192" s="1" t="s">
        <v>112</v>
      </c>
      <c r="E192" s="1" t="s">
        <v>228</v>
      </c>
      <c r="F192" s="1" t="s">
        <v>229</v>
      </c>
      <c r="G192" s="1" t="s">
        <v>230</v>
      </c>
      <c r="H192" s="1" t="s">
        <v>231</v>
      </c>
      <c r="I192" s="1" t="s">
        <v>232</v>
      </c>
      <c r="J192" s="1" t="s">
        <v>233</v>
      </c>
    </row>
    <row r="193" spans="1:10" x14ac:dyDescent="0.35">
      <c r="A193" s="1" t="str">
        <f t="shared" si="2"/>
        <v>06 ee2 170</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578</v>
      </c>
      <c r="D193" s="1" t="s">
        <v>112</v>
      </c>
      <c r="E193" s="1" t="s">
        <v>579</v>
      </c>
      <c r="F193" s="1" t="s">
        <v>580</v>
      </c>
      <c r="G193" s="1" t="s">
        <v>581</v>
      </c>
      <c r="H193" s="1" t="s">
        <v>582</v>
      </c>
      <c r="I193" s="1">
        <v>24</v>
      </c>
      <c r="J193" s="1">
        <v>24</v>
      </c>
    </row>
    <row r="194" spans="1:10"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239</v>
      </c>
      <c r="D199" s="1" t="s">
        <v>110</v>
      </c>
      <c r="E199" s="1" t="s">
        <v>111</v>
      </c>
      <c r="F199" s="1" t="s">
        <v>112</v>
      </c>
      <c r="G199" s="1" t="s">
        <v>113</v>
      </c>
    </row>
    <row r="200" spans="1:10" x14ac:dyDescent="0.3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583</v>
      </c>
      <c r="D200" s="1" t="s">
        <v>584</v>
      </c>
      <c r="E200" s="1" t="s">
        <v>585</v>
      </c>
      <c r="F200" s="1" t="s">
        <v>112</v>
      </c>
      <c r="G200" s="1">
        <v>7861807</v>
      </c>
    </row>
    <row r="201" spans="1:10" x14ac:dyDescent="0.3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586</v>
      </c>
    </row>
    <row r="202" spans="1:10" x14ac:dyDescent="0.3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587</v>
      </c>
    </row>
    <row r="203" spans="1:10" x14ac:dyDescent="0.3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588</v>
      </c>
      <c r="D203" s="1" t="s">
        <v>589</v>
      </c>
      <c r="E203" s="1" t="s">
        <v>590</v>
      </c>
      <c r="F203" s="1" t="s">
        <v>112</v>
      </c>
      <c r="G203" s="1">
        <v>6843514</v>
      </c>
    </row>
    <row r="204" spans="1:10" x14ac:dyDescent="0.3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591</v>
      </c>
      <c r="D204" s="1" t="s">
        <v>592</v>
      </c>
      <c r="E204" s="1" t="s">
        <v>593</v>
      </c>
      <c r="F204" s="1" t="s">
        <v>112</v>
      </c>
      <c r="G204" s="1">
        <v>6267453</v>
      </c>
    </row>
    <row r="205" spans="1:10" x14ac:dyDescent="0.3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594</v>
      </c>
      <c r="D205" s="1" t="s">
        <v>595</v>
      </c>
      <c r="E205" s="1" t="s">
        <v>596</v>
      </c>
      <c r="F205" s="1" t="s">
        <v>112</v>
      </c>
      <c r="G205" s="1">
        <v>6181221</v>
      </c>
    </row>
    <row r="206" spans="1:10" x14ac:dyDescent="0.3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597</v>
      </c>
      <c r="D206" s="1" t="s">
        <v>598</v>
      </c>
      <c r="E206" s="1" t="s">
        <v>599</v>
      </c>
      <c r="F206" s="1" t="s">
        <v>112</v>
      </c>
      <c r="G206" s="1">
        <v>6497716</v>
      </c>
    </row>
    <row r="207" spans="1:10" x14ac:dyDescent="0.3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600</v>
      </c>
      <c r="D207" s="1" t="s">
        <v>601</v>
      </c>
      <c r="E207" s="1" t="s">
        <v>602</v>
      </c>
      <c r="F207" s="1" t="s">
        <v>112</v>
      </c>
      <c r="G207" s="1">
        <v>6504808</v>
      </c>
    </row>
    <row r="208" spans="1:10" x14ac:dyDescent="0.3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603</v>
      </c>
      <c r="D208" s="1" t="s">
        <v>604</v>
      </c>
      <c r="E208" s="1" t="s">
        <v>605</v>
      </c>
      <c r="F208" s="1" t="s">
        <v>112</v>
      </c>
      <c r="G208" s="1">
        <v>7147588</v>
      </c>
    </row>
    <row r="209" spans="1:7" x14ac:dyDescent="0.3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606</v>
      </c>
      <c r="D209" s="1" t="s">
        <v>607</v>
      </c>
      <c r="E209" s="1" t="s">
        <v>608</v>
      </c>
      <c r="F209" s="1" t="s">
        <v>112</v>
      </c>
      <c r="G209" s="1">
        <v>8239409</v>
      </c>
    </row>
    <row r="210" spans="1:7" x14ac:dyDescent="0.3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609</v>
      </c>
      <c r="D210" s="1" t="s">
        <v>610</v>
      </c>
      <c r="E210" s="1" t="s">
        <v>611</v>
      </c>
      <c r="F210" s="1" t="s">
        <v>112</v>
      </c>
      <c r="G210" s="1">
        <v>8977166</v>
      </c>
    </row>
    <row r="211" spans="1:7" x14ac:dyDescent="0.3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612</v>
      </c>
      <c r="D211" s="1" t="s">
        <v>613</v>
      </c>
      <c r="E211" s="1" t="s">
        <v>614</v>
      </c>
      <c r="F211" s="1" t="s">
        <v>112</v>
      </c>
      <c r="G211" s="1">
        <v>8268907</v>
      </c>
    </row>
    <row r="212" spans="1:7" x14ac:dyDescent="0.3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615</v>
      </c>
      <c r="D212" s="1" t="s">
        <v>616</v>
      </c>
      <c r="E212" s="1" t="s">
        <v>617</v>
      </c>
      <c r="F212" s="1" t="s">
        <v>112</v>
      </c>
      <c r="G212" s="1">
        <v>7870552</v>
      </c>
    </row>
    <row r="213" spans="1:7" x14ac:dyDescent="0.3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618</v>
      </c>
      <c r="D213" s="1" t="s">
        <v>619</v>
      </c>
      <c r="E213" s="1" t="s">
        <v>620</v>
      </c>
      <c r="F213" s="1" t="s">
        <v>112</v>
      </c>
      <c r="G213" s="1">
        <v>7770833</v>
      </c>
    </row>
    <row r="214" spans="1:7" x14ac:dyDescent="0.3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621</v>
      </c>
      <c r="D214" s="1" t="s">
        <v>622</v>
      </c>
      <c r="E214" s="1" t="s">
        <v>623</v>
      </c>
      <c r="F214" s="1" t="s">
        <v>112</v>
      </c>
      <c r="G214" s="1">
        <v>7936401</v>
      </c>
    </row>
    <row r="215" spans="1:7" x14ac:dyDescent="0.3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624</v>
      </c>
      <c r="D215" s="1" t="s">
        <v>625</v>
      </c>
      <c r="E215" s="1" t="s">
        <v>626</v>
      </c>
      <c r="F215" s="1" t="s">
        <v>112</v>
      </c>
      <c r="G215" s="1">
        <v>8597389</v>
      </c>
    </row>
    <row r="216" spans="1:7" x14ac:dyDescent="0.3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627</v>
      </c>
      <c r="D216" s="1" t="s">
        <v>628</v>
      </c>
      <c r="E216" s="1" t="s">
        <v>629</v>
      </c>
      <c r="F216" s="1" t="s">
        <v>112</v>
      </c>
      <c r="G216" s="1">
        <v>7765829</v>
      </c>
    </row>
    <row r="217" spans="1:7" x14ac:dyDescent="0.3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630</v>
      </c>
      <c r="D217" s="1" t="s">
        <v>631</v>
      </c>
      <c r="E217" s="1" t="s">
        <v>632</v>
      </c>
      <c r="F217" s="1" t="s">
        <v>112</v>
      </c>
      <c r="G217" s="1">
        <v>7823760</v>
      </c>
    </row>
    <row r="218" spans="1:7" x14ac:dyDescent="0.3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633</v>
      </c>
      <c r="D218" s="1" t="s">
        <v>634</v>
      </c>
      <c r="E218" s="1" t="s">
        <v>635</v>
      </c>
      <c r="F218" s="1" t="s">
        <v>112</v>
      </c>
      <c r="G218" s="1">
        <v>3289407</v>
      </c>
    </row>
    <row r="219" spans="1:7" x14ac:dyDescent="0.3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636</v>
      </c>
      <c r="D219" s="1" t="s">
        <v>637</v>
      </c>
      <c r="E219" s="1" t="s">
        <v>638</v>
      </c>
      <c r="F219" s="1" t="s">
        <v>112</v>
      </c>
      <c r="G219" s="1">
        <v>3662136</v>
      </c>
    </row>
    <row r="220" spans="1:7" x14ac:dyDescent="0.3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639</v>
      </c>
      <c r="D220" s="1" t="s">
        <v>640</v>
      </c>
      <c r="E220" s="1" t="s">
        <v>641</v>
      </c>
      <c r="F220" s="1" t="s">
        <v>112</v>
      </c>
      <c r="G220" s="1">
        <v>3414448</v>
      </c>
    </row>
    <row r="221" spans="1:7" x14ac:dyDescent="0.3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642</v>
      </c>
      <c r="D221" s="1" t="s">
        <v>643</v>
      </c>
      <c r="E221" s="1" t="s">
        <v>644</v>
      </c>
      <c r="F221" s="1" t="s">
        <v>112</v>
      </c>
      <c r="G221" s="1">
        <v>5563740</v>
      </c>
    </row>
    <row r="222" spans="1:7" x14ac:dyDescent="0.3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645</v>
      </c>
      <c r="D222" s="1" t="s">
        <v>646</v>
      </c>
      <c r="E222" s="1" t="s">
        <v>647</v>
      </c>
      <c r="F222" s="1" t="s">
        <v>112</v>
      </c>
      <c r="G222" s="1">
        <v>5051091</v>
      </c>
    </row>
    <row r="223" spans="1:7" x14ac:dyDescent="0.3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648</v>
      </c>
      <c r="D223" s="1" t="s">
        <v>649</v>
      </c>
      <c r="E223" s="1" t="s">
        <v>650</v>
      </c>
      <c r="F223" s="1" t="s">
        <v>112</v>
      </c>
      <c r="G223" s="1">
        <v>4477097</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227</v>
      </c>
      <c r="D225" s="1" t="s">
        <v>112</v>
      </c>
      <c r="E225" s="1" t="s">
        <v>228</v>
      </c>
      <c r="F225" s="1" t="s">
        <v>229</v>
      </c>
      <c r="G225" s="1" t="s">
        <v>230</v>
      </c>
      <c r="H225" s="1" t="s">
        <v>231</v>
      </c>
      <c r="I225" s="1" t="s">
        <v>232</v>
      </c>
      <c r="J225" s="1" t="s">
        <v>233</v>
      </c>
    </row>
    <row r="226" spans="1:10" x14ac:dyDescent="0.3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651</v>
      </c>
      <c r="D226" s="1" t="s">
        <v>112</v>
      </c>
      <c r="E226" s="1" t="s">
        <v>652</v>
      </c>
      <c r="F226" s="1" t="s">
        <v>653</v>
      </c>
      <c r="G226" s="1" t="s">
        <v>654</v>
      </c>
      <c r="H226" s="1" t="s">
        <v>655</v>
      </c>
      <c r="I226" s="1">
        <v>24</v>
      </c>
      <c r="J226" s="1">
        <v>24</v>
      </c>
    </row>
    <row r="227" spans="1:10"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239</v>
      </c>
      <c r="D232" s="1" t="s">
        <v>110</v>
      </c>
      <c r="E232" s="1" t="s">
        <v>111</v>
      </c>
      <c r="F232" s="1" t="s">
        <v>112</v>
      </c>
      <c r="G232" s="1" t="s">
        <v>113</v>
      </c>
    </row>
    <row r="233" spans="1:10" x14ac:dyDescent="0.35">
      <c r="A233" s="1" t="str">
        <f t="shared" si="3"/>
        <v>08 Anastrozole 0.032</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656</v>
      </c>
      <c r="D233" s="1" t="s">
        <v>657</v>
      </c>
      <c r="E233" s="1" t="s">
        <v>658</v>
      </c>
      <c r="F233" s="1" t="s">
        <v>112</v>
      </c>
      <c r="G233" s="1">
        <v>326350</v>
      </c>
    </row>
    <row r="234" spans="1:10" x14ac:dyDescent="0.35">
      <c r="A234" s="1" t="str">
        <f t="shared" si="3"/>
        <v>08 Anastrozole 0.032</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659</v>
      </c>
      <c r="D234" s="1" t="s">
        <v>660</v>
      </c>
      <c r="E234" s="1" t="s">
        <v>661</v>
      </c>
      <c r="F234" s="1" t="s">
        <v>112</v>
      </c>
      <c r="G234" s="1">
        <v>424329</v>
      </c>
    </row>
    <row r="235" spans="1:10" x14ac:dyDescent="0.35">
      <c r="A235" s="1" t="str">
        <f t="shared" si="3"/>
        <v>08 Anastrozole 0.032</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662</v>
      </c>
      <c r="D235" s="1" t="s">
        <v>663</v>
      </c>
      <c r="E235" s="1" t="s">
        <v>664</v>
      </c>
      <c r="F235" s="1" t="s">
        <v>112</v>
      </c>
      <c r="G235" s="1">
        <v>377602</v>
      </c>
    </row>
    <row r="236" spans="1:10" x14ac:dyDescent="0.35">
      <c r="A236" s="1" t="str">
        <f t="shared" si="3"/>
        <v>08 Anastrozole 0.032</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665</v>
      </c>
      <c r="D236" s="1" t="s">
        <v>666</v>
      </c>
      <c r="E236" s="1" t="s">
        <v>667</v>
      </c>
      <c r="F236" s="1" t="s">
        <v>112</v>
      </c>
      <c r="G236" s="1">
        <v>95804</v>
      </c>
    </row>
    <row r="237" spans="1:10" x14ac:dyDescent="0.35">
      <c r="A237" s="1" t="str">
        <f t="shared" si="3"/>
        <v>08 Anastrozole 0.032</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668</v>
      </c>
      <c r="D237" s="1" t="s">
        <v>669</v>
      </c>
      <c r="E237" s="1" t="s">
        <v>670</v>
      </c>
      <c r="F237" s="1" t="s">
        <v>112</v>
      </c>
      <c r="G237" s="1">
        <v>392003</v>
      </c>
    </row>
    <row r="238" spans="1:10" x14ac:dyDescent="0.35">
      <c r="A238" s="1" t="str">
        <f t="shared" si="3"/>
        <v>08 Anastrozole 0.032</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671</v>
      </c>
      <c r="D238" s="1" t="s">
        <v>672</v>
      </c>
      <c r="E238" s="1" t="s">
        <v>673</v>
      </c>
      <c r="F238" s="1" t="s">
        <v>112</v>
      </c>
      <c r="G238" s="1">
        <v>159281</v>
      </c>
    </row>
    <row r="239" spans="1:10" x14ac:dyDescent="0.35">
      <c r="A239" s="1" t="str">
        <f t="shared" si="3"/>
        <v>08 Anastrozole 0.032</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674</v>
      </c>
      <c r="D239" s="1" t="s">
        <v>675</v>
      </c>
      <c r="E239" s="1" t="s">
        <v>676</v>
      </c>
      <c r="F239" s="1" t="s">
        <v>112</v>
      </c>
      <c r="G239" s="1">
        <v>215362</v>
      </c>
    </row>
    <row r="240" spans="1:10" x14ac:dyDescent="0.35">
      <c r="A240" s="1" t="str">
        <f t="shared" si="3"/>
        <v>08 Anastrozole 0.032</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677</v>
      </c>
      <c r="D240" s="1" t="s">
        <v>678</v>
      </c>
      <c r="E240" s="1" t="s">
        <v>679</v>
      </c>
      <c r="F240" s="1" t="s">
        <v>112</v>
      </c>
      <c r="G240" s="1">
        <v>109465</v>
      </c>
    </row>
    <row r="241" spans="1:7" x14ac:dyDescent="0.35">
      <c r="A241" s="1" t="str">
        <f t="shared" si="3"/>
        <v>08 Anastrozole 0.032</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680</v>
      </c>
      <c r="D241" s="1" t="s">
        <v>681</v>
      </c>
      <c r="E241" s="1" t="s">
        <v>682</v>
      </c>
      <c r="F241" s="1" t="s">
        <v>112</v>
      </c>
      <c r="G241" s="1">
        <v>186952</v>
      </c>
    </row>
    <row r="242" spans="1:7" x14ac:dyDescent="0.35">
      <c r="A242" s="1" t="str">
        <f t="shared" si="3"/>
        <v>08 Anastrozole 0.032</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683</v>
      </c>
      <c r="D242" s="1" t="s">
        <v>217</v>
      </c>
      <c r="E242" s="1" t="s">
        <v>684</v>
      </c>
      <c r="F242" s="1" t="s">
        <v>112</v>
      </c>
      <c r="G242" s="1">
        <v>77596</v>
      </c>
    </row>
    <row r="243" spans="1:7" x14ac:dyDescent="0.35">
      <c r="A243" s="1" t="str">
        <f t="shared" si="3"/>
        <v>08 Anastrozole 0.032</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685</v>
      </c>
      <c r="D243" s="1" t="s">
        <v>336</v>
      </c>
      <c r="E243" s="1" t="s">
        <v>686</v>
      </c>
      <c r="F243" s="1" t="s">
        <v>112</v>
      </c>
      <c r="G243" s="1">
        <v>111444</v>
      </c>
    </row>
    <row r="244" spans="1:7" x14ac:dyDescent="0.35">
      <c r="A244" s="1" t="str">
        <f t="shared" si="3"/>
        <v>08 Anastrozole 0.032</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687</v>
      </c>
      <c r="D244" s="1" t="s">
        <v>688</v>
      </c>
      <c r="E244" s="1" t="s">
        <v>689</v>
      </c>
      <c r="F244" s="1" t="s">
        <v>112</v>
      </c>
      <c r="G244" s="1">
        <v>160390</v>
      </c>
    </row>
    <row r="245" spans="1:7" x14ac:dyDescent="0.35">
      <c r="A245" s="1" t="str">
        <f t="shared" si="3"/>
        <v>08 Anastrozole 0.032</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690</v>
      </c>
    </row>
    <row r="246" spans="1:7" x14ac:dyDescent="0.35">
      <c r="A246" s="1" t="str">
        <f t="shared" si="3"/>
        <v>08 Anastrozole 0.032</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691</v>
      </c>
      <c r="D246" s="1" t="s">
        <v>692</v>
      </c>
      <c r="E246" s="1" t="s">
        <v>693</v>
      </c>
      <c r="F246" s="1" t="s">
        <v>112</v>
      </c>
      <c r="G246" s="1">
        <v>521133</v>
      </c>
    </row>
    <row r="247" spans="1:7" x14ac:dyDescent="0.35">
      <c r="A247" s="1" t="str">
        <f t="shared" si="3"/>
        <v>08 Anastrozole 0.032</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694</v>
      </c>
    </row>
    <row r="248" spans="1:7" x14ac:dyDescent="0.35">
      <c r="A248" s="1" t="str">
        <f t="shared" si="3"/>
        <v>08 Anastrozole 0.032</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695</v>
      </c>
      <c r="D248" s="1" t="s">
        <v>696</v>
      </c>
      <c r="E248" s="1" t="s">
        <v>697</v>
      </c>
      <c r="F248" s="1" t="s">
        <v>112</v>
      </c>
      <c r="G248" s="1">
        <v>369031</v>
      </c>
    </row>
    <row r="249" spans="1:7" x14ac:dyDescent="0.35">
      <c r="A249" s="1" t="str">
        <f t="shared" si="3"/>
        <v>08 Anastrozole 0.032</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698</v>
      </c>
      <c r="D249" s="1" t="s">
        <v>699</v>
      </c>
      <c r="E249" s="1" t="s">
        <v>700</v>
      </c>
      <c r="F249" s="1" t="s">
        <v>112</v>
      </c>
      <c r="G249" s="1">
        <v>313145</v>
      </c>
    </row>
    <row r="250" spans="1:7" x14ac:dyDescent="0.35">
      <c r="A250" s="1" t="str">
        <f t="shared" si="3"/>
        <v>08 Anastrozole 0.032</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701</v>
      </c>
      <c r="D250" s="1" t="s">
        <v>702</v>
      </c>
      <c r="E250" s="1" t="s">
        <v>703</v>
      </c>
      <c r="F250" s="1" t="s">
        <v>112</v>
      </c>
      <c r="G250" s="1">
        <v>177119</v>
      </c>
    </row>
    <row r="251" spans="1:7" x14ac:dyDescent="0.35">
      <c r="A251" s="1" t="str">
        <f t="shared" si="3"/>
        <v>08 Anastrozole 0.032</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704</v>
      </c>
      <c r="D251" s="1" t="s">
        <v>324</v>
      </c>
      <c r="E251" s="1" t="s">
        <v>705</v>
      </c>
      <c r="F251" s="1" t="s">
        <v>112</v>
      </c>
      <c r="G251" s="1">
        <v>293567</v>
      </c>
    </row>
    <row r="252" spans="1:7" x14ac:dyDescent="0.35">
      <c r="A252" s="1" t="str">
        <f t="shared" si="3"/>
        <v>08 Anastrozole 0.032</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706</v>
      </c>
      <c r="D252" s="1" t="s">
        <v>707</v>
      </c>
      <c r="E252" s="1" t="s">
        <v>708</v>
      </c>
      <c r="F252" s="1" t="s">
        <v>112</v>
      </c>
      <c r="G252" s="1">
        <v>119689</v>
      </c>
    </row>
    <row r="253" spans="1:7" x14ac:dyDescent="0.35">
      <c r="A253" s="1" t="str">
        <f t="shared" si="3"/>
        <v>08 Anastrozole 0.032</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709</v>
      </c>
      <c r="D253" s="1" t="s">
        <v>710</v>
      </c>
      <c r="E253" s="1" t="s">
        <v>711</v>
      </c>
      <c r="F253" s="1" t="s">
        <v>112</v>
      </c>
      <c r="G253" s="1">
        <v>220235</v>
      </c>
    </row>
    <row r="254" spans="1:7" x14ac:dyDescent="0.35">
      <c r="A254" s="1" t="str">
        <f t="shared" si="3"/>
        <v>08 Anastrozole 0.032</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712</v>
      </c>
    </row>
    <row r="255" spans="1:7" x14ac:dyDescent="0.35">
      <c r="A255" s="1" t="str">
        <f t="shared" si="3"/>
        <v>08 Anastrozole 0.032</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713</v>
      </c>
    </row>
    <row r="256" spans="1:7" x14ac:dyDescent="0.35">
      <c r="A256" s="1" t="str">
        <f t="shared" si="3"/>
        <v>08 Anastrozole 0.032</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714</v>
      </c>
    </row>
    <row r="257" spans="1:10"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227</v>
      </c>
      <c r="D258" s="1" t="s">
        <v>112</v>
      </c>
      <c r="E258" s="1" t="s">
        <v>228</v>
      </c>
      <c r="F258" s="1" t="s">
        <v>229</v>
      </c>
      <c r="G258" s="1" t="s">
        <v>230</v>
      </c>
      <c r="H258" s="1" t="s">
        <v>231</v>
      </c>
      <c r="I258" s="1" t="s">
        <v>232</v>
      </c>
      <c r="J258" s="1" t="s">
        <v>233</v>
      </c>
    </row>
    <row r="259" spans="1:10" x14ac:dyDescent="0.35">
      <c r="A259" s="1" t="str">
        <f t="shared" si="4"/>
        <v>08 Anastrozole 0.032</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715</v>
      </c>
      <c r="D259" s="1" t="s">
        <v>112</v>
      </c>
      <c r="E259" s="1" t="s">
        <v>716</v>
      </c>
      <c r="F259" s="1" t="s">
        <v>717</v>
      </c>
      <c r="G259" s="1" t="s">
        <v>718</v>
      </c>
      <c r="H259" s="1" t="s">
        <v>719</v>
      </c>
      <c r="I259" s="1">
        <v>24</v>
      </c>
      <c r="J259" s="1">
        <v>24</v>
      </c>
    </row>
    <row r="260" spans="1:10"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239</v>
      </c>
      <c r="D265" s="1" t="s">
        <v>110</v>
      </c>
      <c r="E265" s="1" t="s">
        <v>111</v>
      </c>
      <c r="F265" s="1" t="s">
        <v>112</v>
      </c>
      <c r="G265" s="1" t="s">
        <v>113</v>
      </c>
    </row>
    <row r="266" spans="1:10" x14ac:dyDescent="0.35">
      <c r="A266" s="1" t="str">
        <f t="shared" si="4"/>
        <v>09 Anastrozole 0.16</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720</v>
      </c>
      <c r="D266" s="1" t="s">
        <v>721</v>
      </c>
      <c r="E266" s="1" t="s">
        <v>722</v>
      </c>
      <c r="F266" s="1" t="s">
        <v>112</v>
      </c>
      <c r="G266" s="1">
        <v>1233264</v>
      </c>
    </row>
    <row r="267" spans="1:10" x14ac:dyDescent="0.35">
      <c r="A267" s="1" t="str">
        <f t="shared" si="4"/>
        <v>09 Anastrozole 0.16</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723</v>
      </c>
      <c r="D267" s="1" t="s">
        <v>207</v>
      </c>
      <c r="E267" s="1" t="s">
        <v>724</v>
      </c>
      <c r="F267" s="1" t="s">
        <v>112</v>
      </c>
      <c r="G267" s="1">
        <v>27758</v>
      </c>
    </row>
    <row r="268" spans="1:10" x14ac:dyDescent="0.35">
      <c r="A268" s="1" t="str">
        <f t="shared" si="4"/>
        <v>09 Anastrozole 0.16</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725</v>
      </c>
    </row>
    <row r="269" spans="1:10" x14ac:dyDescent="0.35">
      <c r="A269" s="1" t="str">
        <f t="shared" si="4"/>
        <v>09 Anastrozole 0.16</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726</v>
      </c>
      <c r="D269" s="1" t="s">
        <v>213</v>
      </c>
      <c r="E269" s="1" t="s">
        <v>727</v>
      </c>
      <c r="F269" s="1" t="s">
        <v>112</v>
      </c>
      <c r="G269" s="1">
        <v>19470</v>
      </c>
    </row>
    <row r="270" spans="1:10" x14ac:dyDescent="0.35">
      <c r="A270" s="1" t="str">
        <f t="shared" si="4"/>
        <v>09 Anastrozole 0.16</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728</v>
      </c>
      <c r="D270" s="1" t="s">
        <v>729</v>
      </c>
      <c r="E270" s="1" t="s">
        <v>730</v>
      </c>
      <c r="F270" s="1" t="s">
        <v>112</v>
      </c>
      <c r="G270" s="1">
        <v>385607</v>
      </c>
    </row>
    <row r="271" spans="1:10" x14ac:dyDescent="0.35">
      <c r="A271" s="1" t="str">
        <f t="shared" si="4"/>
        <v>09 Anastrozole 0.16</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731</v>
      </c>
      <c r="D271" s="1" t="s">
        <v>732</v>
      </c>
      <c r="E271" s="1" t="s">
        <v>733</v>
      </c>
      <c r="F271" s="1" t="s">
        <v>112</v>
      </c>
      <c r="G271" s="1">
        <v>261763</v>
      </c>
    </row>
    <row r="272" spans="1:10" x14ac:dyDescent="0.35">
      <c r="A272" s="1" t="str">
        <f t="shared" si="4"/>
        <v>09 Anastrozole 0.16</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734</v>
      </c>
      <c r="D272" s="1" t="s">
        <v>735</v>
      </c>
      <c r="E272" s="1" t="s">
        <v>736</v>
      </c>
      <c r="F272" s="1" t="s">
        <v>112</v>
      </c>
      <c r="G272" s="1">
        <v>571906</v>
      </c>
    </row>
    <row r="273" spans="1:7" x14ac:dyDescent="0.35">
      <c r="A273" s="1" t="str">
        <f t="shared" si="4"/>
        <v>09 Anastrozole 0.16</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737</v>
      </c>
      <c r="D273" s="1" t="s">
        <v>213</v>
      </c>
      <c r="E273" s="1" t="s">
        <v>738</v>
      </c>
      <c r="F273" s="1" t="s">
        <v>112</v>
      </c>
      <c r="G273" s="1">
        <v>19230</v>
      </c>
    </row>
    <row r="274" spans="1:7" x14ac:dyDescent="0.35">
      <c r="A274" s="1" t="str">
        <f t="shared" si="4"/>
        <v>09 Anastrozole 0.16</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739</v>
      </c>
      <c r="D274" s="1" t="s">
        <v>740</v>
      </c>
      <c r="E274" s="1" t="s">
        <v>741</v>
      </c>
      <c r="F274" s="1" t="s">
        <v>112</v>
      </c>
      <c r="G274" s="1">
        <v>343818</v>
      </c>
    </row>
    <row r="275" spans="1:7" x14ac:dyDescent="0.35">
      <c r="A275" s="1" t="str">
        <f t="shared" si="4"/>
        <v>09 Anastrozole 0.16</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742</v>
      </c>
      <c r="D275" s="1" t="s">
        <v>421</v>
      </c>
      <c r="E275" s="1" t="s">
        <v>743</v>
      </c>
      <c r="F275" s="1" t="s">
        <v>112</v>
      </c>
      <c r="G275" s="1">
        <v>90148</v>
      </c>
    </row>
    <row r="276" spans="1:7" x14ac:dyDescent="0.35">
      <c r="A276" s="1" t="str">
        <f t="shared" si="4"/>
        <v>09 Anastrozole 0.16</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744</v>
      </c>
      <c r="D276" s="1" t="s">
        <v>745</v>
      </c>
      <c r="E276" s="1" t="s">
        <v>746</v>
      </c>
      <c r="F276" s="1" t="s">
        <v>112</v>
      </c>
      <c r="G276" s="1">
        <v>269877</v>
      </c>
    </row>
    <row r="277" spans="1:7" x14ac:dyDescent="0.35">
      <c r="A277" s="1" t="str">
        <f t="shared" si="4"/>
        <v>09 Anastrozole 0.16</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747</v>
      </c>
      <c r="D277" s="1" t="s">
        <v>748</v>
      </c>
      <c r="E277" s="1" t="s">
        <v>749</v>
      </c>
      <c r="F277" s="1" t="s">
        <v>112</v>
      </c>
      <c r="G277" s="1">
        <v>87211</v>
      </c>
    </row>
    <row r="278" spans="1:7" x14ac:dyDescent="0.35">
      <c r="A278" s="1" t="str">
        <f t="shared" si="4"/>
        <v>09 Anastrozole 0.16</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750</v>
      </c>
      <c r="D278" s="1" t="s">
        <v>250</v>
      </c>
      <c r="E278" s="1" t="s">
        <v>751</v>
      </c>
      <c r="F278" s="1" t="s">
        <v>112</v>
      </c>
      <c r="G278" s="1">
        <v>33044</v>
      </c>
    </row>
    <row r="279" spans="1:7" x14ac:dyDescent="0.35">
      <c r="A279" s="1" t="str">
        <f t="shared" si="4"/>
        <v>09 Anastrozole 0.16</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752</v>
      </c>
      <c r="D279" s="1" t="s">
        <v>259</v>
      </c>
      <c r="E279" s="1" t="s">
        <v>753</v>
      </c>
      <c r="F279" s="1" t="s">
        <v>112</v>
      </c>
      <c r="G279" s="1">
        <v>35698</v>
      </c>
    </row>
    <row r="280" spans="1:7" x14ac:dyDescent="0.35">
      <c r="A280" s="1" t="str">
        <f t="shared" si="4"/>
        <v>09 Anastrozole 0.16</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754</v>
      </c>
    </row>
    <row r="281" spans="1:7" x14ac:dyDescent="0.35">
      <c r="A281" s="1" t="str">
        <f t="shared" si="4"/>
        <v>09 Anastrozole 0.16</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755</v>
      </c>
      <c r="D281" s="1" t="s">
        <v>371</v>
      </c>
      <c r="E281" s="1" t="s">
        <v>756</v>
      </c>
      <c r="F281" s="1" t="s">
        <v>112</v>
      </c>
      <c r="G281" s="1">
        <v>142596</v>
      </c>
    </row>
    <row r="282" spans="1:7" x14ac:dyDescent="0.35">
      <c r="A282" s="1" t="str">
        <f t="shared" si="4"/>
        <v>09 Anastrozole 0.16</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757</v>
      </c>
      <c r="D282" s="1" t="s">
        <v>758</v>
      </c>
      <c r="E282" s="1" t="s">
        <v>759</v>
      </c>
      <c r="F282" s="1" t="s">
        <v>112</v>
      </c>
      <c r="G282" s="1">
        <v>255128</v>
      </c>
    </row>
    <row r="283" spans="1:7" x14ac:dyDescent="0.35">
      <c r="A283" s="1" t="str">
        <f t="shared" si="4"/>
        <v>09 Anastrozole 0.16</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760</v>
      </c>
      <c r="D283" s="1" t="s">
        <v>333</v>
      </c>
      <c r="E283" s="1" t="s">
        <v>761</v>
      </c>
      <c r="F283" s="1" t="s">
        <v>112</v>
      </c>
      <c r="G283" s="1">
        <v>76095</v>
      </c>
    </row>
    <row r="284" spans="1:7" x14ac:dyDescent="0.35">
      <c r="A284" s="1" t="str">
        <f t="shared" si="4"/>
        <v>09 Anastrozole 0.16</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762</v>
      </c>
      <c r="D284" s="1" t="s">
        <v>763</v>
      </c>
      <c r="E284" s="1" t="s">
        <v>764</v>
      </c>
      <c r="F284" s="1" t="s">
        <v>112</v>
      </c>
      <c r="G284" s="1">
        <v>288411</v>
      </c>
    </row>
    <row r="285" spans="1:7" x14ac:dyDescent="0.35">
      <c r="A285" s="1" t="str">
        <f t="shared" si="4"/>
        <v>09 Anastrozole 0.16</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765</v>
      </c>
    </row>
    <row r="286" spans="1:7" x14ac:dyDescent="0.35">
      <c r="A286" s="1" t="str">
        <f t="shared" si="4"/>
        <v>09 Anastrozole 0.16</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766</v>
      </c>
      <c r="D286" s="1" t="s">
        <v>767</v>
      </c>
      <c r="E286" s="1" t="s">
        <v>768</v>
      </c>
      <c r="F286" s="1" t="s">
        <v>112</v>
      </c>
      <c r="G286" s="1">
        <v>257608</v>
      </c>
    </row>
    <row r="287" spans="1:7" x14ac:dyDescent="0.35">
      <c r="A287" s="1" t="str">
        <f t="shared" si="4"/>
        <v>09 Anastrozole 0.16</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769</v>
      </c>
      <c r="D287" s="1" t="s">
        <v>770</v>
      </c>
      <c r="E287" s="1" t="s">
        <v>771</v>
      </c>
      <c r="F287" s="1" t="s">
        <v>112</v>
      </c>
      <c r="G287" s="1">
        <v>329787</v>
      </c>
    </row>
    <row r="288" spans="1:7" x14ac:dyDescent="0.35">
      <c r="A288" s="1" t="str">
        <f t="shared" si="4"/>
        <v>09 Anastrozole 0.16</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772</v>
      </c>
      <c r="D288" s="1" t="s">
        <v>773</v>
      </c>
      <c r="E288" s="1" t="s">
        <v>774</v>
      </c>
      <c r="F288" s="1" t="s">
        <v>112</v>
      </c>
      <c r="G288" s="1">
        <v>558789</v>
      </c>
    </row>
    <row r="289" spans="1:10" x14ac:dyDescent="0.35">
      <c r="A289" s="1" t="str">
        <f t="shared" si="4"/>
        <v>09 Anastrozole 0.16</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775</v>
      </c>
      <c r="D289" s="1" t="s">
        <v>776</v>
      </c>
      <c r="E289" s="1" t="s">
        <v>777</v>
      </c>
      <c r="F289" s="1" t="s">
        <v>112</v>
      </c>
      <c r="G289" s="1">
        <v>364615</v>
      </c>
    </row>
    <row r="290" spans="1:10"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227</v>
      </c>
      <c r="D291" s="1" t="s">
        <v>112</v>
      </c>
      <c r="E291" s="1" t="s">
        <v>228</v>
      </c>
      <c r="F291" s="1" t="s">
        <v>229</v>
      </c>
      <c r="G291" s="1" t="s">
        <v>230</v>
      </c>
      <c r="H291" s="1" t="s">
        <v>231</v>
      </c>
      <c r="I291" s="1" t="s">
        <v>232</v>
      </c>
      <c r="J291" s="1" t="s">
        <v>233</v>
      </c>
    </row>
    <row r="292" spans="1:10" x14ac:dyDescent="0.35">
      <c r="A292" s="1" t="str">
        <f t="shared" si="4"/>
        <v>09 Anastrozole 0.16</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778</v>
      </c>
      <c r="D292" s="1" t="s">
        <v>112</v>
      </c>
      <c r="E292" s="1" t="s">
        <v>779</v>
      </c>
      <c r="F292" s="1" t="s">
        <v>780</v>
      </c>
      <c r="G292" s="1" t="s">
        <v>781</v>
      </c>
      <c r="H292" s="1" t="s">
        <v>782</v>
      </c>
      <c r="I292" s="1">
        <v>24</v>
      </c>
      <c r="J292" s="1">
        <v>24</v>
      </c>
    </row>
    <row r="293" spans="1:10"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239</v>
      </c>
      <c r="D298" s="1" t="s">
        <v>110</v>
      </c>
      <c r="E298" s="1" t="s">
        <v>111</v>
      </c>
      <c r="F298" s="1" t="s">
        <v>112</v>
      </c>
      <c r="G298" s="1" t="s">
        <v>113</v>
      </c>
    </row>
    <row r="299" spans="1:10" x14ac:dyDescent="0.35">
      <c r="A299" s="1" t="str">
        <f t="shared" si="4"/>
        <v>10 Anastrozole 0.8</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783</v>
      </c>
      <c r="D299" s="1" t="s">
        <v>351</v>
      </c>
      <c r="E299" s="1" t="s">
        <v>784</v>
      </c>
      <c r="F299" s="1" t="s">
        <v>112</v>
      </c>
      <c r="G299" s="1">
        <v>224194</v>
      </c>
    </row>
    <row r="300" spans="1:10" x14ac:dyDescent="0.35">
      <c r="A300" s="1" t="str">
        <f t="shared" si="4"/>
        <v>10 Anastrozole 0.8</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785</v>
      </c>
      <c r="D300" s="1" t="s">
        <v>274</v>
      </c>
      <c r="E300" s="1" t="s">
        <v>786</v>
      </c>
      <c r="F300" s="1" t="s">
        <v>112</v>
      </c>
      <c r="G300" s="1">
        <v>50164</v>
      </c>
    </row>
    <row r="301" spans="1:10" x14ac:dyDescent="0.35">
      <c r="A301" s="1" t="str">
        <f t="shared" si="4"/>
        <v>10 Anastrozole 0.8</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787</v>
      </c>
      <c r="D301" s="1" t="s">
        <v>788</v>
      </c>
      <c r="E301" s="1" t="s">
        <v>789</v>
      </c>
      <c r="F301" s="1" t="s">
        <v>112</v>
      </c>
      <c r="G301" s="1">
        <v>401988</v>
      </c>
    </row>
    <row r="302" spans="1:10" x14ac:dyDescent="0.35">
      <c r="A302" s="1" t="str">
        <f t="shared" si="4"/>
        <v>10 Anastrozole 0.8</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790</v>
      </c>
      <c r="D302" s="1" t="s">
        <v>791</v>
      </c>
      <c r="E302" s="1" t="s">
        <v>792</v>
      </c>
      <c r="F302" s="1" t="s">
        <v>112</v>
      </c>
      <c r="G302" s="1">
        <v>371772</v>
      </c>
    </row>
    <row r="303" spans="1:10" x14ac:dyDescent="0.35">
      <c r="A303" s="1" t="str">
        <f t="shared" si="4"/>
        <v>10 Anastrozole 0.8</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793</v>
      </c>
      <c r="D303" s="1" t="s">
        <v>421</v>
      </c>
      <c r="E303" s="1" t="s">
        <v>794</v>
      </c>
      <c r="F303" s="1" t="s">
        <v>112</v>
      </c>
      <c r="G303" s="1">
        <v>88320</v>
      </c>
    </row>
    <row r="304" spans="1:10" x14ac:dyDescent="0.35">
      <c r="A304" s="1" t="str">
        <f t="shared" si="4"/>
        <v>10 Anastrozole 0.8</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795</v>
      </c>
      <c r="D304" s="1" t="s">
        <v>796</v>
      </c>
      <c r="E304" s="1" t="s">
        <v>797</v>
      </c>
      <c r="F304" s="1" t="s">
        <v>112</v>
      </c>
      <c r="G304" s="1">
        <v>165742</v>
      </c>
    </row>
    <row r="305" spans="1:7" x14ac:dyDescent="0.35">
      <c r="A305" s="1" t="str">
        <f t="shared" si="4"/>
        <v>10 Anastrozole 0.8</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798</v>
      </c>
      <c r="D305" s="1" t="s">
        <v>770</v>
      </c>
      <c r="E305" s="1" t="s">
        <v>799</v>
      </c>
      <c r="F305" s="1" t="s">
        <v>112</v>
      </c>
      <c r="G305" s="1">
        <v>333637</v>
      </c>
    </row>
    <row r="306" spans="1:7" x14ac:dyDescent="0.35">
      <c r="A306" s="1" t="str">
        <f t="shared" si="4"/>
        <v>10 Anastrozole 0.8</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800</v>
      </c>
      <c r="D306" s="1" t="s">
        <v>801</v>
      </c>
      <c r="E306" s="1" t="s">
        <v>802</v>
      </c>
      <c r="F306" s="1" t="s">
        <v>112</v>
      </c>
      <c r="G306" s="1">
        <v>366768</v>
      </c>
    </row>
    <row r="307" spans="1:7" x14ac:dyDescent="0.35">
      <c r="A307" s="1" t="str">
        <f t="shared" si="4"/>
        <v>10 Anastrozole 0.8</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803</v>
      </c>
      <c r="D307" s="1" t="s">
        <v>804</v>
      </c>
      <c r="E307" s="1" t="s">
        <v>805</v>
      </c>
      <c r="F307" s="1" t="s">
        <v>112</v>
      </c>
      <c r="G307" s="1">
        <v>579542</v>
      </c>
    </row>
    <row r="308" spans="1:7" x14ac:dyDescent="0.35">
      <c r="A308" s="1" t="str">
        <f t="shared" si="4"/>
        <v>10 Anastrozole 0.8</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806</v>
      </c>
      <c r="D308" s="1" t="s">
        <v>807</v>
      </c>
      <c r="E308" s="1" t="s">
        <v>808</v>
      </c>
      <c r="F308" s="1" t="s">
        <v>112</v>
      </c>
      <c r="G308" s="1">
        <v>151950</v>
      </c>
    </row>
    <row r="309" spans="1:7" x14ac:dyDescent="0.35">
      <c r="A309" s="1" t="str">
        <f t="shared" si="4"/>
        <v>10 Anastrozole 0.8</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809</v>
      </c>
      <c r="D309" s="1" t="s">
        <v>710</v>
      </c>
      <c r="E309" s="1" t="s">
        <v>810</v>
      </c>
      <c r="F309" s="1" t="s">
        <v>112</v>
      </c>
      <c r="G309" s="1">
        <v>223346</v>
      </c>
    </row>
    <row r="310" spans="1:7" x14ac:dyDescent="0.35">
      <c r="A310" s="1" t="str">
        <f t="shared" si="4"/>
        <v>10 Anastrozole 0.8</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811</v>
      </c>
      <c r="D310" s="1" t="s">
        <v>812</v>
      </c>
      <c r="E310" s="1" t="s">
        <v>813</v>
      </c>
      <c r="F310" s="1" t="s">
        <v>112</v>
      </c>
      <c r="G310" s="1">
        <v>116796</v>
      </c>
    </row>
    <row r="311" spans="1:7" x14ac:dyDescent="0.35">
      <c r="A311" s="1" t="str">
        <f t="shared" si="4"/>
        <v>10 Anastrozole 0.8</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814</v>
      </c>
      <c r="D311" s="1" t="s">
        <v>815</v>
      </c>
      <c r="E311" s="1" t="s">
        <v>816</v>
      </c>
      <c r="F311" s="1" t="s">
        <v>112</v>
      </c>
      <c r="G311" s="1">
        <v>388326</v>
      </c>
    </row>
    <row r="312" spans="1:7" x14ac:dyDescent="0.35">
      <c r="A312" s="1" t="str">
        <f t="shared" si="4"/>
        <v>10 Anastrozole 0.8</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817</v>
      </c>
      <c r="D312" s="1" t="s">
        <v>247</v>
      </c>
      <c r="E312" s="1" t="s">
        <v>818</v>
      </c>
      <c r="F312" s="1" t="s">
        <v>112</v>
      </c>
      <c r="G312" s="1">
        <v>24625</v>
      </c>
    </row>
    <row r="313" spans="1:7" x14ac:dyDescent="0.35">
      <c r="A313" s="1" t="str">
        <f t="shared" si="4"/>
        <v>10 Anastrozole 0.8</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819</v>
      </c>
      <c r="D313" s="1" t="s">
        <v>820</v>
      </c>
      <c r="E313" s="1" t="s">
        <v>821</v>
      </c>
      <c r="F313" s="1" t="s">
        <v>112</v>
      </c>
      <c r="G313" s="1">
        <v>42311</v>
      </c>
    </row>
    <row r="314" spans="1:7" x14ac:dyDescent="0.35">
      <c r="A314" s="1" t="str">
        <f t="shared" si="4"/>
        <v>10 Anastrozole 0.8</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822</v>
      </c>
      <c r="D314" s="1" t="s">
        <v>207</v>
      </c>
      <c r="E314" s="1" t="s">
        <v>823</v>
      </c>
      <c r="F314" s="1" t="s">
        <v>112</v>
      </c>
      <c r="G314" s="1">
        <v>27823</v>
      </c>
    </row>
    <row r="315" spans="1:7" x14ac:dyDescent="0.35">
      <c r="A315" s="1" t="str">
        <f t="shared" si="4"/>
        <v>10 Anastrozole 0.8</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824</v>
      </c>
      <c r="D315" s="1" t="s">
        <v>247</v>
      </c>
      <c r="E315" s="1">
        <v>63</v>
      </c>
      <c r="F315" s="1" t="s">
        <v>112</v>
      </c>
      <c r="G315" s="1">
        <v>24669</v>
      </c>
    </row>
    <row r="316" spans="1:7" x14ac:dyDescent="0.35">
      <c r="A316" s="1" t="str">
        <f t="shared" si="4"/>
        <v>10 Anastrozole 0.8</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825</v>
      </c>
      <c r="D316" s="1" t="s">
        <v>415</v>
      </c>
      <c r="E316" s="1" t="s">
        <v>826</v>
      </c>
      <c r="F316" s="1" t="s">
        <v>112</v>
      </c>
      <c r="G316" s="1">
        <v>27519</v>
      </c>
    </row>
    <row r="317" spans="1:7" x14ac:dyDescent="0.35">
      <c r="A317" s="1" t="str">
        <f t="shared" si="4"/>
        <v>10 Anastrozole 0.8</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827</v>
      </c>
      <c r="D317" s="1" t="s">
        <v>828</v>
      </c>
      <c r="E317" s="1" t="s">
        <v>829</v>
      </c>
      <c r="F317" s="1" t="s">
        <v>112</v>
      </c>
      <c r="G317" s="1">
        <v>296134</v>
      </c>
    </row>
    <row r="318" spans="1:7" x14ac:dyDescent="0.35">
      <c r="A318" s="1" t="str">
        <f t="shared" si="4"/>
        <v>10 Anastrozole 0.8</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830</v>
      </c>
      <c r="D318" s="1" t="s">
        <v>831</v>
      </c>
      <c r="E318" s="1" t="s">
        <v>832</v>
      </c>
      <c r="F318" s="1" t="s">
        <v>112</v>
      </c>
      <c r="G318" s="1">
        <v>302812</v>
      </c>
    </row>
    <row r="319" spans="1:7" x14ac:dyDescent="0.35">
      <c r="A319" s="1" t="str">
        <f t="shared" si="4"/>
        <v>10 Anastrozole 0.8</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833</v>
      </c>
      <c r="D319" s="1" t="s">
        <v>834</v>
      </c>
      <c r="E319" s="1" t="s">
        <v>835</v>
      </c>
      <c r="F319" s="1" t="s">
        <v>112</v>
      </c>
      <c r="G319" s="1">
        <v>167982</v>
      </c>
    </row>
    <row r="320" spans="1:7" x14ac:dyDescent="0.35">
      <c r="A320" s="1" t="str">
        <f t="shared" si="4"/>
        <v>10 Anastrozole 0.8</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836</v>
      </c>
      <c r="D320" s="1" t="s">
        <v>280</v>
      </c>
      <c r="E320" s="1" t="s">
        <v>837</v>
      </c>
      <c r="F320" s="1" t="s">
        <v>112</v>
      </c>
      <c r="G320" s="1">
        <v>432552</v>
      </c>
    </row>
    <row r="321" spans="1:10" x14ac:dyDescent="0.35">
      <c r="A321" s="1" t="str">
        <f t="shared" si="4"/>
        <v>10 Anastrozole 0.8</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838</v>
      </c>
      <c r="D321" s="1" t="s">
        <v>839</v>
      </c>
      <c r="E321" s="1" t="s">
        <v>840</v>
      </c>
      <c r="F321" s="1" t="s">
        <v>112</v>
      </c>
      <c r="G321" s="1">
        <v>499379</v>
      </c>
    </row>
    <row r="322" spans="1:10" x14ac:dyDescent="0.35">
      <c r="A322" s="1" t="str">
        <f t="shared" ref="A322:A385" si="5">IFERROR(LEFT(RIGHT(C322,LEN(C322)-SEARCH("@",C322)),SEARCH("/",RIGHT(C322,LEN(C322)-SEARCH("@",C322)-1))),"")</f>
        <v>10 Anastrozole 0.8</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841</v>
      </c>
      <c r="D322" s="1" t="s">
        <v>842</v>
      </c>
      <c r="E322" s="1" t="s">
        <v>271</v>
      </c>
      <c r="F322" s="1" t="s">
        <v>112</v>
      </c>
      <c r="G322" s="1">
        <v>44204</v>
      </c>
    </row>
    <row r="323" spans="1:10"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227</v>
      </c>
      <c r="D324" s="1" t="s">
        <v>112</v>
      </c>
      <c r="E324" s="1" t="s">
        <v>228</v>
      </c>
      <c r="F324" s="1" t="s">
        <v>229</v>
      </c>
      <c r="G324" s="1" t="s">
        <v>230</v>
      </c>
      <c r="H324" s="1" t="s">
        <v>231</v>
      </c>
      <c r="I324" s="1" t="s">
        <v>232</v>
      </c>
      <c r="J324" s="1" t="s">
        <v>233</v>
      </c>
    </row>
    <row r="325" spans="1:10" x14ac:dyDescent="0.35">
      <c r="A325" s="1" t="str">
        <f t="shared" si="5"/>
        <v>10 Anastrozole 0.8</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843</v>
      </c>
      <c r="D325" s="1" t="s">
        <v>112</v>
      </c>
      <c r="E325" s="1" t="s">
        <v>844</v>
      </c>
      <c r="F325" s="1" t="s">
        <v>845</v>
      </c>
      <c r="G325" s="1" t="s">
        <v>846</v>
      </c>
      <c r="H325" s="1" t="s">
        <v>847</v>
      </c>
      <c r="I325" s="1">
        <v>24</v>
      </c>
      <c r="J325" s="1">
        <v>24</v>
      </c>
    </row>
    <row r="326" spans="1:10"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239</v>
      </c>
      <c r="D331" s="1" t="s">
        <v>110</v>
      </c>
      <c r="E331" s="1" t="s">
        <v>111</v>
      </c>
      <c r="F331" s="1" t="s">
        <v>112</v>
      </c>
      <c r="G331" s="1" t="s">
        <v>113</v>
      </c>
    </row>
    <row r="332" spans="1:10" x14ac:dyDescent="0.35">
      <c r="A332" s="1" t="str">
        <f t="shared" si="5"/>
        <v>11 Anastrozole 4</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848</v>
      </c>
      <c r="D332" s="1" t="s">
        <v>327</v>
      </c>
      <c r="E332" s="1" t="s">
        <v>849</v>
      </c>
      <c r="F332" s="1" t="s">
        <v>112</v>
      </c>
      <c r="G332" s="1">
        <v>91692</v>
      </c>
    </row>
    <row r="333" spans="1:10" x14ac:dyDescent="0.35">
      <c r="A333" s="1" t="str">
        <f t="shared" si="5"/>
        <v>11 Anastrozole 4</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850</v>
      </c>
      <c r="D333" s="1" t="s">
        <v>851</v>
      </c>
      <c r="E333" s="1" t="s">
        <v>852</v>
      </c>
      <c r="F333" s="1" t="s">
        <v>112</v>
      </c>
      <c r="G333" s="1">
        <v>69242</v>
      </c>
    </row>
    <row r="334" spans="1:10" x14ac:dyDescent="0.35">
      <c r="A334" s="1" t="str">
        <f t="shared" si="5"/>
        <v>11 Anastrozole 4</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853</v>
      </c>
      <c r="D334" s="1" t="s">
        <v>854</v>
      </c>
      <c r="E334" s="1" t="s">
        <v>855</v>
      </c>
      <c r="F334" s="1" t="s">
        <v>112</v>
      </c>
      <c r="G334" s="1">
        <v>188583</v>
      </c>
    </row>
    <row r="335" spans="1:10" x14ac:dyDescent="0.35">
      <c r="A335" s="1" t="str">
        <f t="shared" si="5"/>
        <v>11 Anastrozole 4</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856</v>
      </c>
      <c r="D335" s="1" t="s">
        <v>412</v>
      </c>
      <c r="E335" s="1" t="s">
        <v>857</v>
      </c>
      <c r="F335" s="1" t="s">
        <v>112</v>
      </c>
      <c r="G335" s="1">
        <v>40049</v>
      </c>
    </row>
    <row r="336" spans="1:10" x14ac:dyDescent="0.35">
      <c r="A336" s="1" t="str">
        <f t="shared" si="5"/>
        <v>11 Anastrozole 4</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858</v>
      </c>
      <c r="D336" s="1" t="s">
        <v>362</v>
      </c>
      <c r="E336" s="1" t="s">
        <v>859</v>
      </c>
      <c r="F336" s="1" t="s">
        <v>112</v>
      </c>
      <c r="G336" s="1">
        <v>31499</v>
      </c>
    </row>
    <row r="337" spans="1:7" x14ac:dyDescent="0.35">
      <c r="A337" s="1" t="str">
        <f t="shared" si="5"/>
        <v>11 Anastrozole 4</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860</v>
      </c>
      <c r="D337" s="1" t="s">
        <v>861</v>
      </c>
      <c r="E337" s="1" t="s">
        <v>818</v>
      </c>
      <c r="F337" s="1" t="s">
        <v>112</v>
      </c>
      <c r="G337" s="1">
        <v>12313</v>
      </c>
    </row>
    <row r="338" spans="1:7" x14ac:dyDescent="0.35">
      <c r="A338" s="1" t="str">
        <f t="shared" si="5"/>
        <v>11 Anastrozole 4</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862</v>
      </c>
      <c r="D338" s="1" t="s">
        <v>863</v>
      </c>
      <c r="E338" s="1" t="s">
        <v>864</v>
      </c>
      <c r="F338" s="1" t="s">
        <v>112</v>
      </c>
      <c r="G338" s="1">
        <v>184515</v>
      </c>
    </row>
    <row r="339" spans="1:7" x14ac:dyDescent="0.35">
      <c r="A339" s="1" t="str">
        <f t="shared" si="5"/>
        <v>11 Anastrozole 4</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865</v>
      </c>
      <c r="D339" s="1" t="s">
        <v>851</v>
      </c>
      <c r="E339" s="1" t="s">
        <v>866</v>
      </c>
      <c r="F339" s="1" t="s">
        <v>112</v>
      </c>
      <c r="G339" s="1">
        <v>64500</v>
      </c>
    </row>
    <row r="340" spans="1:7" x14ac:dyDescent="0.35">
      <c r="A340" s="1" t="str">
        <f t="shared" si="5"/>
        <v>11 Anastrozole 4</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867</v>
      </c>
      <c r="D340" s="1" t="s">
        <v>868</v>
      </c>
      <c r="E340" s="1" t="s">
        <v>869</v>
      </c>
      <c r="F340" s="1" t="s">
        <v>112</v>
      </c>
      <c r="G340" s="1">
        <v>74137</v>
      </c>
    </row>
    <row r="341" spans="1:7" x14ac:dyDescent="0.35">
      <c r="A341" s="1" t="str">
        <f t="shared" si="5"/>
        <v>11 Anastrozole 4</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870</v>
      </c>
      <c r="D341" s="1" t="s">
        <v>357</v>
      </c>
      <c r="E341" s="1" t="s">
        <v>871</v>
      </c>
      <c r="F341" s="1" t="s">
        <v>112</v>
      </c>
      <c r="G341" s="1">
        <v>277795</v>
      </c>
    </row>
    <row r="342" spans="1:7" x14ac:dyDescent="0.35">
      <c r="A342" s="1" t="str">
        <f t="shared" si="5"/>
        <v>11 Anastrozole 4</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872</v>
      </c>
      <c r="D342" s="1" t="s">
        <v>873</v>
      </c>
      <c r="E342" s="1" t="s">
        <v>874</v>
      </c>
      <c r="F342" s="1" t="s">
        <v>112</v>
      </c>
      <c r="G342" s="1">
        <v>53667</v>
      </c>
    </row>
    <row r="343" spans="1:7" x14ac:dyDescent="0.35">
      <c r="A343" s="1" t="str">
        <f t="shared" si="5"/>
        <v>11 Anastrozole 4</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875</v>
      </c>
      <c r="D343" s="1" t="s">
        <v>876</v>
      </c>
      <c r="E343" s="1" t="s">
        <v>877</v>
      </c>
      <c r="F343" s="1" t="s">
        <v>112</v>
      </c>
      <c r="G343" s="1">
        <v>143118</v>
      </c>
    </row>
    <row r="344" spans="1:7" x14ac:dyDescent="0.35">
      <c r="A344" s="1" t="str">
        <f t="shared" si="5"/>
        <v>11 Anastrozole 4</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878</v>
      </c>
      <c r="D344" s="1" t="s">
        <v>879</v>
      </c>
      <c r="E344" s="1" t="s">
        <v>880</v>
      </c>
      <c r="F344" s="1" t="s">
        <v>112</v>
      </c>
      <c r="G344" s="1">
        <v>288237</v>
      </c>
    </row>
    <row r="345" spans="1:7" x14ac:dyDescent="0.35">
      <c r="A345" s="1" t="str">
        <f t="shared" si="5"/>
        <v>11 Anastrozole 4</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881</v>
      </c>
      <c r="D345" s="1" t="s">
        <v>882</v>
      </c>
      <c r="E345" s="1" t="s">
        <v>883</v>
      </c>
      <c r="F345" s="1" t="s">
        <v>112</v>
      </c>
      <c r="G345" s="1">
        <v>262372</v>
      </c>
    </row>
    <row r="346" spans="1:7" x14ac:dyDescent="0.35">
      <c r="A346" s="1" t="str">
        <f t="shared" si="5"/>
        <v>11 Anastrozole 4</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884</v>
      </c>
      <c r="D346" s="1" t="s">
        <v>210</v>
      </c>
      <c r="E346" s="1" t="s">
        <v>885</v>
      </c>
      <c r="F346" s="1" t="s">
        <v>112</v>
      </c>
      <c r="G346" s="1">
        <v>21036</v>
      </c>
    </row>
    <row r="347" spans="1:7" x14ac:dyDescent="0.35">
      <c r="A347" s="1" t="str">
        <f t="shared" si="5"/>
        <v>11 Anastrozole 4</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886</v>
      </c>
      <c r="D347" s="1" t="s">
        <v>887</v>
      </c>
      <c r="E347" s="1" t="s">
        <v>888</v>
      </c>
      <c r="F347" s="1" t="s">
        <v>112</v>
      </c>
      <c r="G347" s="1">
        <v>373294</v>
      </c>
    </row>
    <row r="348" spans="1:7" x14ac:dyDescent="0.35">
      <c r="A348" s="1" t="str">
        <f t="shared" si="5"/>
        <v>11 Anastrozole 4</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889</v>
      </c>
      <c r="D348" s="1" t="s">
        <v>879</v>
      </c>
      <c r="E348" s="1" t="s">
        <v>890</v>
      </c>
      <c r="F348" s="1" t="s">
        <v>112</v>
      </c>
      <c r="G348" s="1">
        <v>267636</v>
      </c>
    </row>
    <row r="349" spans="1:7" x14ac:dyDescent="0.35">
      <c r="A349" s="1" t="str">
        <f t="shared" si="5"/>
        <v>11 Anastrozole 4</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891</v>
      </c>
      <c r="D349" s="1" t="s">
        <v>892</v>
      </c>
      <c r="E349" s="1" t="s">
        <v>893</v>
      </c>
      <c r="F349" s="1" t="s">
        <v>112</v>
      </c>
      <c r="G349" s="1">
        <v>360547</v>
      </c>
    </row>
    <row r="350" spans="1:7" x14ac:dyDescent="0.35">
      <c r="A350" s="1" t="str">
        <f t="shared" si="5"/>
        <v>11 Anastrozole 4</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894</v>
      </c>
      <c r="D350" s="1" t="s">
        <v>895</v>
      </c>
      <c r="E350" s="1" t="s">
        <v>896</v>
      </c>
      <c r="F350" s="1" t="s">
        <v>112</v>
      </c>
      <c r="G350" s="1">
        <v>1197653</v>
      </c>
    </row>
    <row r="351" spans="1:7" x14ac:dyDescent="0.35">
      <c r="A351" s="1" t="str">
        <f t="shared" si="5"/>
        <v>11 Anastrozole 4</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897</v>
      </c>
      <c r="D351" s="1" t="s">
        <v>898</v>
      </c>
      <c r="E351" s="1" t="s">
        <v>899</v>
      </c>
      <c r="F351" s="1" t="s">
        <v>112</v>
      </c>
      <c r="G351" s="1">
        <v>749743</v>
      </c>
    </row>
    <row r="352" spans="1:7" x14ac:dyDescent="0.35">
      <c r="A352" s="1" t="str">
        <f t="shared" si="5"/>
        <v>11 Anastrozole 4</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900</v>
      </c>
      <c r="D352" s="1" t="s">
        <v>901</v>
      </c>
      <c r="E352" s="1" t="s">
        <v>902</v>
      </c>
      <c r="F352" s="1" t="s">
        <v>112</v>
      </c>
      <c r="G352" s="1">
        <v>860470</v>
      </c>
    </row>
    <row r="353" spans="1:10" x14ac:dyDescent="0.35">
      <c r="A353" s="1" t="str">
        <f t="shared" si="5"/>
        <v>11 Anastrozole 4</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903</v>
      </c>
    </row>
    <row r="354" spans="1:10" x14ac:dyDescent="0.35">
      <c r="A354" s="1" t="str">
        <f t="shared" si="5"/>
        <v>11 Anastrozole 4</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904</v>
      </c>
    </row>
    <row r="355" spans="1:10" x14ac:dyDescent="0.35">
      <c r="A355" s="1" t="str">
        <f t="shared" si="5"/>
        <v>11 Anastrozole 4</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905</v>
      </c>
    </row>
    <row r="356" spans="1:10"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227</v>
      </c>
      <c r="D357" s="1" t="s">
        <v>112</v>
      </c>
      <c r="E357" s="1" t="s">
        <v>228</v>
      </c>
      <c r="F357" s="1" t="s">
        <v>229</v>
      </c>
      <c r="G357" s="1" t="s">
        <v>230</v>
      </c>
      <c r="H357" s="1" t="s">
        <v>231</v>
      </c>
      <c r="I357" s="1" t="s">
        <v>232</v>
      </c>
      <c r="J357" s="1" t="s">
        <v>233</v>
      </c>
    </row>
    <row r="358" spans="1:10" x14ac:dyDescent="0.35">
      <c r="A358" s="1" t="str">
        <f t="shared" si="5"/>
        <v>11 Anastrozole 4</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906</v>
      </c>
      <c r="D358" s="1" t="s">
        <v>112</v>
      </c>
      <c r="E358" s="1" t="s">
        <v>907</v>
      </c>
      <c r="F358" s="1" t="s">
        <v>908</v>
      </c>
      <c r="G358" s="1" t="s">
        <v>909</v>
      </c>
      <c r="H358" s="1" t="s">
        <v>910</v>
      </c>
      <c r="I358" s="1">
        <v>24</v>
      </c>
      <c r="J358" s="1">
        <v>24</v>
      </c>
    </row>
    <row r="359" spans="1:10"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239</v>
      </c>
      <c r="D364" s="1" t="s">
        <v>110</v>
      </c>
      <c r="E364" s="1" t="s">
        <v>111</v>
      </c>
      <c r="F364" s="1" t="s">
        <v>112</v>
      </c>
      <c r="G364" s="1" t="s">
        <v>113</v>
      </c>
    </row>
    <row r="365" spans="1:10" x14ac:dyDescent="0.35">
      <c r="A365" s="1" t="str">
        <f t="shared" si="5"/>
        <v>12 Anastrozole 20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911</v>
      </c>
      <c r="D365" s="1" t="s">
        <v>912</v>
      </c>
      <c r="E365" s="1" t="s">
        <v>913</v>
      </c>
      <c r="F365" s="1" t="s">
        <v>112</v>
      </c>
      <c r="G365" s="1">
        <v>921467</v>
      </c>
    </row>
    <row r="366" spans="1:10" x14ac:dyDescent="0.35">
      <c r="A366" s="1" t="str">
        <f t="shared" si="5"/>
        <v>12 Anastrozole 20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914</v>
      </c>
      <c r="D366" s="1" t="s">
        <v>915</v>
      </c>
      <c r="E366" s="1" t="s">
        <v>916</v>
      </c>
      <c r="F366" s="1" t="s">
        <v>112</v>
      </c>
      <c r="G366" s="1">
        <v>679283</v>
      </c>
    </row>
    <row r="367" spans="1:10" x14ac:dyDescent="0.35">
      <c r="A367" s="1" t="str">
        <f t="shared" si="5"/>
        <v>12 Anastrozole 20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917</v>
      </c>
    </row>
    <row r="368" spans="1:10" x14ac:dyDescent="0.35">
      <c r="A368" s="1" t="str">
        <f t="shared" si="5"/>
        <v>12 Anastrozole 20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918</v>
      </c>
      <c r="D368" s="1" t="s">
        <v>919</v>
      </c>
      <c r="E368" s="1" t="s">
        <v>920</v>
      </c>
      <c r="F368" s="1" t="s">
        <v>112</v>
      </c>
      <c r="G368" s="1">
        <v>481084</v>
      </c>
    </row>
    <row r="369" spans="1:7" x14ac:dyDescent="0.35">
      <c r="A369" s="1" t="str">
        <f t="shared" si="5"/>
        <v>12 Anastrozole 20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921</v>
      </c>
      <c r="D369" s="1" t="s">
        <v>922</v>
      </c>
      <c r="E369" s="1">
        <v>63</v>
      </c>
      <c r="F369" s="1" t="s">
        <v>112</v>
      </c>
      <c r="G369" s="1">
        <v>52078</v>
      </c>
    </row>
    <row r="370" spans="1:7" x14ac:dyDescent="0.35">
      <c r="A370" s="1" t="str">
        <f t="shared" si="5"/>
        <v>12 Anastrozole 20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923</v>
      </c>
    </row>
    <row r="371" spans="1:7" x14ac:dyDescent="0.35">
      <c r="A371" s="1" t="str">
        <f t="shared" si="5"/>
        <v>12 Anastrozole 20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924</v>
      </c>
      <c r="D371" s="1" t="s">
        <v>925</v>
      </c>
      <c r="E371" s="1" t="s">
        <v>926</v>
      </c>
      <c r="F371" s="1" t="s">
        <v>112</v>
      </c>
      <c r="G371" s="1">
        <v>190041</v>
      </c>
    </row>
    <row r="372" spans="1:7" x14ac:dyDescent="0.35">
      <c r="A372" s="1" t="str">
        <f t="shared" si="5"/>
        <v>12 Anastrozole 20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927</v>
      </c>
      <c r="D372" s="1" t="s">
        <v>788</v>
      </c>
      <c r="E372" s="1" t="s">
        <v>928</v>
      </c>
      <c r="F372" s="1" t="s">
        <v>112</v>
      </c>
      <c r="G372" s="1">
        <v>395244</v>
      </c>
    </row>
    <row r="373" spans="1:7" x14ac:dyDescent="0.35">
      <c r="A373" s="1" t="str">
        <f t="shared" si="5"/>
        <v>12 Anastrozole 20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929</v>
      </c>
      <c r="D373" s="1" t="s">
        <v>675</v>
      </c>
      <c r="E373" s="1" t="s">
        <v>930</v>
      </c>
      <c r="F373" s="1" t="s">
        <v>112</v>
      </c>
      <c r="G373" s="1">
        <v>209663</v>
      </c>
    </row>
    <row r="374" spans="1:7" x14ac:dyDescent="0.35">
      <c r="A374" s="1" t="str">
        <f t="shared" si="5"/>
        <v>12 Anastrozole 20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931</v>
      </c>
      <c r="D374" s="1" t="s">
        <v>932</v>
      </c>
      <c r="E374" s="1" t="s">
        <v>933</v>
      </c>
      <c r="F374" s="1" t="s">
        <v>112</v>
      </c>
      <c r="G374" s="1">
        <v>379755</v>
      </c>
    </row>
    <row r="375" spans="1:7" x14ac:dyDescent="0.35">
      <c r="A375" s="1" t="str">
        <f t="shared" si="5"/>
        <v>12 Anastrozole 20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934</v>
      </c>
      <c r="D375" s="1" t="s">
        <v>834</v>
      </c>
      <c r="E375" s="1" t="s">
        <v>935</v>
      </c>
      <c r="F375" s="1" t="s">
        <v>112</v>
      </c>
      <c r="G375" s="1">
        <v>164545</v>
      </c>
    </row>
    <row r="376" spans="1:7" x14ac:dyDescent="0.35">
      <c r="A376" s="1" t="str">
        <f t="shared" si="5"/>
        <v>12 Anastrozole 20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936</v>
      </c>
      <c r="D376" s="1" t="s">
        <v>937</v>
      </c>
      <c r="E376" s="1" t="s">
        <v>938</v>
      </c>
      <c r="F376" s="1" t="s">
        <v>112</v>
      </c>
      <c r="G376" s="1">
        <v>136418</v>
      </c>
    </row>
    <row r="377" spans="1:7" x14ac:dyDescent="0.35">
      <c r="A377" s="1" t="str">
        <f t="shared" si="5"/>
        <v>12 Anastrozole 20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939</v>
      </c>
      <c r="D377" s="1" t="s">
        <v>940</v>
      </c>
      <c r="E377" s="1" t="s">
        <v>941</v>
      </c>
      <c r="F377" s="1" t="s">
        <v>112</v>
      </c>
      <c r="G377" s="1">
        <v>15206</v>
      </c>
    </row>
    <row r="378" spans="1:7" x14ac:dyDescent="0.35">
      <c r="A378" s="1" t="str">
        <f t="shared" si="5"/>
        <v>12 Anastrozole 20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942</v>
      </c>
      <c r="D378" s="1" t="s">
        <v>182</v>
      </c>
      <c r="E378" s="1" t="s">
        <v>943</v>
      </c>
      <c r="F378" s="1" t="s">
        <v>112</v>
      </c>
      <c r="G378" s="1">
        <v>47053</v>
      </c>
    </row>
    <row r="379" spans="1:7" x14ac:dyDescent="0.35">
      <c r="A379" s="1" t="str">
        <f t="shared" si="5"/>
        <v>12 Anastrozole 20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944</v>
      </c>
      <c r="D379" s="1" t="s">
        <v>945</v>
      </c>
      <c r="E379" s="1" t="s">
        <v>422</v>
      </c>
      <c r="F379" s="1" t="s">
        <v>112</v>
      </c>
      <c r="G379" s="1">
        <v>21841</v>
      </c>
    </row>
    <row r="380" spans="1:7" x14ac:dyDescent="0.35">
      <c r="A380" s="1" t="str">
        <f t="shared" si="5"/>
        <v>12 Anastrozole 20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946</v>
      </c>
    </row>
    <row r="381" spans="1:7" x14ac:dyDescent="0.35">
      <c r="A381" s="1" t="str">
        <f t="shared" si="5"/>
        <v>12 Anastrozole 20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947</v>
      </c>
      <c r="D381" s="1" t="s">
        <v>321</v>
      </c>
      <c r="E381" s="1" t="s">
        <v>948</v>
      </c>
      <c r="F381" s="1" t="s">
        <v>112</v>
      </c>
      <c r="G381" s="1">
        <v>361286</v>
      </c>
    </row>
    <row r="382" spans="1:7" x14ac:dyDescent="0.35">
      <c r="A382" s="1" t="str">
        <f t="shared" si="5"/>
        <v>12 Anastrozole 20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949</v>
      </c>
      <c r="D382" s="1" t="s">
        <v>950</v>
      </c>
      <c r="E382" s="1" t="s">
        <v>951</v>
      </c>
      <c r="F382" s="1" t="s">
        <v>112</v>
      </c>
      <c r="G382" s="1">
        <v>320063</v>
      </c>
    </row>
    <row r="383" spans="1:7" x14ac:dyDescent="0.35">
      <c r="A383" s="1" t="str">
        <f t="shared" si="5"/>
        <v>12 Anastrozole 20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952</v>
      </c>
      <c r="D383" s="1" t="s">
        <v>953</v>
      </c>
      <c r="E383" s="1" t="s">
        <v>954</v>
      </c>
      <c r="F383" s="1" t="s">
        <v>112</v>
      </c>
      <c r="G383" s="1">
        <v>136701</v>
      </c>
    </row>
    <row r="384" spans="1:7" x14ac:dyDescent="0.35">
      <c r="A384" s="1" t="str">
        <f t="shared" si="5"/>
        <v>12 Anastrozole 20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955</v>
      </c>
      <c r="D384" s="1" t="s">
        <v>956</v>
      </c>
      <c r="E384" s="1" t="s">
        <v>957</v>
      </c>
      <c r="F384" s="1" t="s">
        <v>112</v>
      </c>
      <c r="G384" s="1">
        <v>48228</v>
      </c>
    </row>
    <row r="385" spans="1:10" x14ac:dyDescent="0.35">
      <c r="A385" s="1" t="str">
        <f t="shared" si="5"/>
        <v>12 Anastrozole 20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958</v>
      </c>
      <c r="D385" s="1" t="s">
        <v>959</v>
      </c>
      <c r="E385" s="1" t="s">
        <v>960</v>
      </c>
      <c r="F385" s="1" t="s">
        <v>112</v>
      </c>
      <c r="G385" s="1">
        <v>89234</v>
      </c>
    </row>
    <row r="386" spans="1:10" x14ac:dyDescent="0.35">
      <c r="A386" s="1" t="str">
        <f t="shared" ref="A386:A449" si="6">IFERROR(LEFT(RIGHT(C386,LEN(C386)-SEARCH("@",C386)),SEARCH("/",RIGHT(C386,LEN(C386)-SEARCH("@",C386)-1))),"")</f>
        <v>12 Anastrozole 20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961</v>
      </c>
      <c r="D386" s="1" t="s">
        <v>945</v>
      </c>
      <c r="E386" s="1" t="s">
        <v>962</v>
      </c>
      <c r="F386" s="1" t="s">
        <v>112</v>
      </c>
      <c r="G386" s="1">
        <v>23146</v>
      </c>
    </row>
    <row r="387" spans="1:10" x14ac:dyDescent="0.35">
      <c r="A387" s="1" t="str">
        <f t="shared" si="6"/>
        <v>12 Anastrozole 20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963</v>
      </c>
      <c r="D387" s="1" t="s">
        <v>940</v>
      </c>
      <c r="E387" s="1" t="s">
        <v>964</v>
      </c>
      <c r="F387" s="1" t="s">
        <v>112</v>
      </c>
      <c r="G387" s="1">
        <v>15380</v>
      </c>
    </row>
    <row r="388" spans="1:10" x14ac:dyDescent="0.35">
      <c r="A388" s="1" t="str">
        <f t="shared" si="6"/>
        <v>12 Anastrozole 20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965</v>
      </c>
      <c r="D388" s="1" t="s">
        <v>669</v>
      </c>
      <c r="E388" s="1" t="s">
        <v>966</v>
      </c>
      <c r="F388" s="1" t="s">
        <v>112</v>
      </c>
      <c r="G388" s="1">
        <v>400943</v>
      </c>
    </row>
    <row r="389" spans="1:10"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227</v>
      </c>
      <c r="D390" s="1" t="s">
        <v>112</v>
      </c>
      <c r="E390" s="1" t="s">
        <v>228</v>
      </c>
      <c r="F390" s="1" t="s">
        <v>229</v>
      </c>
      <c r="G390" s="1" t="s">
        <v>230</v>
      </c>
      <c r="H390" s="1" t="s">
        <v>231</v>
      </c>
      <c r="I390" s="1" t="s">
        <v>232</v>
      </c>
      <c r="J390" s="1" t="s">
        <v>233</v>
      </c>
    </row>
    <row r="391" spans="1:10" x14ac:dyDescent="0.35">
      <c r="A391" s="1" t="str">
        <f t="shared" si="6"/>
        <v>12 Anastrozole 20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967</v>
      </c>
      <c r="D391" s="1" t="s">
        <v>112</v>
      </c>
      <c r="E391" s="1" t="s">
        <v>968</v>
      </c>
      <c r="F391" s="1" t="s">
        <v>969</v>
      </c>
      <c r="G391" s="1" t="s">
        <v>970</v>
      </c>
      <c r="H391" s="1" t="s">
        <v>971</v>
      </c>
      <c r="I391" s="1">
        <v>24</v>
      </c>
      <c r="J391" s="1">
        <v>24</v>
      </c>
    </row>
    <row r="392" spans="1:10"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239</v>
      </c>
      <c r="D397" s="1" t="s">
        <v>110</v>
      </c>
      <c r="E397" s="1" t="s">
        <v>111</v>
      </c>
      <c r="F397" s="1" t="s">
        <v>112</v>
      </c>
      <c r="G397" s="1" t="s">
        <v>113</v>
      </c>
    </row>
    <row r="398" spans="1:10" x14ac:dyDescent="0.35">
      <c r="A398" s="1" t="str">
        <f t="shared" si="6"/>
        <v>01 TESTO</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972</v>
      </c>
      <c r="D398" s="1" t="s">
        <v>973</v>
      </c>
      <c r="E398" s="1" t="s">
        <v>974</v>
      </c>
      <c r="F398" s="1" t="s">
        <v>112</v>
      </c>
      <c r="G398" s="1">
        <v>2268046</v>
      </c>
    </row>
    <row r="399" spans="1:10" x14ac:dyDescent="0.35">
      <c r="A399" s="1" t="str">
        <f t="shared" si="6"/>
        <v>01 TESTO</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975</v>
      </c>
      <c r="D399" s="1" t="s">
        <v>976</v>
      </c>
      <c r="E399" s="1" t="s">
        <v>977</v>
      </c>
      <c r="F399" s="1" t="s">
        <v>112</v>
      </c>
      <c r="G399" s="1">
        <v>1938129</v>
      </c>
    </row>
    <row r="400" spans="1:10" x14ac:dyDescent="0.35">
      <c r="A400" s="1" t="str">
        <f t="shared" si="6"/>
        <v>01 TESTO</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978</v>
      </c>
      <c r="D400" s="1" t="s">
        <v>979</v>
      </c>
      <c r="E400" s="1" t="s">
        <v>980</v>
      </c>
      <c r="F400" s="1" t="s">
        <v>112</v>
      </c>
      <c r="G400" s="1">
        <v>1839236</v>
      </c>
    </row>
    <row r="401" spans="1:7" x14ac:dyDescent="0.35">
      <c r="A401" s="1" t="str">
        <f t="shared" si="6"/>
        <v>01 TESTO</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981</v>
      </c>
      <c r="D401" s="1" t="s">
        <v>982</v>
      </c>
      <c r="E401" s="1" t="s">
        <v>983</v>
      </c>
      <c r="F401" s="1" t="s">
        <v>112</v>
      </c>
      <c r="G401" s="1">
        <v>2737014</v>
      </c>
    </row>
    <row r="402" spans="1:7" x14ac:dyDescent="0.35">
      <c r="A402" s="1" t="str">
        <f t="shared" si="6"/>
        <v>01 TESTO</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984</v>
      </c>
      <c r="D402" s="1" t="s">
        <v>985</v>
      </c>
      <c r="E402" s="1" t="s">
        <v>986</v>
      </c>
      <c r="F402" s="1" t="s">
        <v>112</v>
      </c>
      <c r="G402" s="1">
        <v>2014593</v>
      </c>
    </row>
    <row r="403" spans="1:7" x14ac:dyDescent="0.35">
      <c r="A403" s="1" t="str">
        <f t="shared" si="6"/>
        <v>01 TESTO</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987</v>
      </c>
      <c r="D403" s="1" t="s">
        <v>988</v>
      </c>
      <c r="E403" s="1" t="s">
        <v>989</v>
      </c>
      <c r="F403" s="1" t="s">
        <v>112</v>
      </c>
      <c r="G403" s="1">
        <v>1788550</v>
      </c>
    </row>
    <row r="404" spans="1:7" x14ac:dyDescent="0.35">
      <c r="A404" s="1" t="str">
        <f t="shared" si="6"/>
        <v>01 TESTO</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990</v>
      </c>
      <c r="D404" s="1" t="s">
        <v>991</v>
      </c>
      <c r="E404" s="1" t="s">
        <v>992</v>
      </c>
      <c r="F404" s="1" t="s">
        <v>112</v>
      </c>
      <c r="G404" s="1">
        <v>3431959</v>
      </c>
    </row>
    <row r="405" spans="1:7" x14ac:dyDescent="0.35">
      <c r="A405" s="1" t="str">
        <f t="shared" si="6"/>
        <v>01 TESTO</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993</v>
      </c>
      <c r="D405" s="1" t="s">
        <v>994</v>
      </c>
      <c r="E405" s="1" t="s">
        <v>995</v>
      </c>
      <c r="F405" s="1" t="s">
        <v>112</v>
      </c>
      <c r="G405" s="1">
        <v>3137740</v>
      </c>
    </row>
    <row r="406" spans="1:7" x14ac:dyDescent="0.35">
      <c r="A406" s="1" t="str">
        <f t="shared" si="6"/>
        <v>01 TESTO</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996</v>
      </c>
      <c r="D406" s="1" t="s">
        <v>997</v>
      </c>
      <c r="E406" s="1" t="s">
        <v>998</v>
      </c>
      <c r="F406" s="1" t="s">
        <v>112</v>
      </c>
      <c r="G406" s="1">
        <v>3455388</v>
      </c>
    </row>
    <row r="407" spans="1:7" x14ac:dyDescent="0.35">
      <c r="A407" s="1" t="str">
        <f t="shared" si="6"/>
        <v>01 TESTO</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999</v>
      </c>
      <c r="D407" s="1" t="s">
        <v>1000</v>
      </c>
      <c r="E407" s="1" t="s">
        <v>1001</v>
      </c>
      <c r="F407" s="1" t="s">
        <v>112</v>
      </c>
      <c r="G407" s="1">
        <v>1576756</v>
      </c>
    </row>
    <row r="408" spans="1:7" x14ac:dyDescent="0.35">
      <c r="A408" s="1" t="str">
        <f t="shared" si="6"/>
        <v>01 TESTO</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1002</v>
      </c>
      <c r="D408" s="1" t="s">
        <v>1003</v>
      </c>
      <c r="E408" s="1" t="s">
        <v>1004</v>
      </c>
      <c r="F408" s="1" t="s">
        <v>112</v>
      </c>
      <c r="G408" s="1">
        <v>1254800</v>
      </c>
    </row>
    <row r="409" spans="1:7" x14ac:dyDescent="0.35">
      <c r="A409" s="1" t="str">
        <f t="shared" si="6"/>
        <v>01 TESTO</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1005</v>
      </c>
      <c r="D409" s="1" t="s">
        <v>1006</v>
      </c>
      <c r="E409" s="1" t="s">
        <v>1007</v>
      </c>
      <c r="F409" s="1" t="s">
        <v>112</v>
      </c>
      <c r="G409" s="1">
        <v>1130064</v>
      </c>
    </row>
    <row r="410" spans="1:7" x14ac:dyDescent="0.35">
      <c r="A410" s="1" t="str">
        <f t="shared" si="6"/>
        <v>01 TESTO</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1008</v>
      </c>
      <c r="D410" s="1" t="s">
        <v>1009</v>
      </c>
      <c r="E410" s="1" t="s">
        <v>1010</v>
      </c>
      <c r="F410" s="1" t="s">
        <v>112</v>
      </c>
      <c r="G410" s="1">
        <v>3466439</v>
      </c>
    </row>
    <row r="411" spans="1:7" x14ac:dyDescent="0.35">
      <c r="A411" s="1" t="str">
        <f t="shared" si="6"/>
        <v>01 TESTO</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1011</v>
      </c>
      <c r="D411" s="1" t="s">
        <v>1012</v>
      </c>
      <c r="E411" s="1" t="s">
        <v>1013</v>
      </c>
      <c r="F411" s="1" t="s">
        <v>112</v>
      </c>
      <c r="G411" s="1">
        <v>3386190</v>
      </c>
    </row>
    <row r="412" spans="1:7" x14ac:dyDescent="0.35">
      <c r="A412" s="1" t="str">
        <f t="shared" si="6"/>
        <v>01 TESTO</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1014</v>
      </c>
      <c r="D412" s="1" t="s">
        <v>1015</v>
      </c>
      <c r="E412" s="1" t="s">
        <v>1016</v>
      </c>
      <c r="F412" s="1" t="s">
        <v>112</v>
      </c>
      <c r="G412" s="1">
        <v>3339658</v>
      </c>
    </row>
    <row r="413" spans="1:7" x14ac:dyDescent="0.35">
      <c r="A413" s="1" t="str">
        <f t="shared" si="6"/>
        <v>01 TESTO</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1017</v>
      </c>
    </row>
    <row r="414" spans="1:7" x14ac:dyDescent="0.35">
      <c r="A414" s="1" t="str">
        <f t="shared" si="6"/>
        <v>01 TESTO</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1018</v>
      </c>
      <c r="D414" s="1" t="s">
        <v>1019</v>
      </c>
      <c r="E414" s="1" t="s">
        <v>1020</v>
      </c>
      <c r="F414" s="1" t="s">
        <v>112</v>
      </c>
      <c r="G414" s="1">
        <v>3982438</v>
      </c>
    </row>
    <row r="415" spans="1:7" x14ac:dyDescent="0.35">
      <c r="A415" s="1" t="str">
        <f t="shared" si="6"/>
        <v>01 TESTO</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1021</v>
      </c>
      <c r="D415" s="1" t="s">
        <v>1022</v>
      </c>
      <c r="E415" s="1" t="s">
        <v>1023</v>
      </c>
      <c r="F415" s="1" t="s">
        <v>112</v>
      </c>
      <c r="G415" s="1">
        <v>4241199</v>
      </c>
    </row>
    <row r="416" spans="1:7" x14ac:dyDescent="0.35">
      <c r="A416" s="1" t="str">
        <f t="shared" si="6"/>
        <v>01 TESTO</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1024</v>
      </c>
      <c r="D416" s="1" t="s">
        <v>1025</v>
      </c>
      <c r="E416" s="1" t="s">
        <v>1026</v>
      </c>
      <c r="F416" s="1" t="s">
        <v>112</v>
      </c>
      <c r="G416" s="1">
        <v>4592348</v>
      </c>
    </row>
    <row r="417" spans="1:10" x14ac:dyDescent="0.35">
      <c r="A417" s="1" t="str">
        <f t="shared" si="6"/>
        <v>01 TESTO</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1027</v>
      </c>
      <c r="D417" s="1" t="s">
        <v>1028</v>
      </c>
      <c r="E417" s="1" t="s">
        <v>1029</v>
      </c>
      <c r="F417" s="1" t="s">
        <v>112</v>
      </c>
      <c r="G417" s="1">
        <v>4540966</v>
      </c>
    </row>
    <row r="418" spans="1:10" x14ac:dyDescent="0.35">
      <c r="A418" s="1" t="str">
        <f t="shared" si="6"/>
        <v>01 TESTO</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1030</v>
      </c>
      <c r="D418" s="1" t="s">
        <v>1031</v>
      </c>
      <c r="E418" s="1" t="s">
        <v>1032</v>
      </c>
      <c r="F418" s="1" t="s">
        <v>112</v>
      </c>
      <c r="G418" s="1">
        <v>4888134</v>
      </c>
    </row>
    <row r="419" spans="1:10" x14ac:dyDescent="0.35">
      <c r="A419" s="1" t="str">
        <f t="shared" si="6"/>
        <v>01 TESTO</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1033</v>
      </c>
      <c r="D419" s="1" t="s">
        <v>1034</v>
      </c>
      <c r="E419" s="1" t="s">
        <v>1035</v>
      </c>
      <c r="F419" s="1" t="s">
        <v>112</v>
      </c>
      <c r="G419" s="1">
        <v>4192884</v>
      </c>
    </row>
    <row r="420" spans="1:10" x14ac:dyDescent="0.35">
      <c r="A420" s="1" t="str">
        <f t="shared" si="6"/>
        <v>01 TESTO</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1036</v>
      </c>
    </row>
    <row r="421" spans="1:10" x14ac:dyDescent="0.35">
      <c r="A421" s="1" t="str">
        <f t="shared" si="6"/>
        <v>01 TESTO</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1037</v>
      </c>
    </row>
    <row r="422" spans="1:10"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227</v>
      </c>
      <c r="D423" s="1" t="s">
        <v>112</v>
      </c>
      <c r="E423" s="1" t="s">
        <v>228</v>
      </c>
      <c r="F423" s="1" t="s">
        <v>229</v>
      </c>
      <c r="G423" s="1" t="s">
        <v>230</v>
      </c>
      <c r="H423" s="1" t="s">
        <v>231</v>
      </c>
      <c r="I423" s="1" t="s">
        <v>232</v>
      </c>
      <c r="J423" s="1" t="s">
        <v>233</v>
      </c>
    </row>
    <row r="424" spans="1:10" x14ac:dyDescent="0.35">
      <c r="A424" s="1" t="str">
        <f t="shared" si="6"/>
        <v>01 TESTO</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1038</v>
      </c>
      <c r="D424" s="1" t="s">
        <v>112</v>
      </c>
      <c r="E424" s="1" t="s">
        <v>1039</v>
      </c>
      <c r="F424" s="1" t="s">
        <v>1040</v>
      </c>
      <c r="G424" s="1" t="s">
        <v>1041</v>
      </c>
      <c r="H424" s="1" t="s">
        <v>1042</v>
      </c>
      <c r="I424" s="1">
        <v>24</v>
      </c>
      <c r="J424" s="1">
        <v>24</v>
      </c>
    </row>
    <row r="425" spans="1:10"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239</v>
      </c>
      <c r="D430" s="1" t="s">
        <v>110</v>
      </c>
      <c r="E430" s="1" t="s">
        <v>111</v>
      </c>
      <c r="F430" s="1" t="s">
        <v>112</v>
      </c>
      <c r="G430" s="1" t="s">
        <v>113</v>
      </c>
    </row>
    <row r="431" spans="1:10" x14ac:dyDescent="0.35">
      <c r="A431" s="1" t="str">
        <f t="shared" si="6"/>
        <v>02 TESTO</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1043</v>
      </c>
      <c r="D431" s="1" t="s">
        <v>1044</v>
      </c>
      <c r="E431" s="1" t="s">
        <v>1045</v>
      </c>
      <c r="F431" s="1" t="s">
        <v>112</v>
      </c>
      <c r="G431" s="1">
        <v>2266284</v>
      </c>
    </row>
    <row r="432" spans="1:10" x14ac:dyDescent="0.35">
      <c r="A432" s="1" t="str">
        <f t="shared" si="6"/>
        <v>02 TESTO</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1046</v>
      </c>
      <c r="D432" s="1" t="s">
        <v>1047</v>
      </c>
      <c r="E432" s="1" t="s">
        <v>1048</v>
      </c>
      <c r="F432" s="1" t="s">
        <v>112</v>
      </c>
      <c r="G432" s="1">
        <v>1826924</v>
      </c>
    </row>
    <row r="433" spans="1:7" x14ac:dyDescent="0.35">
      <c r="A433" s="1" t="str">
        <f t="shared" si="6"/>
        <v>02 TESTO</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1049</v>
      </c>
      <c r="D433" s="1" t="s">
        <v>1050</v>
      </c>
      <c r="E433" s="1" t="s">
        <v>1051</v>
      </c>
      <c r="F433" s="1" t="s">
        <v>112</v>
      </c>
      <c r="G433" s="1">
        <v>2495569</v>
      </c>
    </row>
    <row r="434" spans="1:7" x14ac:dyDescent="0.35">
      <c r="A434" s="1" t="str">
        <f t="shared" si="6"/>
        <v>02 TESTO</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1052</v>
      </c>
      <c r="D434" s="1" t="s">
        <v>1053</v>
      </c>
      <c r="E434" s="1" t="s">
        <v>1054</v>
      </c>
      <c r="F434" s="1" t="s">
        <v>112</v>
      </c>
      <c r="G434" s="1">
        <v>852508</v>
      </c>
    </row>
    <row r="435" spans="1:7" x14ac:dyDescent="0.35">
      <c r="A435" s="1" t="str">
        <f t="shared" si="6"/>
        <v>02 TESTO</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1055</v>
      </c>
      <c r="D435" s="1" t="s">
        <v>1056</v>
      </c>
      <c r="E435" s="1" t="s">
        <v>1057</v>
      </c>
      <c r="F435" s="1" t="s">
        <v>112</v>
      </c>
      <c r="G435" s="1">
        <v>2315927</v>
      </c>
    </row>
    <row r="436" spans="1:7" x14ac:dyDescent="0.35">
      <c r="A436" s="1" t="str">
        <f t="shared" si="6"/>
        <v>02 TESTO</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1058</v>
      </c>
    </row>
    <row r="437" spans="1:7" x14ac:dyDescent="0.35">
      <c r="A437" s="1" t="str">
        <f t="shared" si="6"/>
        <v>02 TESTO</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1059</v>
      </c>
      <c r="D437" s="1" t="s">
        <v>1060</v>
      </c>
      <c r="E437" s="1" t="s">
        <v>1061</v>
      </c>
      <c r="F437" s="1" t="s">
        <v>112</v>
      </c>
      <c r="G437" s="1">
        <v>3374769</v>
      </c>
    </row>
    <row r="438" spans="1:7" x14ac:dyDescent="0.35">
      <c r="A438" s="1" t="str">
        <f t="shared" si="6"/>
        <v>02 TESTO</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1062</v>
      </c>
      <c r="D438" s="1" t="s">
        <v>1063</v>
      </c>
      <c r="E438" s="1" t="s">
        <v>1064</v>
      </c>
      <c r="F438" s="1" t="s">
        <v>112</v>
      </c>
      <c r="G438" s="1">
        <v>3377270</v>
      </c>
    </row>
    <row r="439" spans="1:7" x14ac:dyDescent="0.35">
      <c r="A439" s="1" t="str">
        <f t="shared" si="6"/>
        <v>02 TESTO</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1065</v>
      </c>
      <c r="D439" s="1" t="s">
        <v>1066</v>
      </c>
      <c r="E439" s="1" t="s">
        <v>1067</v>
      </c>
      <c r="F439" s="1" t="s">
        <v>112</v>
      </c>
      <c r="G439" s="1">
        <v>3452169</v>
      </c>
    </row>
    <row r="440" spans="1:7" x14ac:dyDescent="0.35">
      <c r="A440" s="1" t="str">
        <f t="shared" si="6"/>
        <v>02 TESTO</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1068</v>
      </c>
      <c r="D440" s="1" t="s">
        <v>710</v>
      </c>
      <c r="E440" s="1" t="s">
        <v>1069</v>
      </c>
      <c r="F440" s="1" t="s">
        <v>112</v>
      </c>
      <c r="G440" s="1">
        <v>231242</v>
      </c>
    </row>
    <row r="441" spans="1:7" x14ac:dyDescent="0.35">
      <c r="A441" s="1" t="str">
        <f t="shared" si="6"/>
        <v>02 TESTO</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1070</v>
      </c>
      <c r="D441" s="1" t="s">
        <v>1071</v>
      </c>
      <c r="E441" s="1" t="s">
        <v>1072</v>
      </c>
      <c r="F441" s="1" t="s">
        <v>112</v>
      </c>
      <c r="G441" s="1">
        <v>211838</v>
      </c>
    </row>
    <row r="442" spans="1:7" x14ac:dyDescent="0.35">
      <c r="A442" s="1" t="str">
        <f t="shared" si="6"/>
        <v>02 TESTO</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1073</v>
      </c>
      <c r="D442" s="1" t="s">
        <v>1074</v>
      </c>
      <c r="E442" s="1" t="s">
        <v>1075</v>
      </c>
      <c r="F442" s="1" t="s">
        <v>112</v>
      </c>
      <c r="G442" s="1">
        <v>218081</v>
      </c>
    </row>
    <row r="443" spans="1:7" x14ac:dyDescent="0.35">
      <c r="A443" s="1" t="str">
        <f t="shared" si="6"/>
        <v>02 TESTO</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1076</v>
      </c>
      <c r="D443" s="1" t="s">
        <v>1077</v>
      </c>
      <c r="E443" s="1" t="s">
        <v>1078</v>
      </c>
      <c r="F443" s="1" t="s">
        <v>112</v>
      </c>
      <c r="G443" s="1">
        <v>1863862</v>
      </c>
    </row>
    <row r="444" spans="1:7" x14ac:dyDescent="0.35">
      <c r="A444" s="1" t="str">
        <f t="shared" si="6"/>
        <v>02 TESTO</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1079</v>
      </c>
    </row>
    <row r="445" spans="1:7" x14ac:dyDescent="0.35">
      <c r="A445" s="1" t="str">
        <f t="shared" si="6"/>
        <v>02 TESTO</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1080</v>
      </c>
      <c r="D445" s="1" t="s">
        <v>1081</v>
      </c>
      <c r="E445" s="1" t="s">
        <v>1082</v>
      </c>
      <c r="F445" s="1" t="s">
        <v>112</v>
      </c>
      <c r="G445" s="1">
        <v>1937368</v>
      </c>
    </row>
    <row r="446" spans="1:7" x14ac:dyDescent="0.35">
      <c r="A446" s="1" t="str">
        <f t="shared" si="6"/>
        <v>02 TESTO</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1083</v>
      </c>
      <c r="D446" s="1" t="s">
        <v>1084</v>
      </c>
      <c r="E446" s="1" t="s">
        <v>1085</v>
      </c>
      <c r="F446" s="1" t="s">
        <v>112</v>
      </c>
      <c r="G446" s="1">
        <v>2092233</v>
      </c>
    </row>
    <row r="447" spans="1:7" x14ac:dyDescent="0.35">
      <c r="A447" s="1" t="str">
        <f t="shared" si="6"/>
        <v>02 TESTO</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1086</v>
      </c>
      <c r="D447" s="1" t="s">
        <v>1087</v>
      </c>
      <c r="E447" s="1" t="s">
        <v>1088</v>
      </c>
      <c r="F447" s="1" t="s">
        <v>112</v>
      </c>
      <c r="G447" s="1">
        <v>1972805</v>
      </c>
    </row>
    <row r="448" spans="1:7" x14ac:dyDescent="0.35">
      <c r="A448" s="1" t="str">
        <f t="shared" si="6"/>
        <v>02 TESTO</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1089</v>
      </c>
      <c r="D448" s="1" t="s">
        <v>1090</v>
      </c>
      <c r="E448" s="1" t="s">
        <v>1091</v>
      </c>
      <c r="F448" s="1" t="s">
        <v>112</v>
      </c>
      <c r="G448" s="1">
        <v>2505119</v>
      </c>
    </row>
    <row r="449" spans="1:10" x14ac:dyDescent="0.35">
      <c r="A449" s="1" t="str">
        <f t="shared" si="6"/>
        <v>02 TESTO</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1092</v>
      </c>
      <c r="D449" s="1" t="s">
        <v>940</v>
      </c>
      <c r="E449" s="1" t="s">
        <v>1093</v>
      </c>
      <c r="F449" s="1" t="s">
        <v>112</v>
      </c>
      <c r="G449" s="1">
        <v>15489</v>
      </c>
    </row>
    <row r="450" spans="1:10" x14ac:dyDescent="0.35">
      <c r="A450" s="1" t="str">
        <f t="shared" ref="A450:A513" si="7">IFERROR(LEFT(RIGHT(C450,LEN(C450)-SEARCH("@",C450)),SEARCH("/",RIGHT(C450,LEN(C450)-SEARCH("@",C450)-1))),"")</f>
        <v>02 TESTO</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1094</v>
      </c>
      <c r="D450" s="1" t="s">
        <v>415</v>
      </c>
      <c r="E450" s="1" t="s">
        <v>1095</v>
      </c>
      <c r="F450" s="1" t="s">
        <v>112</v>
      </c>
      <c r="G450" s="1">
        <v>26235</v>
      </c>
    </row>
    <row r="451" spans="1:10" x14ac:dyDescent="0.35">
      <c r="A451" s="1" t="str">
        <f t="shared" si="7"/>
        <v>02 TESTO</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1096</v>
      </c>
      <c r="D451" s="1" t="s">
        <v>1097</v>
      </c>
      <c r="E451" s="1" t="s">
        <v>1098</v>
      </c>
      <c r="F451" s="1" t="s">
        <v>112</v>
      </c>
      <c r="G451" s="1">
        <v>13248</v>
      </c>
    </row>
    <row r="452" spans="1:10" x14ac:dyDescent="0.35">
      <c r="A452" s="1" t="str">
        <f t="shared" si="7"/>
        <v>02 TESTO</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1099</v>
      </c>
      <c r="D452" s="1" t="s">
        <v>1100</v>
      </c>
      <c r="E452" s="1" t="s">
        <v>1101</v>
      </c>
      <c r="F452" s="1" t="s">
        <v>112</v>
      </c>
      <c r="G452" s="1">
        <v>546498</v>
      </c>
    </row>
    <row r="453" spans="1:10" x14ac:dyDescent="0.35">
      <c r="A453" s="1" t="str">
        <f t="shared" si="7"/>
        <v>02 TESTO</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1102</v>
      </c>
      <c r="D453" s="1" t="s">
        <v>1103</v>
      </c>
      <c r="E453" s="1" t="s">
        <v>1104</v>
      </c>
      <c r="F453" s="1" t="s">
        <v>112</v>
      </c>
      <c r="G453" s="1">
        <v>440927</v>
      </c>
    </row>
    <row r="454" spans="1:10" x14ac:dyDescent="0.35">
      <c r="A454" s="1" t="str">
        <f t="shared" si="7"/>
        <v>02 TESTO</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1105</v>
      </c>
      <c r="D454" s="1" t="s">
        <v>1106</v>
      </c>
      <c r="E454" s="1" t="s">
        <v>1107</v>
      </c>
      <c r="F454" s="1" t="s">
        <v>112</v>
      </c>
      <c r="G454" s="1">
        <v>491309</v>
      </c>
    </row>
    <row r="455" spans="1:10"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227</v>
      </c>
      <c r="D456" s="1" t="s">
        <v>112</v>
      </c>
      <c r="E456" s="1" t="s">
        <v>228</v>
      </c>
      <c r="F456" s="1" t="s">
        <v>229</v>
      </c>
      <c r="G456" s="1" t="s">
        <v>230</v>
      </c>
      <c r="H456" s="1" t="s">
        <v>231</v>
      </c>
      <c r="I456" s="1" t="s">
        <v>232</v>
      </c>
      <c r="J456" s="1" t="s">
        <v>233</v>
      </c>
    </row>
    <row r="457" spans="1:10" x14ac:dyDescent="0.35">
      <c r="A457" s="1" t="str">
        <f t="shared" si="7"/>
        <v>02 TESTO</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1108</v>
      </c>
      <c r="D457" s="1" t="s">
        <v>112</v>
      </c>
      <c r="E457" s="1" t="s">
        <v>1109</v>
      </c>
      <c r="F457" s="1" t="s">
        <v>1110</v>
      </c>
      <c r="G457" s="1" t="s">
        <v>1111</v>
      </c>
      <c r="H457" s="1" t="s">
        <v>1112</v>
      </c>
      <c r="I457" s="1">
        <v>24</v>
      </c>
      <c r="J457" s="1">
        <v>24</v>
      </c>
    </row>
    <row r="458" spans="1:10"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239</v>
      </c>
      <c r="D463" s="1" t="s">
        <v>110</v>
      </c>
      <c r="E463" s="1" t="s">
        <v>111</v>
      </c>
      <c r="F463" s="1" t="s">
        <v>112</v>
      </c>
      <c r="G463" s="1" t="s">
        <v>113</v>
      </c>
    </row>
    <row r="464" spans="1:10" x14ac:dyDescent="0.35">
      <c r="A464" s="1" t="str">
        <f t="shared" si="7"/>
        <v>03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1113</v>
      </c>
      <c r="D464" s="1" t="s">
        <v>1114</v>
      </c>
      <c r="E464" s="1" t="s">
        <v>1115</v>
      </c>
      <c r="F464" s="1" t="s">
        <v>112</v>
      </c>
      <c r="G464" s="1">
        <v>2418561</v>
      </c>
    </row>
    <row r="465" spans="1:7" x14ac:dyDescent="0.35">
      <c r="A465" s="1" t="str">
        <f t="shared" si="7"/>
        <v>03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1116</v>
      </c>
    </row>
    <row r="466" spans="1:7" x14ac:dyDescent="0.35">
      <c r="A466" s="1" t="str">
        <f t="shared" si="7"/>
        <v>03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1117</v>
      </c>
      <c r="D466" s="1" t="s">
        <v>1118</v>
      </c>
      <c r="E466" s="1" t="s">
        <v>1119</v>
      </c>
      <c r="F466" s="1" t="s">
        <v>112</v>
      </c>
      <c r="G466" s="1">
        <v>3432503</v>
      </c>
    </row>
    <row r="467" spans="1:7" x14ac:dyDescent="0.35">
      <c r="A467" s="1" t="str">
        <f t="shared" si="7"/>
        <v>03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1120</v>
      </c>
      <c r="D467" s="1" t="s">
        <v>1121</v>
      </c>
      <c r="E467" s="1" t="s">
        <v>1122</v>
      </c>
      <c r="F467" s="1" t="s">
        <v>112</v>
      </c>
      <c r="G467" s="1">
        <v>6500066</v>
      </c>
    </row>
    <row r="468" spans="1:7" x14ac:dyDescent="0.35">
      <c r="A468" s="1" t="str">
        <f t="shared" si="7"/>
        <v>03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1123</v>
      </c>
      <c r="D468" s="1" t="s">
        <v>1124</v>
      </c>
      <c r="E468" s="1" t="s">
        <v>1125</v>
      </c>
      <c r="F468" s="1" t="s">
        <v>112</v>
      </c>
      <c r="G468" s="1">
        <v>6574746</v>
      </c>
    </row>
    <row r="469" spans="1:7" x14ac:dyDescent="0.35">
      <c r="A469" s="1" t="str">
        <f t="shared" si="7"/>
        <v>03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1126</v>
      </c>
      <c r="D469" s="1" t="s">
        <v>1127</v>
      </c>
      <c r="E469" s="1" t="s">
        <v>1128</v>
      </c>
      <c r="F469" s="1" t="s">
        <v>112</v>
      </c>
      <c r="G469" s="1">
        <v>6448031</v>
      </c>
    </row>
    <row r="470" spans="1:7" x14ac:dyDescent="0.35">
      <c r="A470" s="1" t="str">
        <f t="shared" si="7"/>
        <v>03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1129</v>
      </c>
      <c r="D470" s="1" t="s">
        <v>1130</v>
      </c>
      <c r="E470" s="1" t="s">
        <v>1131</v>
      </c>
      <c r="F470" s="1" t="s">
        <v>112</v>
      </c>
      <c r="G470" s="1">
        <v>3124731</v>
      </c>
    </row>
    <row r="471" spans="1:7" x14ac:dyDescent="0.35">
      <c r="A471" s="1" t="str">
        <f t="shared" si="7"/>
        <v>03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1132</v>
      </c>
      <c r="D471" s="1" t="s">
        <v>1133</v>
      </c>
      <c r="E471" s="1" t="s">
        <v>1134</v>
      </c>
      <c r="F471" s="1" t="s">
        <v>112</v>
      </c>
      <c r="G471" s="1">
        <v>3254753</v>
      </c>
    </row>
    <row r="472" spans="1:7" x14ac:dyDescent="0.35">
      <c r="A472" s="1" t="str">
        <f t="shared" si="7"/>
        <v>03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1135</v>
      </c>
      <c r="D472" s="1" t="s">
        <v>1136</v>
      </c>
      <c r="E472" s="1" t="s">
        <v>1137</v>
      </c>
      <c r="F472" s="1" t="s">
        <v>112</v>
      </c>
      <c r="G472" s="1">
        <v>3373028</v>
      </c>
    </row>
    <row r="473" spans="1:7" x14ac:dyDescent="0.35">
      <c r="A473" s="1" t="str">
        <f t="shared" si="7"/>
        <v>03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1138</v>
      </c>
      <c r="D473" s="1" t="s">
        <v>1139</v>
      </c>
      <c r="E473" s="1" t="s">
        <v>1140</v>
      </c>
      <c r="F473" s="1" t="s">
        <v>112</v>
      </c>
      <c r="G473" s="1">
        <v>2772146</v>
      </c>
    </row>
    <row r="474" spans="1:7" x14ac:dyDescent="0.35">
      <c r="A474" s="1" t="str">
        <f t="shared" si="7"/>
        <v>03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1141</v>
      </c>
      <c r="D474" s="1" t="s">
        <v>1142</v>
      </c>
      <c r="E474" s="1" t="s">
        <v>1143</v>
      </c>
      <c r="F474" s="1" t="s">
        <v>112</v>
      </c>
      <c r="G474" s="1">
        <v>2864143</v>
      </c>
    </row>
    <row r="475" spans="1:7" x14ac:dyDescent="0.35">
      <c r="A475" s="1" t="str">
        <f t="shared" si="7"/>
        <v>03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1144</v>
      </c>
    </row>
    <row r="476" spans="1:7" x14ac:dyDescent="0.35">
      <c r="A476" s="1" t="str">
        <f t="shared" si="7"/>
        <v>03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1145</v>
      </c>
      <c r="D476" s="1" t="s">
        <v>1146</v>
      </c>
      <c r="E476" s="1" t="s">
        <v>1147</v>
      </c>
      <c r="F476" s="1" t="s">
        <v>112</v>
      </c>
      <c r="G476" s="1">
        <v>2491697</v>
      </c>
    </row>
    <row r="477" spans="1:7" x14ac:dyDescent="0.35">
      <c r="A477" s="1" t="str">
        <f t="shared" si="7"/>
        <v>03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1148</v>
      </c>
      <c r="D477" s="1" t="s">
        <v>1149</v>
      </c>
      <c r="E477" s="1" t="s">
        <v>1150</v>
      </c>
      <c r="F477" s="1" t="s">
        <v>112</v>
      </c>
      <c r="G477" s="1">
        <v>2555153</v>
      </c>
    </row>
    <row r="478" spans="1:7" x14ac:dyDescent="0.35">
      <c r="A478" s="1" t="str">
        <f t="shared" si="7"/>
        <v>03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1151</v>
      </c>
      <c r="D478" s="1" t="s">
        <v>1152</v>
      </c>
      <c r="E478" s="1" t="s">
        <v>1153</v>
      </c>
      <c r="F478" s="1" t="s">
        <v>112</v>
      </c>
      <c r="G478" s="1">
        <v>2558894</v>
      </c>
    </row>
    <row r="479" spans="1:7" x14ac:dyDescent="0.35">
      <c r="A479" s="1" t="str">
        <f t="shared" si="7"/>
        <v>03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1154</v>
      </c>
      <c r="D479" s="1" t="s">
        <v>1155</v>
      </c>
      <c r="E479" s="1" t="s">
        <v>1156</v>
      </c>
      <c r="F479" s="1" t="s">
        <v>112</v>
      </c>
      <c r="G479" s="1">
        <v>2689982</v>
      </c>
    </row>
    <row r="480" spans="1:7" x14ac:dyDescent="0.35">
      <c r="A480" s="1" t="str">
        <f t="shared" si="7"/>
        <v>03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1157</v>
      </c>
      <c r="D480" s="1" t="s">
        <v>1158</v>
      </c>
      <c r="E480" s="1" t="s">
        <v>1159</v>
      </c>
      <c r="F480" s="1" t="s">
        <v>112</v>
      </c>
      <c r="G480" s="1">
        <v>2944436</v>
      </c>
    </row>
    <row r="481" spans="1:10" x14ac:dyDescent="0.35">
      <c r="A481" s="1" t="str">
        <f t="shared" si="7"/>
        <v>03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1160</v>
      </c>
      <c r="D481" s="1" t="s">
        <v>1161</v>
      </c>
      <c r="E481" s="1" t="s">
        <v>1162</v>
      </c>
      <c r="F481" s="1" t="s">
        <v>112</v>
      </c>
      <c r="G481" s="1">
        <v>2868407</v>
      </c>
    </row>
    <row r="482" spans="1:10" x14ac:dyDescent="0.35">
      <c r="A482" s="1" t="str">
        <f t="shared" si="7"/>
        <v>03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1163</v>
      </c>
      <c r="D482" s="1" t="s">
        <v>1164</v>
      </c>
      <c r="E482" s="1" t="s">
        <v>1165</v>
      </c>
      <c r="F482" s="1" t="s">
        <v>112</v>
      </c>
      <c r="G482" s="1">
        <v>2792073</v>
      </c>
    </row>
    <row r="483" spans="1:10" x14ac:dyDescent="0.35">
      <c r="A483" s="1" t="str">
        <f t="shared" si="7"/>
        <v>03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1166</v>
      </c>
      <c r="D483" s="1" t="s">
        <v>1167</v>
      </c>
      <c r="E483" s="1" t="s">
        <v>1168</v>
      </c>
      <c r="F483" s="1" t="s">
        <v>112</v>
      </c>
      <c r="G483" s="1">
        <v>2928991</v>
      </c>
    </row>
    <row r="484" spans="1:10" x14ac:dyDescent="0.35">
      <c r="A484" s="1" t="str">
        <f t="shared" si="7"/>
        <v>03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1169</v>
      </c>
      <c r="D484" s="1" t="s">
        <v>1170</v>
      </c>
      <c r="E484" s="1" t="s">
        <v>1171</v>
      </c>
      <c r="F484" s="1" t="s">
        <v>112</v>
      </c>
      <c r="G484" s="1">
        <v>2744954</v>
      </c>
    </row>
    <row r="485" spans="1:10" x14ac:dyDescent="0.35">
      <c r="A485" s="1" t="str">
        <f t="shared" si="7"/>
        <v>03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1172</v>
      </c>
      <c r="D485" s="1" t="s">
        <v>1173</v>
      </c>
      <c r="E485" s="1" t="s">
        <v>1174</v>
      </c>
      <c r="F485" s="1" t="s">
        <v>112</v>
      </c>
      <c r="G485" s="1">
        <v>6030663</v>
      </c>
    </row>
    <row r="486" spans="1:10" x14ac:dyDescent="0.35">
      <c r="A486" s="1" t="str">
        <f t="shared" si="7"/>
        <v>03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1175</v>
      </c>
      <c r="D486" s="1" t="s">
        <v>1176</v>
      </c>
      <c r="E486" s="1" t="s">
        <v>1177</v>
      </c>
      <c r="F486" s="1" t="s">
        <v>112</v>
      </c>
      <c r="G486" s="1">
        <v>6061249</v>
      </c>
    </row>
    <row r="487" spans="1:10" x14ac:dyDescent="0.35">
      <c r="A487" s="1" t="str">
        <f t="shared" si="7"/>
        <v>03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1178</v>
      </c>
      <c r="D487" s="1" t="s">
        <v>1179</v>
      </c>
      <c r="E487" s="1" t="s">
        <v>1180</v>
      </c>
      <c r="F487" s="1" t="s">
        <v>112</v>
      </c>
      <c r="G487" s="1">
        <v>6536133</v>
      </c>
    </row>
    <row r="488" spans="1:10"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227</v>
      </c>
      <c r="D489" s="1" t="s">
        <v>112</v>
      </c>
      <c r="E489" s="1" t="s">
        <v>228</v>
      </c>
      <c r="F489" s="1" t="s">
        <v>229</v>
      </c>
      <c r="G489" s="1" t="s">
        <v>230</v>
      </c>
      <c r="H489" s="1" t="s">
        <v>231</v>
      </c>
      <c r="I489" s="1" t="s">
        <v>232</v>
      </c>
      <c r="J489" s="1" t="s">
        <v>233</v>
      </c>
    </row>
    <row r="490" spans="1:10" x14ac:dyDescent="0.35">
      <c r="A490" s="1" t="str">
        <f t="shared" si="7"/>
        <v>03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1181</v>
      </c>
      <c r="D490" s="1" t="s">
        <v>112</v>
      </c>
      <c r="E490" s="1" t="s">
        <v>1182</v>
      </c>
      <c r="F490" s="1" t="s">
        <v>1183</v>
      </c>
      <c r="G490" s="1" t="s">
        <v>1184</v>
      </c>
      <c r="H490" s="1" t="s">
        <v>1185</v>
      </c>
      <c r="I490" s="1">
        <v>24</v>
      </c>
      <c r="J490" s="1">
        <v>24</v>
      </c>
    </row>
    <row r="491" spans="1:10"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239</v>
      </c>
      <c r="D496" s="1" t="s">
        <v>110</v>
      </c>
      <c r="E496" s="1" t="s">
        <v>111</v>
      </c>
      <c r="F496" s="1" t="s">
        <v>112</v>
      </c>
      <c r="G496" s="1" t="s">
        <v>113</v>
      </c>
    </row>
    <row r="497" spans="1:7" x14ac:dyDescent="0.35">
      <c r="A497" s="1" t="str">
        <f t="shared" si="7"/>
        <v>04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1186</v>
      </c>
      <c r="D497" s="1" t="s">
        <v>945</v>
      </c>
      <c r="E497" s="1" t="s">
        <v>1187</v>
      </c>
      <c r="F497" s="1" t="s">
        <v>112</v>
      </c>
      <c r="G497" s="1">
        <v>22189</v>
      </c>
    </row>
    <row r="498" spans="1:7" x14ac:dyDescent="0.35">
      <c r="A498" s="1" t="str">
        <f t="shared" si="7"/>
        <v>04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1188</v>
      </c>
      <c r="D498" s="1" t="s">
        <v>1189</v>
      </c>
      <c r="E498" s="1" t="s">
        <v>1190</v>
      </c>
      <c r="F498" s="1" t="s">
        <v>112</v>
      </c>
      <c r="G498" s="1">
        <v>78901</v>
      </c>
    </row>
    <row r="499" spans="1:7" x14ac:dyDescent="0.35">
      <c r="A499" s="1" t="str">
        <f t="shared" si="7"/>
        <v>04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1191</v>
      </c>
      <c r="D499" s="1" t="s">
        <v>666</v>
      </c>
      <c r="E499" s="1" t="s">
        <v>1192</v>
      </c>
      <c r="F499" s="1" t="s">
        <v>112</v>
      </c>
      <c r="G499" s="1">
        <v>100589</v>
      </c>
    </row>
    <row r="500" spans="1:7" x14ac:dyDescent="0.35">
      <c r="A500" s="1" t="str">
        <f t="shared" si="7"/>
        <v>04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1193</v>
      </c>
      <c r="D500" s="1" t="s">
        <v>1194</v>
      </c>
      <c r="E500" s="1" t="s">
        <v>1195</v>
      </c>
      <c r="F500" s="1" t="s">
        <v>112</v>
      </c>
      <c r="G500" s="1">
        <v>371445</v>
      </c>
    </row>
    <row r="501" spans="1:7" x14ac:dyDescent="0.35">
      <c r="A501" s="1" t="str">
        <f t="shared" si="7"/>
        <v>04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1196</v>
      </c>
      <c r="D501" s="1" t="s">
        <v>1197</v>
      </c>
      <c r="E501" s="1" t="s">
        <v>1198</v>
      </c>
      <c r="F501" s="1" t="s">
        <v>112</v>
      </c>
      <c r="G501" s="1">
        <v>67350</v>
      </c>
    </row>
    <row r="502" spans="1:7" x14ac:dyDescent="0.35">
      <c r="A502" s="1" t="str">
        <f t="shared" si="7"/>
        <v>04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1199</v>
      </c>
      <c r="D502" s="1" t="s">
        <v>1200</v>
      </c>
      <c r="E502" s="1" t="s">
        <v>1201</v>
      </c>
      <c r="F502" s="1" t="s">
        <v>112</v>
      </c>
      <c r="G502" s="1">
        <v>106267</v>
      </c>
    </row>
    <row r="503" spans="1:7" x14ac:dyDescent="0.35">
      <c r="A503" s="1" t="str">
        <f t="shared" si="7"/>
        <v>04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1202</v>
      </c>
      <c r="D503" s="1" t="s">
        <v>956</v>
      </c>
      <c r="E503" s="1" t="s">
        <v>1203</v>
      </c>
      <c r="F503" s="1" t="s">
        <v>112</v>
      </c>
      <c r="G503" s="1">
        <v>48489</v>
      </c>
    </row>
    <row r="504" spans="1:7" x14ac:dyDescent="0.35">
      <c r="A504" s="1" t="str">
        <f t="shared" si="7"/>
        <v>04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1204</v>
      </c>
    </row>
    <row r="505" spans="1:7" x14ac:dyDescent="0.35">
      <c r="A505" s="1" t="str">
        <f t="shared" si="7"/>
        <v>04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1205</v>
      </c>
      <c r="D505" s="1" t="s">
        <v>1206</v>
      </c>
      <c r="E505" s="1" t="s">
        <v>1207</v>
      </c>
      <c r="F505" s="1" t="s">
        <v>112</v>
      </c>
      <c r="G505" s="1">
        <v>11181</v>
      </c>
    </row>
    <row r="506" spans="1:7" x14ac:dyDescent="0.35">
      <c r="A506" s="1" t="str">
        <f t="shared" si="7"/>
        <v>04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1208</v>
      </c>
      <c r="D506" s="1" t="s">
        <v>250</v>
      </c>
      <c r="E506" s="1" t="s">
        <v>1209</v>
      </c>
      <c r="F506" s="1" t="s">
        <v>112</v>
      </c>
      <c r="G506" s="1">
        <v>32565</v>
      </c>
    </row>
    <row r="507" spans="1:7" x14ac:dyDescent="0.35">
      <c r="A507" s="1" t="str">
        <f t="shared" si="7"/>
        <v>04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1210</v>
      </c>
      <c r="D507" s="1" t="s">
        <v>1206</v>
      </c>
      <c r="E507" s="1" t="s">
        <v>1187</v>
      </c>
      <c r="F507" s="1" t="s">
        <v>112</v>
      </c>
      <c r="G507" s="1">
        <v>11094</v>
      </c>
    </row>
    <row r="508" spans="1:7" x14ac:dyDescent="0.35">
      <c r="A508" s="1" t="str">
        <f t="shared" si="7"/>
        <v>04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1211</v>
      </c>
      <c r="D508" s="1" t="s">
        <v>179</v>
      </c>
      <c r="E508" s="1" t="s">
        <v>1212</v>
      </c>
      <c r="F508" s="1" t="s">
        <v>112</v>
      </c>
      <c r="G508" s="1">
        <v>23451</v>
      </c>
    </row>
    <row r="509" spans="1:7" x14ac:dyDescent="0.35">
      <c r="A509" s="1" t="str">
        <f t="shared" si="7"/>
        <v>04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1213</v>
      </c>
    </row>
    <row r="510" spans="1:7" x14ac:dyDescent="0.35">
      <c r="A510" s="1" t="str">
        <f t="shared" si="7"/>
        <v>04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1214</v>
      </c>
      <c r="D510" s="1" t="s">
        <v>940</v>
      </c>
      <c r="E510" s="1">
        <v>64</v>
      </c>
      <c r="F510" s="1" t="s">
        <v>112</v>
      </c>
      <c r="G510" s="1">
        <v>15315</v>
      </c>
    </row>
    <row r="511" spans="1:7" x14ac:dyDescent="0.35">
      <c r="A511" s="1" t="str">
        <f t="shared" si="7"/>
        <v>04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1215</v>
      </c>
      <c r="D511" s="1" t="s">
        <v>1216</v>
      </c>
      <c r="E511" s="1" t="s">
        <v>1217</v>
      </c>
      <c r="F511" s="1" t="s">
        <v>112</v>
      </c>
      <c r="G511" s="1">
        <v>743435</v>
      </c>
    </row>
    <row r="512" spans="1:7" x14ac:dyDescent="0.35">
      <c r="A512" s="1" t="str">
        <f t="shared" si="7"/>
        <v>04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1218</v>
      </c>
      <c r="D512" s="1" t="s">
        <v>362</v>
      </c>
      <c r="E512" s="1" t="s">
        <v>1219</v>
      </c>
      <c r="F512" s="1" t="s">
        <v>112</v>
      </c>
      <c r="G512" s="1">
        <v>32130</v>
      </c>
    </row>
    <row r="513" spans="1:10" x14ac:dyDescent="0.35">
      <c r="A513" s="1" t="str">
        <f t="shared" si="7"/>
        <v>04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1220</v>
      </c>
      <c r="D513" s="1" t="s">
        <v>1221</v>
      </c>
      <c r="E513" s="1" t="s">
        <v>1222</v>
      </c>
      <c r="F513" s="1" t="s">
        <v>112</v>
      </c>
      <c r="G513" s="1">
        <v>38874</v>
      </c>
    </row>
    <row r="514" spans="1:10" x14ac:dyDescent="0.35">
      <c r="A514" s="1" t="str">
        <f t="shared" ref="A514:A577" si="8">IFERROR(LEFT(RIGHT(C514,LEN(C514)-SEARCH("@",C514)),SEARCH("/",RIGHT(C514,LEN(C514)-SEARCH("@",C514)-1))),"")</f>
        <v>04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1223</v>
      </c>
      <c r="D514" s="1" t="s">
        <v>1224</v>
      </c>
      <c r="E514" s="1" t="s">
        <v>1225</v>
      </c>
      <c r="F514" s="1" t="s">
        <v>112</v>
      </c>
      <c r="G514" s="1">
        <v>16424</v>
      </c>
    </row>
    <row r="515" spans="1:10" x14ac:dyDescent="0.35">
      <c r="A515" s="1" t="str">
        <f t="shared" si="8"/>
        <v>04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1226</v>
      </c>
      <c r="D515" s="1" t="s">
        <v>424</v>
      </c>
      <c r="E515" s="1" t="s">
        <v>1227</v>
      </c>
      <c r="F515" s="1" t="s">
        <v>112</v>
      </c>
      <c r="G515" s="1">
        <v>150906</v>
      </c>
    </row>
    <row r="516" spans="1:10" x14ac:dyDescent="0.35">
      <c r="A516" s="1" t="str">
        <f t="shared" si="8"/>
        <v>04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1228</v>
      </c>
      <c r="D516" s="1" t="s">
        <v>1229</v>
      </c>
      <c r="E516" s="1" t="s">
        <v>1230</v>
      </c>
      <c r="F516" s="1" t="s">
        <v>112</v>
      </c>
      <c r="G516" s="1">
        <v>268963</v>
      </c>
    </row>
    <row r="517" spans="1:10" x14ac:dyDescent="0.35">
      <c r="A517" s="1" t="str">
        <f t="shared" si="8"/>
        <v>04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1231</v>
      </c>
      <c r="D517" s="1" t="s">
        <v>1232</v>
      </c>
      <c r="E517" s="1" t="s">
        <v>1233</v>
      </c>
      <c r="F517" s="1" t="s">
        <v>112</v>
      </c>
      <c r="G517" s="1">
        <v>116535</v>
      </c>
    </row>
    <row r="518" spans="1:10" x14ac:dyDescent="0.35">
      <c r="A518" s="1" t="str">
        <f t="shared" si="8"/>
        <v>04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1234</v>
      </c>
      <c r="D518" s="1" t="s">
        <v>1235</v>
      </c>
      <c r="E518" s="1" t="s">
        <v>1236</v>
      </c>
      <c r="F518" s="1" t="s">
        <v>112</v>
      </c>
      <c r="G518" s="1">
        <v>816353</v>
      </c>
    </row>
    <row r="519" spans="1:10" x14ac:dyDescent="0.35">
      <c r="A519" s="1" t="str">
        <f t="shared" si="8"/>
        <v>04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1237</v>
      </c>
      <c r="D519" s="1" t="s">
        <v>1238</v>
      </c>
      <c r="E519" s="1" t="s">
        <v>1239</v>
      </c>
      <c r="F519" s="1" t="s">
        <v>112</v>
      </c>
      <c r="G519" s="1">
        <v>532771</v>
      </c>
    </row>
    <row r="520" spans="1:10" x14ac:dyDescent="0.35">
      <c r="A520" s="1" t="str">
        <f t="shared" si="8"/>
        <v>04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1240</v>
      </c>
      <c r="D520" s="1" t="s">
        <v>1241</v>
      </c>
      <c r="E520" s="1" t="s">
        <v>1242</v>
      </c>
      <c r="F520" s="1" t="s">
        <v>112</v>
      </c>
      <c r="G520" s="1">
        <v>156235</v>
      </c>
    </row>
    <row r="521" spans="1:10"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227</v>
      </c>
      <c r="D522" s="1" t="s">
        <v>112</v>
      </c>
      <c r="E522" s="1" t="s">
        <v>228</v>
      </c>
      <c r="F522" s="1" t="s">
        <v>229</v>
      </c>
      <c r="G522" s="1" t="s">
        <v>230</v>
      </c>
      <c r="H522" s="1" t="s">
        <v>231</v>
      </c>
      <c r="I522" s="1" t="s">
        <v>232</v>
      </c>
      <c r="J522" s="1" t="s">
        <v>233</v>
      </c>
    </row>
    <row r="523" spans="1:10" x14ac:dyDescent="0.35">
      <c r="A523" s="1" t="str">
        <f t="shared" si="8"/>
        <v>04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1243</v>
      </c>
      <c r="D523" s="1" t="s">
        <v>112</v>
      </c>
      <c r="E523" s="1" t="s">
        <v>1244</v>
      </c>
      <c r="F523" s="1" t="s">
        <v>1245</v>
      </c>
      <c r="G523" s="1" t="s">
        <v>1246</v>
      </c>
      <c r="H523" s="1" t="s">
        <v>1247</v>
      </c>
      <c r="I523" s="1">
        <v>24</v>
      </c>
      <c r="J523" s="1">
        <v>24</v>
      </c>
    </row>
    <row r="524" spans="1:10"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239</v>
      </c>
      <c r="D529" s="1" t="s">
        <v>110</v>
      </c>
      <c r="E529" s="1" t="s">
        <v>111</v>
      </c>
      <c r="F529" s="1" t="s">
        <v>112</v>
      </c>
      <c r="G529" s="1" t="s">
        <v>113</v>
      </c>
    </row>
    <row r="530" spans="1:7" x14ac:dyDescent="0.35">
      <c r="A530" s="1" t="str">
        <f t="shared" si="8"/>
        <v>05 Anastrozole 0.032</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1248</v>
      </c>
      <c r="D530" s="1" t="s">
        <v>1249</v>
      </c>
      <c r="E530" s="1" t="s">
        <v>1250</v>
      </c>
      <c r="F530" s="1" t="s">
        <v>112</v>
      </c>
      <c r="G530" s="1">
        <v>903107</v>
      </c>
    </row>
    <row r="531" spans="1:7" x14ac:dyDescent="0.35">
      <c r="A531" s="1" t="str">
        <f t="shared" si="8"/>
        <v>05 Anastrozole 0.032</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1251</v>
      </c>
      <c r="D531" s="1" t="s">
        <v>657</v>
      </c>
      <c r="E531" s="1" t="s">
        <v>1252</v>
      </c>
      <c r="F531" s="1" t="s">
        <v>112</v>
      </c>
      <c r="G531" s="1">
        <v>304292</v>
      </c>
    </row>
    <row r="532" spans="1:7" x14ac:dyDescent="0.35">
      <c r="A532" s="1" t="str">
        <f t="shared" si="8"/>
        <v>05 Anastrozole 0.032</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1253</v>
      </c>
      <c r="D532" s="1" t="s">
        <v>1254</v>
      </c>
      <c r="E532" s="1" t="s">
        <v>1255</v>
      </c>
      <c r="F532" s="1" t="s">
        <v>112</v>
      </c>
      <c r="G532" s="1">
        <v>609127</v>
      </c>
    </row>
    <row r="533" spans="1:7" x14ac:dyDescent="0.35">
      <c r="A533" s="1" t="str">
        <f t="shared" si="8"/>
        <v>05 Anastrozole 0.032</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1256</v>
      </c>
      <c r="D533" s="1" t="s">
        <v>1257</v>
      </c>
      <c r="E533" s="1" t="s">
        <v>1258</v>
      </c>
      <c r="F533" s="1" t="s">
        <v>112</v>
      </c>
      <c r="G533" s="1">
        <v>1263132</v>
      </c>
    </row>
    <row r="534" spans="1:7" x14ac:dyDescent="0.35">
      <c r="A534" s="1" t="str">
        <f t="shared" si="8"/>
        <v>05 Anastrozole 0.032</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1259</v>
      </c>
    </row>
    <row r="535" spans="1:7" x14ac:dyDescent="0.35">
      <c r="A535" s="1" t="str">
        <f t="shared" si="8"/>
        <v>05 Anastrozole 0.032</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1260</v>
      </c>
      <c r="D535" s="1" t="s">
        <v>1047</v>
      </c>
      <c r="E535" s="1" t="s">
        <v>1261</v>
      </c>
      <c r="F535" s="1" t="s">
        <v>112</v>
      </c>
      <c r="G535" s="1">
        <v>1742498</v>
      </c>
    </row>
    <row r="536" spans="1:7" x14ac:dyDescent="0.35">
      <c r="A536" s="1" t="str">
        <f t="shared" si="8"/>
        <v>05 Anastrozole 0.032</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1262</v>
      </c>
      <c r="D536" s="1" t="s">
        <v>1263</v>
      </c>
      <c r="E536" s="1" t="s">
        <v>1264</v>
      </c>
      <c r="F536" s="1" t="s">
        <v>112</v>
      </c>
      <c r="G536" s="1">
        <v>1064172</v>
      </c>
    </row>
    <row r="537" spans="1:7" x14ac:dyDescent="0.35">
      <c r="A537" s="1" t="str">
        <f t="shared" si="8"/>
        <v>05 Anastrozole 0.032</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1265</v>
      </c>
      <c r="D537" s="1" t="s">
        <v>1266</v>
      </c>
      <c r="E537" s="1" t="s">
        <v>1267</v>
      </c>
      <c r="F537" s="1" t="s">
        <v>112</v>
      </c>
      <c r="G537" s="1">
        <v>1240225</v>
      </c>
    </row>
    <row r="538" spans="1:7" x14ac:dyDescent="0.35">
      <c r="A538" s="1" t="str">
        <f t="shared" si="8"/>
        <v>05 Anastrozole 0.032</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1268</v>
      </c>
      <c r="D538" s="1" t="s">
        <v>1269</v>
      </c>
      <c r="E538" s="1" t="s">
        <v>1270</v>
      </c>
      <c r="F538" s="1" t="s">
        <v>112</v>
      </c>
      <c r="G538" s="1">
        <v>1091451</v>
      </c>
    </row>
    <row r="539" spans="1:7" x14ac:dyDescent="0.35">
      <c r="A539" s="1" t="str">
        <f t="shared" si="8"/>
        <v>05 Anastrozole 0.032</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1271</v>
      </c>
      <c r="D539" s="1" t="s">
        <v>1272</v>
      </c>
      <c r="E539" s="1" t="s">
        <v>1273</v>
      </c>
      <c r="F539" s="1" t="s">
        <v>112</v>
      </c>
      <c r="G539" s="1">
        <v>1956272</v>
      </c>
    </row>
    <row r="540" spans="1:7" x14ac:dyDescent="0.35">
      <c r="A540" s="1" t="str">
        <f t="shared" si="8"/>
        <v>05 Anastrozole 0.032</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1274</v>
      </c>
      <c r="D540" s="1" t="s">
        <v>1275</v>
      </c>
      <c r="E540" s="1" t="s">
        <v>1276</v>
      </c>
      <c r="F540" s="1" t="s">
        <v>112</v>
      </c>
      <c r="G540" s="1">
        <v>1382190</v>
      </c>
    </row>
    <row r="541" spans="1:7" x14ac:dyDescent="0.35">
      <c r="A541" s="1" t="str">
        <f t="shared" si="8"/>
        <v>05 Anastrozole 0.032</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1277</v>
      </c>
      <c r="D541" s="1" t="s">
        <v>1278</v>
      </c>
      <c r="E541" s="1" t="s">
        <v>1279</v>
      </c>
      <c r="F541" s="1" t="s">
        <v>112</v>
      </c>
      <c r="G541" s="1">
        <v>1805866</v>
      </c>
    </row>
    <row r="542" spans="1:7" x14ac:dyDescent="0.35">
      <c r="A542" s="1" t="str">
        <f t="shared" si="8"/>
        <v>05 Anastrozole 0.032</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1280</v>
      </c>
      <c r="D542" s="1" t="s">
        <v>1281</v>
      </c>
      <c r="E542" s="1" t="s">
        <v>1282</v>
      </c>
      <c r="F542" s="1" t="s">
        <v>112</v>
      </c>
      <c r="G542" s="1">
        <v>1630118</v>
      </c>
    </row>
    <row r="543" spans="1:7" x14ac:dyDescent="0.35">
      <c r="A543" s="1" t="str">
        <f t="shared" si="8"/>
        <v>05 Anastrozole 0.032</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1283</v>
      </c>
      <c r="D543" s="1" t="s">
        <v>1284</v>
      </c>
      <c r="E543" s="1" t="s">
        <v>1285</v>
      </c>
      <c r="F543" s="1" t="s">
        <v>112</v>
      </c>
      <c r="G543" s="1">
        <v>1339379</v>
      </c>
    </row>
    <row r="544" spans="1:7" x14ac:dyDescent="0.35">
      <c r="A544" s="1" t="str">
        <f t="shared" si="8"/>
        <v>05 Anastrozole 0.032</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1286</v>
      </c>
      <c r="D544" s="1" t="s">
        <v>1287</v>
      </c>
      <c r="E544" s="1" t="s">
        <v>1288</v>
      </c>
      <c r="F544" s="1" t="s">
        <v>112</v>
      </c>
      <c r="G544" s="1">
        <v>1465115</v>
      </c>
    </row>
    <row r="545" spans="1:10" x14ac:dyDescent="0.35">
      <c r="A545" s="1" t="str">
        <f t="shared" si="8"/>
        <v>05 Anastrozole 0.032</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1289</v>
      </c>
      <c r="D545" s="1" t="s">
        <v>1003</v>
      </c>
      <c r="E545" s="1" t="s">
        <v>1290</v>
      </c>
      <c r="F545" s="1" t="s">
        <v>112</v>
      </c>
      <c r="G545" s="1">
        <v>1256910</v>
      </c>
    </row>
    <row r="546" spans="1:10" x14ac:dyDescent="0.35">
      <c r="A546" s="1" t="str">
        <f t="shared" si="8"/>
        <v>05 Anastrozole 0.032</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1291</v>
      </c>
      <c r="D546" s="1" t="s">
        <v>1292</v>
      </c>
      <c r="E546" s="1" t="s">
        <v>1293</v>
      </c>
      <c r="F546" s="1" t="s">
        <v>112</v>
      </c>
      <c r="G546" s="1">
        <v>1289606</v>
      </c>
    </row>
    <row r="547" spans="1:10" x14ac:dyDescent="0.35">
      <c r="A547" s="1" t="str">
        <f t="shared" si="8"/>
        <v>05 Anastrozole 0.032</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1294</v>
      </c>
      <c r="D547" s="1" t="s">
        <v>1295</v>
      </c>
      <c r="E547" s="1" t="s">
        <v>1296</v>
      </c>
      <c r="F547" s="1" t="s">
        <v>112</v>
      </c>
      <c r="G547" s="1">
        <v>1559461</v>
      </c>
    </row>
    <row r="548" spans="1:10" x14ac:dyDescent="0.35">
      <c r="A548" s="1" t="str">
        <f t="shared" si="8"/>
        <v>05 Anastrozole 0.032</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1297</v>
      </c>
      <c r="D548" s="1" t="s">
        <v>1298</v>
      </c>
      <c r="E548" s="1" t="s">
        <v>1299</v>
      </c>
      <c r="F548" s="1" t="s">
        <v>112</v>
      </c>
      <c r="G548" s="1">
        <v>786681</v>
      </c>
    </row>
    <row r="549" spans="1:10" x14ac:dyDescent="0.35">
      <c r="A549" s="1" t="str">
        <f t="shared" si="8"/>
        <v>05 Anastrozole 0.032</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1300</v>
      </c>
      <c r="D549" s="1" t="s">
        <v>1301</v>
      </c>
      <c r="E549" s="1" t="s">
        <v>1302</v>
      </c>
      <c r="F549" s="1" t="s">
        <v>112</v>
      </c>
      <c r="G549" s="1">
        <v>862558</v>
      </c>
    </row>
    <row r="550" spans="1:10" x14ac:dyDescent="0.35">
      <c r="A550" s="1" t="str">
        <f t="shared" si="8"/>
        <v>05 Anastrozole 0.032</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1303</v>
      </c>
      <c r="D550" s="1" t="s">
        <v>1304</v>
      </c>
      <c r="E550" s="1" t="s">
        <v>1305</v>
      </c>
      <c r="F550" s="1" t="s">
        <v>112</v>
      </c>
      <c r="G550" s="1">
        <v>729730</v>
      </c>
    </row>
    <row r="551" spans="1:10" x14ac:dyDescent="0.35">
      <c r="A551" s="1" t="str">
        <f t="shared" si="8"/>
        <v>05 Anastrozole 0.032</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1306</v>
      </c>
      <c r="D551" s="1" t="s">
        <v>1307</v>
      </c>
      <c r="E551" s="1" t="s">
        <v>1308</v>
      </c>
      <c r="F551" s="1" t="s">
        <v>112</v>
      </c>
      <c r="G551" s="1">
        <v>496703</v>
      </c>
    </row>
    <row r="552" spans="1:10" x14ac:dyDescent="0.35">
      <c r="A552" s="1" t="str">
        <f t="shared" si="8"/>
        <v>05 Anastrozole 0.032</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1309</v>
      </c>
      <c r="D552" s="1" t="s">
        <v>1310</v>
      </c>
      <c r="E552" s="1" t="s">
        <v>1311</v>
      </c>
      <c r="F552" s="1" t="s">
        <v>112</v>
      </c>
      <c r="G552" s="1">
        <v>605037</v>
      </c>
    </row>
    <row r="553" spans="1:10" x14ac:dyDescent="0.35">
      <c r="A553" s="1" t="str">
        <f t="shared" si="8"/>
        <v>05 Anastrozole 0.032</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1312</v>
      </c>
      <c r="D553" s="1" t="s">
        <v>1313</v>
      </c>
      <c r="E553" s="1" t="s">
        <v>1314</v>
      </c>
      <c r="F553" s="1" t="s">
        <v>112</v>
      </c>
      <c r="G553" s="1">
        <v>662989</v>
      </c>
    </row>
    <row r="554" spans="1:10"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227</v>
      </c>
      <c r="D555" s="1" t="s">
        <v>112</v>
      </c>
      <c r="E555" s="1" t="s">
        <v>228</v>
      </c>
      <c r="F555" s="1" t="s">
        <v>229</v>
      </c>
      <c r="G555" s="1" t="s">
        <v>230</v>
      </c>
      <c r="H555" s="1" t="s">
        <v>231</v>
      </c>
      <c r="I555" s="1" t="s">
        <v>232</v>
      </c>
      <c r="J555" s="1" t="s">
        <v>233</v>
      </c>
    </row>
    <row r="556" spans="1:10" x14ac:dyDescent="0.35">
      <c r="A556" s="1" t="str">
        <f t="shared" si="8"/>
        <v>05 Anastrozole 0.032</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1315</v>
      </c>
      <c r="D556" s="1" t="s">
        <v>112</v>
      </c>
      <c r="E556" s="1" t="s">
        <v>1316</v>
      </c>
      <c r="F556" s="1" t="s">
        <v>1317</v>
      </c>
      <c r="G556" s="1" t="s">
        <v>1318</v>
      </c>
      <c r="H556" s="1" t="s">
        <v>1319</v>
      </c>
      <c r="I556" s="1">
        <v>24</v>
      </c>
      <c r="J556" s="1">
        <v>24</v>
      </c>
    </row>
    <row r="557" spans="1:10"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239</v>
      </c>
      <c r="D562" s="1" t="s">
        <v>110</v>
      </c>
      <c r="E562" s="1" t="s">
        <v>111</v>
      </c>
      <c r="F562" s="1" t="s">
        <v>112</v>
      </c>
      <c r="G562" s="1" t="s">
        <v>113</v>
      </c>
    </row>
    <row r="563" spans="1:7" x14ac:dyDescent="0.35">
      <c r="A563" s="1" t="str">
        <f t="shared" si="8"/>
        <v>06Anastrozole 0.16</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1320</v>
      </c>
      <c r="D563" s="1" t="s">
        <v>1321</v>
      </c>
      <c r="E563" s="1" t="s">
        <v>1322</v>
      </c>
      <c r="F563" s="1" t="s">
        <v>112</v>
      </c>
      <c r="G563" s="1">
        <v>114729</v>
      </c>
    </row>
    <row r="564" spans="1:7" x14ac:dyDescent="0.35">
      <c r="A564" s="1" t="str">
        <f t="shared" si="8"/>
        <v>06Anastrozole 0.16</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1323</v>
      </c>
      <c r="D564" s="1" t="s">
        <v>274</v>
      </c>
      <c r="E564" s="1" t="s">
        <v>1324</v>
      </c>
      <c r="F564" s="1" t="s">
        <v>112</v>
      </c>
      <c r="G564" s="1">
        <v>50186</v>
      </c>
    </row>
    <row r="565" spans="1:7" x14ac:dyDescent="0.35">
      <c r="A565" s="1" t="str">
        <f t="shared" si="8"/>
        <v>06Anastrozole 0.16</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1325</v>
      </c>
      <c r="D565" s="1" t="s">
        <v>339</v>
      </c>
      <c r="E565" s="1" t="s">
        <v>1326</v>
      </c>
      <c r="F565" s="1" t="s">
        <v>112</v>
      </c>
      <c r="G565" s="1">
        <v>70265</v>
      </c>
    </row>
    <row r="566" spans="1:7" x14ac:dyDescent="0.35">
      <c r="A566" s="1" t="str">
        <f t="shared" si="8"/>
        <v>06Anastrozole 0.16</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1327</v>
      </c>
      <c r="D566" s="1" t="s">
        <v>1328</v>
      </c>
      <c r="E566" s="1" t="s">
        <v>1329</v>
      </c>
      <c r="F566" s="1" t="s">
        <v>112</v>
      </c>
      <c r="G566" s="1">
        <v>1881112</v>
      </c>
    </row>
    <row r="567" spans="1:7" x14ac:dyDescent="0.35">
      <c r="A567" s="1" t="str">
        <f t="shared" si="8"/>
        <v>06Anastrozole 0.16</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1330</v>
      </c>
      <c r="D567" s="1" t="s">
        <v>1331</v>
      </c>
      <c r="E567" s="1" t="s">
        <v>1332</v>
      </c>
      <c r="F567" s="1" t="s">
        <v>112</v>
      </c>
      <c r="G567" s="1">
        <v>2216229</v>
      </c>
    </row>
    <row r="568" spans="1:7" x14ac:dyDescent="0.35">
      <c r="A568" s="1" t="str">
        <f t="shared" si="8"/>
        <v>06Anastrozole 0.16</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1333</v>
      </c>
      <c r="D568" s="1" t="s">
        <v>1331</v>
      </c>
      <c r="E568" s="1" t="s">
        <v>1334</v>
      </c>
      <c r="F568" s="1" t="s">
        <v>112</v>
      </c>
      <c r="G568" s="1">
        <v>2212031</v>
      </c>
    </row>
    <row r="569" spans="1:7" x14ac:dyDescent="0.35">
      <c r="A569" s="1" t="str">
        <f t="shared" si="8"/>
        <v>06Anastrozole 0.16</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1335</v>
      </c>
      <c r="D569" s="1" t="s">
        <v>1336</v>
      </c>
      <c r="E569" s="1" t="s">
        <v>1337</v>
      </c>
      <c r="F569" s="1" t="s">
        <v>112</v>
      </c>
      <c r="G569" s="1">
        <v>1415821</v>
      </c>
    </row>
    <row r="570" spans="1:7" x14ac:dyDescent="0.35">
      <c r="A570" s="1" t="str">
        <f t="shared" si="8"/>
        <v>06Anastrozole 0.16</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1338</v>
      </c>
      <c r="D570" s="1" t="s">
        <v>1339</v>
      </c>
      <c r="E570" s="1" t="s">
        <v>1340</v>
      </c>
      <c r="F570" s="1" t="s">
        <v>112</v>
      </c>
      <c r="G570" s="1">
        <v>1160041</v>
      </c>
    </row>
    <row r="571" spans="1:7" x14ac:dyDescent="0.35">
      <c r="A571" s="1" t="str">
        <f t="shared" si="8"/>
        <v>06Anastrozole 0.16</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1341</v>
      </c>
      <c r="D571" s="1" t="s">
        <v>1342</v>
      </c>
      <c r="E571" s="1" t="s">
        <v>1343</v>
      </c>
      <c r="F571" s="1" t="s">
        <v>112</v>
      </c>
      <c r="G571" s="1">
        <v>1123538</v>
      </c>
    </row>
    <row r="572" spans="1:7" x14ac:dyDescent="0.35">
      <c r="A572" s="1" t="str">
        <f t="shared" si="8"/>
        <v>06Anastrozole 0.16</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1344</v>
      </c>
      <c r="D572" s="1" t="s">
        <v>1345</v>
      </c>
      <c r="E572" s="1" t="s">
        <v>1346</v>
      </c>
      <c r="F572" s="1" t="s">
        <v>112</v>
      </c>
      <c r="G572" s="1">
        <v>1193411</v>
      </c>
    </row>
    <row r="573" spans="1:7" x14ac:dyDescent="0.35">
      <c r="A573" s="1" t="str">
        <f t="shared" si="8"/>
        <v>06Anastrozole 0.16</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1347</v>
      </c>
      <c r="D573" s="1" t="s">
        <v>1348</v>
      </c>
      <c r="E573" s="1" t="s">
        <v>1349</v>
      </c>
      <c r="F573" s="1" t="s">
        <v>112</v>
      </c>
      <c r="G573" s="1">
        <v>1344817</v>
      </c>
    </row>
    <row r="574" spans="1:7" x14ac:dyDescent="0.35">
      <c r="A574" s="1" t="str">
        <f t="shared" si="8"/>
        <v>06Anastrozole 0.16</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1350</v>
      </c>
      <c r="D574" s="1" t="s">
        <v>1351</v>
      </c>
      <c r="E574" s="1" t="s">
        <v>1352</v>
      </c>
      <c r="F574" s="1" t="s">
        <v>112</v>
      </c>
      <c r="G574" s="1">
        <v>1120427</v>
      </c>
    </row>
    <row r="575" spans="1:7" x14ac:dyDescent="0.35">
      <c r="A575" s="1" t="str">
        <f t="shared" si="8"/>
        <v>06Anastrozole 0.16</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1353</v>
      </c>
      <c r="D575" s="1" t="s">
        <v>1354</v>
      </c>
      <c r="E575" s="1" t="s">
        <v>1355</v>
      </c>
      <c r="F575" s="1" t="s">
        <v>112</v>
      </c>
      <c r="G575" s="1">
        <v>234767</v>
      </c>
    </row>
    <row r="576" spans="1:7" x14ac:dyDescent="0.35">
      <c r="A576" s="1" t="str">
        <f t="shared" si="8"/>
        <v>06Anastrozole 0.16</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1356</v>
      </c>
      <c r="D576" s="1" t="s">
        <v>1357</v>
      </c>
      <c r="E576" s="1" t="s">
        <v>1358</v>
      </c>
      <c r="F576" s="1" t="s">
        <v>112</v>
      </c>
      <c r="G576" s="1">
        <v>297852</v>
      </c>
    </row>
    <row r="577" spans="1:10" x14ac:dyDescent="0.35">
      <c r="A577" s="1" t="str">
        <f t="shared" si="8"/>
        <v>06Anastrozole 0.16</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1359</v>
      </c>
      <c r="D577" s="1" t="s">
        <v>324</v>
      </c>
      <c r="E577" s="1" t="s">
        <v>1360</v>
      </c>
      <c r="F577" s="1" t="s">
        <v>112</v>
      </c>
      <c r="G577" s="1">
        <v>289325</v>
      </c>
    </row>
    <row r="578" spans="1:10" x14ac:dyDescent="0.35">
      <c r="A578" s="1" t="str">
        <f t="shared" ref="A578:A641" si="9">IFERROR(LEFT(RIGHT(C578,LEN(C578)-SEARCH("@",C578)),SEARCH("/",RIGHT(C578,LEN(C578)-SEARCH("@",C578)-1))),"")</f>
        <v>06Anastrozole 0.16</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1361</v>
      </c>
      <c r="D578" s="1" t="s">
        <v>1362</v>
      </c>
      <c r="E578" s="1" t="s">
        <v>1363</v>
      </c>
      <c r="F578" s="1" t="s">
        <v>112</v>
      </c>
      <c r="G578" s="1">
        <v>287258</v>
      </c>
    </row>
    <row r="579" spans="1:10" x14ac:dyDescent="0.35">
      <c r="A579" s="1" t="str">
        <f t="shared" si="9"/>
        <v>06Anastrozole 0.16</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1364</v>
      </c>
      <c r="D579" s="1" t="s">
        <v>1365</v>
      </c>
      <c r="E579" s="1" t="s">
        <v>1366</v>
      </c>
      <c r="F579" s="1" t="s">
        <v>112</v>
      </c>
      <c r="G579" s="1">
        <v>351454</v>
      </c>
    </row>
    <row r="580" spans="1:10" x14ac:dyDescent="0.35">
      <c r="A580" s="1" t="str">
        <f t="shared" si="9"/>
        <v>06Anastrozole 0.16</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1367</v>
      </c>
      <c r="D580" s="1" t="s">
        <v>1229</v>
      </c>
      <c r="E580" s="1" t="s">
        <v>1368</v>
      </c>
      <c r="F580" s="1" t="s">
        <v>112</v>
      </c>
      <c r="G580" s="1">
        <v>244860</v>
      </c>
    </row>
    <row r="581" spans="1:10" x14ac:dyDescent="0.35">
      <c r="A581" s="1" t="str">
        <f t="shared" si="9"/>
        <v>06Anastrozole 0.16</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1369</v>
      </c>
      <c r="D581" s="1" t="s">
        <v>1370</v>
      </c>
      <c r="E581" s="1" t="s">
        <v>1371</v>
      </c>
      <c r="F581" s="1" t="s">
        <v>112</v>
      </c>
      <c r="G581" s="1">
        <v>1440969</v>
      </c>
    </row>
    <row r="582" spans="1:10" x14ac:dyDescent="0.35">
      <c r="A582" s="1" t="str">
        <f t="shared" si="9"/>
        <v>06Anastrozole 0.16</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1372</v>
      </c>
    </row>
    <row r="583" spans="1:10" x14ac:dyDescent="0.35">
      <c r="A583" s="1" t="str">
        <f t="shared" si="9"/>
        <v>06Anastrozole 0.16</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1373</v>
      </c>
      <c r="D583" s="1" t="s">
        <v>1374</v>
      </c>
      <c r="E583" s="1" t="s">
        <v>1375</v>
      </c>
      <c r="F583" s="1" t="s">
        <v>112</v>
      </c>
      <c r="G583" s="1">
        <v>1357282</v>
      </c>
    </row>
    <row r="584" spans="1:10" x14ac:dyDescent="0.35">
      <c r="A584" s="1" t="str">
        <f t="shared" si="9"/>
        <v>06Anastrozole 0.16</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1376</v>
      </c>
      <c r="D584" s="1" t="s">
        <v>1377</v>
      </c>
      <c r="E584" s="1" t="s">
        <v>1378</v>
      </c>
      <c r="F584" s="1" t="s">
        <v>112</v>
      </c>
      <c r="G584" s="1">
        <v>241010</v>
      </c>
    </row>
    <row r="585" spans="1:10" x14ac:dyDescent="0.35">
      <c r="A585" s="1" t="str">
        <f t="shared" si="9"/>
        <v>06Anastrozole 0.16</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1379</v>
      </c>
      <c r="D585" s="1" t="s">
        <v>1380</v>
      </c>
      <c r="E585" s="1" t="s">
        <v>1381</v>
      </c>
      <c r="F585" s="1" t="s">
        <v>112</v>
      </c>
      <c r="G585" s="1">
        <v>191585</v>
      </c>
    </row>
    <row r="586" spans="1:10" x14ac:dyDescent="0.35">
      <c r="A586" s="1" t="str">
        <f t="shared" si="9"/>
        <v>06Anastrozole 0.16</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1382</v>
      </c>
      <c r="D586" s="1" t="s">
        <v>1383</v>
      </c>
      <c r="E586" s="1" t="s">
        <v>1384</v>
      </c>
      <c r="F586" s="1" t="s">
        <v>112</v>
      </c>
      <c r="G586" s="1">
        <v>190911</v>
      </c>
    </row>
    <row r="587" spans="1:10"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227</v>
      </c>
      <c r="D588" s="1" t="s">
        <v>112</v>
      </c>
      <c r="E588" s="1" t="s">
        <v>228</v>
      </c>
      <c r="F588" s="1" t="s">
        <v>229</v>
      </c>
      <c r="G588" s="1" t="s">
        <v>230</v>
      </c>
      <c r="H588" s="1" t="s">
        <v>231</v>
      </c>
      <c r="I588" s="1" t="s">
        <v>232</v>
      </c>
      <c r="J588" s="1" t="s">
        <v>233</v>
      </c>
    </row>
    <row r="589" spans="1:10" x14ac:dyDescent="0.35">
      <c r="A589" s="1" t="str">
        <f t="shared" si="9"/>
        <v>06Anastrozole 0.16</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1385</v>
      </c>
      <c r="D589" s="1" t="s">
        <v>112</v>
      </c>
      <c r="E589" s="1" t="s">
        <v>1386</v>
      </c>
      <c r="F589" s="1" t="s">
        <v>1387</v>
      </c>
      <c r="G589" s="1" t="s">
        <v>1388</v>
      </c>
      <c r="H589" s="1" t="s">
        <v>1389</v>
      </c>
      <c r="I589" s="1">
        <v>24</v>
      </c>
      <c r="J589" s="1">
        <v>24</v>
      </c>
    </row>
    <row r="590" spans="1:10"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239</v>
      </c>
      <c r="D595" s="1" t="s">
        <v>110</v>
      </c>
      <c r="E595" s="1" t="s">
        <v>111</v>
      </c>
      <c r="F595" s="1" t="s">
        <v>112</v>
      </c>
      <c r="G595" s="1" t="s">
        <v>113</v>
      </c>
    </row>
    <row r="596" spans="1:7" x14ac:dyDescent="0.35">
      <c r="A596" s="1" t="str">
        <f t="shared" si="9"/>
        <v>07 Anastrozole 0.8</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1390</v>
      </c>
      <c r="D596" s="1" t="s">
        <v>842</v>
      </c>
      <c r="E596" s="1" t="s">
        <v>271</v>
      </c>
      <c r="F596" s="1" t="s">
        <v>112</v>
      </c>
      <c r="G596" s="1">
        <v>44204</v>
      </c>
    </row>
    <row r="597" spans="1:7" x14ac:dyDescent="0.35">
      <c r="A597" s="1" t="str">
        <f t="shared" si="9"/>
        <v>07 Anastrozole 0.8</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1391</v>
      </c>
      <c r="D597" s="1" t="s">
        <v>873</v>
      </c>
      <c r="E597" s="1" t="s">
        <v>1392</v>
      </c>
      <c r="F597" s="1" t="s">
        <v>112</v>
      </c>
      <c r="G597" s="1">
        <v>53492</v>
      </c>
    </row>
    <row r="598" spans="1:7" x14ac:dyDescent="0.35">
      <c r="A598" s="1" t="str">
        <f t="shared" si="9"/>
        <v>07 Anastrozole 0.8</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1393</v>
      </c>
      <c r="D598" s="1" t="s">
        <v>274</v>
      </c>
      <c r="E598" s="1" t="s">
        <v>1394</v>
      </c>
      <c r="F598" s="1" t="s">
        <v>112</v>
      </c>
      <c r="G598" s="1">
        <v>50360</v>
      </c>
    </row>
    <row r="599" spans="1:7" x14ac:dyDescent="0.35">
      <c r="A599" s="1" t="str">
        <f t="shared" si="9"/>
        <v>07 Anastrozole 0.8</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1395</v>
      </c>
      <c r="D599" s="1" t="s">
        <v>675</v>
      </c>
      <c r="E599" s="1">
        <v>64</v>
      </c>
      <c r="F599" s="1" t="s">
        <v>112</v>
      </c>
      <c r="G599" s="1">
        <v>204659</v>
      </c>
    </row>
    <row r="600" spans="1:7" x14ac:dyDescent="0.35">
      <c r="A600" s="1" t="str">
        <f t="shared" si="9"/>
        <v>07 Anastrozole 0.8</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1396</v>
      </c>
      <c r="D600" s="1" t="s">
        <v>1397</v>
      </c>
      <c r="E600" s="1" t="s">
        <v>1398</v>
      </c>
      <c r="F600" s="1" t="s">
        <v>112</v>
      </c>
      <c r="G600" s="1">
        <v>483412</v>
      </c>
    </row>
    <row r="601" spans="1:7" x14ac:dyDescent="0.35">
      <c r="A601" s="1" t="str">
        <f t="shared" si="9"/>
        <v>07 Anastrozole 0.8</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1399</v>
      </c>
    </row>
    <row r="602" spans="1:7" x14ac:dyDescent="0.35">
      <c r="A602" s="1" t="str">
        <f t="shared" si="9"/>
        <v>07 Anastrozole 0.8</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1400</v>
      </c>
      <c r="D602" s="1" t="s">
        <v>467</v>
      </c>
      <c r="E602" s="1" t="s">
        <v>1401</v>
      </c>
      <c r="F602" s="1" t="s">
        <v>112</v>
      </c>
      <c r="G602" s="1">
        <v>198372</v>
      </c>
    </row>
    <row r="603" spans="1:7" x14ac:dyDescent="0.35">
      <c r="A603" s="1" t="str">
        <f t="shared" si="9"/>
        <v>07 Anastrozole 0.8</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1402</v>
      </c>
      <c r="D603" s="1" t="s">
        <v>732</v>
      </c>
      <c r="E603" s="1" t="s">
        <v>1403</v>
      </c>
      <c r="F603" s="1" t="s">
        <v>112</v>
      </c>
      <c r="G603" s="1">
        <v>258848</v>
      </c>
    </row>
    <row r="604" spans="1:7" x14ac:dyDescent="0.35">
      <c r="A604" s="1" t="str">
        <f t="shared" si="9"/>
        <v>07 Anastrozole 0.8</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1404</v>
      </c>
      <c r="D604" s="1" t="s">
        <v>1405</v>
      </c>
      <c r="E604" s="1" t="s">
        <v>1406</v>
      </c>
      <c r="F604" s="1" t="s">
        <v>112</v>
      </c>
      <c r="G604" s="1">
        <v>284039</v>
      </c>
    </row>
    <row r="605" spans="1:7" x14ac:dyDescent="0.35">
      <c r="A605" s="1" t="str">
        <f t="shared" si="9"/>
        <v>07 Anastrozole 0.8</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1407</v>
      </c>
      <c r="D605" s="1" t="s">
        <v>210</v>
      </c>
      <c r="E605" s="1" t="s">
        <v>1408</v>
      </c>
      <c r="F605" s="1" t="s">
        <v>112</v>
      </c>
      <c r="G605" s="1">
        <v>20362</v>
      </c>
    </row>
    <row r="606" spans="1:7" x14ac:dyDescent="0.35">
      <c r="A606" s="1" t="str">
        <f t="shared" si="9"/>
        <v>07 Anastrozole 0.8</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1409</v>
      </c>
      <c r="D606" s="1" t="s">
        <v>1410</v>
      </c>
      <c r="E606" s="1" t="s">
        <v>1411</v>
      </c>
      <c r="F606" s="1" t="s">
        <v>112</v>
      </c>
      <c r="G606" s="1">
        <v>8593</v>
      </c>
    </row>
    <row r="607" spans="1:7" x14ac:dyDescent="0.35">
      <c r="A607" s="1" t="str">
        <f t="shared" si="9"/>
        <v>07 Anastrozole 0.8</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1412</v>
      </c>
      <c r="D607" s="1" t="s">
        <v>861</v>
      </c>
      <c r="E607" s="1" t="s">
        <v>1326</v>
      </c>
      <c r="F607" s="1" t="s">
        <v>112</v>
      </c>
      <c r="G607" s="1">
        <v>12400</v>
      </c>
    </row>
    <row r="608" spans="1:7" x14ac:dyDescent="0.35">
      <c r="A608" s="1" t="str">
        <f t="shared" si="9"/>
        <v>07 Anastrozole 0.8</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1413</v>
      </c>
      <c r="D608" s="1" t="s">
        <v>1414</v>
      </c>
      <c r="E608" s="1" t="s">
        <v>1415</v>
      </c>
      <c r="F608" s="1" t="s">
        <v>112</v>
      </c>
      <c r="G608" s="1">
        <v>82838</v>
      </c>
    </row>
    <row r="609" spans="1:10" x14ac:dyDescent="0.35">
      <c r="A609" s="1" t="str">
        <f t="shared" si="9"/>
        <v>07 Anastrozole 0.8</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1416</v>
      </c>
      <c r="D609" s="1" t="s">
        <v>418</v>
      </c>
      <c r="E609" s="1" t="s">
        <v>366</v>
      </c>
      <c r="F609" s="1" t="s">
        <v>112</v>
      </c>
      <c r="G609" s="1">
        <v>17990</v>
      </c>
    </row>
    <row r="610" spans="1:10" x14ac:dyDescent="0.35">
      <c r="A610" s="1" t="str">
        <f t="shared" si="9"/>
        <v>07 Anastrozole 0.8</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1417</v>
      </c>
      <c r="D610" s="1" t="s">
        <v>179</v>
      </c>
      <c r="E610" s="1" t="s">
        <v>1418</v>
      </c>
      <c r="F610" s="1" t="s">
        <v>112</v>
      </c>
      <c r="G610" s="1">
        <v>23799</v>
      </c>
    </row>
    <row r="611" spans="1:10" x14ac:dyDescent="0.35">
      <c r="A611" s="1" t="str">
        <f t="shared" si="9"/>
        <v>07 Anastrozole 0.8</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1419</v>
      </c>
      <c r="D611" s="1" t="s">
        <v>1420</v>
      </c>
      <c r="E611" s="1" t="s">
        <v>1421</v>
      </c>
      <c r="F611" s="1" t="s">
        <v>112</v>
      </c>
      <c r="G611" s="1">
        <v>309447</v>
      </c>
    </row>
    <row r="612" spans="1:10" x14ac:dyDescent="0.35">
      <c r="A612" s="1" t="str">
        <f t="shared" si="9"/>
        <v>07 Anastrozole 0.8</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1422</v>
      </c>
      <c r="D612" s="1" t="s">
        <v>1423</v>
      </c>
      <c r="E612" s="1" t="s">
        <v>1424</v>
      </c>
      <c r="F612" s="1" t="s">
        <v>112</v>
      </c>
      <c r="G612" s="1">
        <v>119972</v>
      </c>
    </row>
    <row r="613" spans="1:10" x14ac:dyDescent="0.35">
      <c r="A613" s="1" t="str">
        <f t="shared" si="9"/>
        <v>07 Anastrozole 0.8</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1425</v>
      </c>
      <c r="D613" s="1" t="s">
        <v>863</v>
      </c>
      <c r="E613" s="1" t="s">
        <v>1426</v>
      </c>
      <c r="F613" s="1" t="s">
        <v>112</v>
      </c>
      <c r="G613" s="1">
        <v>180099</v>
      </c>
    </row>
    <row r="614" spans="1:10" x14ac:dyDescent="0.35">
      <c r="A614" s="1" t="str">
        <f t="shared" si="9"/>
        <v>07 Anastrozole 0.8</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1427</v>
      </c>
      <c r="D614" s="1" t="s">
        <v>1428</v>
      </c>
      <c r="E614" s="1" t="s">
        <v>1429</v>
      </c>
      <c r="F614" s="1" t="s">
        <v>112</v>
      </c>
      <c r="G614" s="1">
        <v>149514</v>
      </c>
    </row>
    <row r="615" spans="1:10" x14ac:dyDescent="0.35">
      <c r="A615" s="1" t="str">
        <f t="shared" si="9"/>
        <v>07 Anastrozole 0.8</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1430</v>
      </c>
      <c r="D615" s="1" t="s">
        <v>1431</v>
      </c>
      <c r="E615" s="1" t="s">
        <v>1432</v>
      </c>
      <c r="F615" s="1" t="s">
        <v>112</v>
      </c>
      <c r="G615" s="1">
        <v>133960</v>
      </c>
    </row>
    <row r="616" spans="1:10" x14ac:dyDescent="0.35">
      <c r="A616" s="1" t="str">
        <f t="shared" si="9"/>
        <v>07 Anastrozole 0.8</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1433</v>
      </c>
      <c r="D616" s="1" t="s">
        <v>812</v>
      </c>
      <c r="E616" s="1" t="s">
        <v>1434</v>
      </c>
      <c r="F616" s="1" t="s">
        <v>112</v>
      </c>
      <c r="G616" s="1">
        <v>114425</v>
      </c>
    </row>
    <row r="617" spans="1:10" x14ac:dyDescent="0.35">
      <c r="A617" s="1" t="str">
        <f t="shared" si="9"/>
        <v>07 Anastrozole 0.8</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1435</v>
      </c>
      <c r="D617" s="1" t="s">
        <v>424</v>
      </c>
      <c r="E617" s="1" t="s">
        <v>1436</v>
      </c>
      <c r="F617" s="1" t="s">
        <v>112</v>
      </c>
      <c r="G617" s="1">
        <v>155626</v>
      </c>
    </row>
    <row r="618" spans="1:10" x14ac:dyDescent="0.35">
      <c r="A618" s="1" t="str">
        <f t="shared" si="9"/>
        <v>07 Anastrozole 0.8</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1437</v>
      </c>
      <c r="D618" s="1" t="s">
        <v>295</v>
      </c>
      <c r="E618" s="1" t="s">
        <v>1438</v>
      </c>
      <c r="F618" s="1" t="s">
        <v>112</v>
      </c>
      <c r="G618" s="1">
        <v>217538</v>
      </c>
    </row>
    <row r="619" spans="1:10" x14ac:dyDescent="0.35">
      <c r="A619" s="1" t="str">
        <f t="shared" si="9"/>
        <v>07 Anastrozole 0.8</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1439</v>
      </c>
      <c r="D619" s="1" t="s">
        <v>1440</v>
      </c>
      <c r="E619" s="1" t="s">
        <v>1441</v>
      </c>
      <c r="F619" s="1" t="s">
        <v>112</v>
      </c>
      <c r="G619" s="1">
        <v>139550</v>
      </c>
    </row>
    <row r="620" spans="1:10"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227</v>
      </c>
      <c r="D621" s="1" t="s">
        <v>112</v>
      </c>
      <c r="E621" s="1" t="s">
        <v>228</v>
      </c>
      <c r="F621" s="1" t="s">
        <v>229</v>
      </c>
      <c r="G621" s="1" t="s">
        <v>230</v>
      </c>
      <c r="H621" s="1" t="s">
        <v>231</v>
      </c>
      <c r="I621" s="1" t="s">
        <v>232</v>
      </c>
      <c r="J621" s="1" t="s">
        <v>233</v>
      </c>
    </row>
    <row r="622" spans="1:10" x14ac:dyDescent="0.35">
      <c r="A622" s="1" t="str">
        <f t="shared" si="9"/>
        <v>07 Anastrozole 0.8</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1442</v>
      </c>
      <c r="D622" s="1" t="s">
        <v>112</v>
      </c>
      <c r="E622" s="1" t="s">
        <v>1443</v>
      </c>
      <c r="F622" s="1" t="s">
        <v>1444</v>
      </c>
      <c r="G622" s="1" t="s">
        <v>1445</v>
      </c>
      <c r="H622" s="1" t="s">
        <v>1446</v>
      </c>
      <c r="I622" s="1">
        <v>24</v>
      </c>
      <c r="J622" s="1">
        <v>24</v>
      </c>
    </row>
    <row r="623" spans="1:10"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239</v>
      </c>
      <c r="D628" s="1" t="s">
        <v>110</v>
      </c>
      <c r="E628" s="1" t="s">
        <v>111</v>
      </c>
      <c r="F628" s="1" t="s">
        <v>112</v>
      </c>
      <c r="G628" s="1" t="s">
        <v>113</v>
      </c>
    </row>
    <row r="629" spans="1:7" x14ac:dyDescent="0.35">
      <c r="A629" s="1" t="str">
        <f t="shared" si="9"/>
        <v>08 Anastrozole 4</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1447</v>
      </c>
      <c r="D629" s="1" t="s">
        <v>1448</v>
      </c>
      <c r="E629" s="1" t="s">
        <v>1449</v>
      </c>
      <c r="F629" s="1" t="s">
        <v>112</v>
      </c>
      <c r="G629" s="1">
        <v>591006</v>
      </c>
    </row>
    <row r="630" spans="1:7" x14ac:dyDescent="0.35">
      <c r="A630" s="1" t="str">
        <f t="shared" si="9"/>
        <v>08 Anastrozole 4</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1450</v>
      </c>
      <c r="D630" s="1" t="s">
        <v>1451</v>
      </c>
      <c r="E630" s="1" t="s">
        <v>1452</v>
      </c>
      <c r="F630" s="1" t="s">
        <v>112</v>
      </c>
      <c r="G630" s="1">
        <v>700580</v>
      </c>
    </row>
    <row r="631" spans="1:7" x14ac:dyDescent="0.35">
      <c r="A631" s="1" t="str">
        <f t="shared" si="9"/>
        <v>08 Anastrozole 4</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1453</v>
      </c>
      <c r="D631" s="1" t="s">
        <v>1454</v>
      </c>
      <c r="E631" s="1" t="s">
        <v>1455</v>
      </c>
      <c r="F631" s="1" t="s">
        <v>112</v>
      </c>
      <c r="G631" s="1">
        <v>854487</v>
      </c>
    </row>
    <row r="632" spans="1:7" x14ac:dyDescent="0.35">
      <c r="A632" s="1" t="str">
        <f t="shared" si="9"/>
        <v>08 Anastrozole 4</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1456</v>
      </c>
      <c r="D632" s="1" t="s">
        <v>1457</v>
      </c>
      <c r="E632" s="1" t="s">
        <v>1458</v>
      </c>
      <c r="F632" s="1" t="s">
        <v>112</v>
      </c>
      <c r="G632" s="1">
        <v>365855</v>
      </c>
    </row>
    <row r="633" spans="1:7" x14ac:dyDescent="0.35">
      <c r="A633" s="1" t="str">
        <f t="shared" si="9"/>
        <v>08 Anastrozole 4</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1459</v>
      </c>
      <c r="D633" s="1" t="s">
        <v>301</v>
      </c>
      <c r="E633" s="1" t="s">
        <v>1460</v>
      </c>
      <c r="F633" s="1" t="s">
        <v>112</v>
      </c>
      <c r="G633" s="1">
        <v>219887</v>
      </c>
    </row>
    <row r="634" spans="1:7" x14ac:dyDescent="0.35">
      <c r="A634" s="1" t="str">
        <f t="shared" si="9"/>
        <v>08 Anastrozole 4</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1461</v>
      </c>
      <c r="D634" s="1" t="s">
        <v>1462</v>
      </c>
      <c r="E634" s="1" t="s">
        <v>1463</v>
      </c>
      <c r="F634" s="1" t="s">
        <v>112</v>
      </c>
      <c r="G634" s="1">
        <v>498835</v>
      </c>
    </row>
    <row r="635" spans="1:7" x14ac:dyDescent="0.35">
      <c r="A635" s="1" t="str">
        <f t="shared" si="9"/>
        <v>08 Anastrozole 4</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1464</v>
      </c>
      <c r="D635" s="1" t="s">
        <v>253</v>
      </c>
      <c r="E635" s="1" t="s">
        <v>1465</v>
      </c>
      <c r="F635" s="1" t="s">
        <v>112</v>
      </c>
      <c r="G635" s="1">
        <v>34545</v>
      </c>
    </row>
    <row r="636" spans="1:7" x14ac:dyDescent="0.35">
      <c r="A636" s="1" t="str">
        <f t="shared" si="9"/>
        <v>08 Anastrozole 4</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1466</v>
      </c>
      <c r="D636" s="1" t="s">
        <v>956</v>
      </c>
      <c r="E636" s="1" t="s">
        <v>1467</v>
      </c>
      <c r="F636" s="1" t="s">
        <v>112</v>
      </c>
      <c r="G636" s="1">
        <v>47880</v>
      </c>
    </row>
    <row r="637" spans="1:7" x14ac:dyDescent="0.35">
      <c r="A637" s="1" t="str">
        <f t="shared" si="9"/>
        <v>08 Anastrozole 4</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1468</v>
      </c>
      <c r="D637" s="1" t="s">
        <v>820</v>
      </c>
      <c r="E637" s="1" t="s">
        <v>1469</v>
      </c>
      <c r="F637" s="1" t="s">
        <v>112</v>
      </c>
      <c r="G637" s="1">
        <v>42790</v>
      </c>
    </row>
    <row r="638" spans="1:7" x14ac:dyDescent="0.35">
      <c r="A638" s="1" t="str">
        <f t="shared" si="9"/>
        <v>08 Anastrozole 4</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1470</v>
      </c>
      <c r="D638" s="1" t="s">
        <v>1471</v>
      </c>
      <c r="E638" s="1" t="s">
        <v>1472</v>
      </c>
      <c r="F638" s="1" t="s">
        <v>112</v>
      </c>
      <c r="G638" s="1">
        <v>99328</v>
      </c>
    </row>
    <row r="639" spans="1:7" x14ac:dyDescent="0.35">
      <c r="A639" s="1" t="str">
        <f t="shared" si="9"/>
        <v>08 Anastrozole 4</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1473</v>
      </c>
      <c r="D639" s="1" t="s">
        <v>882</v>
      </c>
      <c r="E639" s="1" t="s">
        <v>1474</v>
      </c>
      <c r="F639" s="1" t="s">
        <v>112</v>
      </c>
      <c r="G639" s="1">
        <v>236224</v>
      </c>
    </row>
    <row r="640" spans="1:7" x14ac:dyDescent="0.35">
      <c r="A640" s="1" t="str">
        <f t="shared" si="9"/>
        <v>08 Anastrozole 4</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1475</v>
      </c>
      <c r="D640" s="1" t="s">
        <v>1476</v>
      </c>
      <c r="E640" s="1" t="s">
        <v>1477</v>
      </c>
      <c r="F640" s="1" t="s">
        <v>112</v>
      </c>
      <c r="G640" s="1">
        <v>59235</v>
      </c>
    </row>
    <row r="641" spans="1:10" x14ac:dyDescent="0.35">
      <c r="A641" s="1" t="str">
        <f t="shared" si="9"/>
        <v>08 Anastrozole 4</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1478</v>
      </c>
      <c r="D641" s="1" t="s">
        <v>1479</v>
      </c>
      <c r="E641" s="1" t="s">
        <v>1480</v>
      </c>
      <c r="F641" s="1" t="s">
        <v>112</v>
      </c>
      <c r="G641" s="1">
        <v>125323</v>
      </c>
    </row>
    <row r="642" spans="1:10" x14ac:dyDescent="0.35">
      <c r="A642" s="1" t="str">
        <f t="shared" ref="A642:A705" si="10">IFERROR(LEFT(RIGHT(C642,LEN(C642)-SEARCH("@",C642)),SEARCH("/",RIGHT(C642,LEN(C642)-SEARCH("@",C642)-1))),"")</f>
        <v>08 Anastrozole 4</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1481</v>
      </c>
      <c r="D642" s="1" t="s">
        <v>1431</v>
      </c>
      <c r="E642" s="1" t="s">
        <v>1482</v>
      </c>
      <c r="F642" s="1" t="s">
        <v>112</v>
      </c>
      <c r="G642" s="1">
        <v>133546</v>
      </c>
    </row>
    <row r="643" spans="1:10" x14ac:dyDescent="0.35">
      <c r="A643" s="1" t="str">
        <f t="shared" si="10"/>
        <v>08 Anastrozole 4</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1483</v>
      </c>
      <c r="D643" s="1" t="s">
        <v>176</v>
      </c>
      <c r="E643" s="1" t="s">
        <v>1484</v>
      </c>
      <c r="F643" s="1" t="s">
        <v>112</v>
      </c>
      <c r="G643" s="1">
        <v>176097</v>
      </c>
    </row>
    <row r="644" spans="1:10" x14ac:dyDescent="0.35">
      <c r="A644" s="1" t="str">
        <f t="shared" si="10"/>
        <v>08 Anastrozole 4</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1485</v>
      </c>
      <c r="D644" s="1" t="s">
        <v>873</v>
      </c>
      <c r="E644" s="1" t="s">
        <v>1486</v>
      </c>
      <c r="F644" s="1" t="s">
        <v>112</v>
      </c>
      <c r="G644" s="1">
        <v>53797</v>
      </c>
    </row>
    <row r="645" spans="1:10" x14ac:dyDescent="0.35">
      <c r="A645" s="1" t="str">
        <f t="shared" si="10"/>
        <v>08 Anastrozole 4</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1487</v>
      </c>
      <c r="D645" s="1" t="s">
        <v>1197</v>
      </c>
      <c r="E645" s="1" t="s">
        <v>738</v>
      </c>
      <c r="F645" s="1" t="s">
        <v>112</v>
      </c>
      <c r="G645" s="1">
        <v>67306</v>
      </c>
    </row>
    <row r="646" spans="1:10" x14ac:dyDescent="0.35">
      <c r="A646" s="1" t="str">
        <f t="shared" si="10"/>
        <v>08 Anastrozole 4</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1488</v>
      </c>
      <c r="D646" s="1" t="s">
        <v>812</v>
      </c>
      <c r="E646" s="1" t="s">
        <v>1489</v>
      </c>
      <c r="F646" s="1" t="s">
        <v>112</v>
      </c>
      <c r="G646" s="1">
        <v>116296</v>
      </c>
    </row>
    <row r="647" spans="1:10" x14ac:dyDescent="0.35">
      <c r="A647" s="1" t="str">
        <f t="shared" si="10"/>
        <v>08 Anastrozole 4</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1490</v>
      </c>
      <c r="D647" s="1" t="s">
        <v>1491</v>
      </c>
      <c r="E647" s="1" t="s">
        <v>1492</v>
      </c>
      <c r="F647" s="1" t="s">
        <v>112</v>
      </c>
      <c r="G647" s="1">
        <v>417433</v>
      </c>
    </row>
    <row r="648" spans="1:10" x14ac:dyDescent="0.35">
      <c r="A648" s="1" t="str">
        <f t="shared" si="10"/>
        <v>08 Anastrozole 4</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1493</v>
      </c>
      <c r="D648" s="1" t="s">
        <v>892</v>
      </c>
      <c r="E648" s="1" t="s">
        <v>1494</v>
      </c>
      <c r="F648" s="1" t="s">
        <v>112</v>
      </c>
      <c r="G648" s="1">
        <v>372076</v>
      </c>
    </row>
    <row r="649" spans="1:10" x14ac:dyDescent="0.35">
      <c r="A649" s="1" t="str">
        <f t="shared" si="10"/>
        <v>08 Anastrozole 4</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1495</v>
      </c>
      <c r="D649" s="1" t="s">
        <v>1496</v>
      </c>
      <c r="E649" s="1" t="s">
        <v>1497</v>
      </c>
      <c r="F649" s="1" t="s">
        <v>112</v>
      </c>
      <c r="G649" s="1">
        <v>373273</v>
      </c>
    </row>
    <row r="650" spans="1:10" x14ac:dyDescent="0.35">
      <c r="A650" s="1" t="str">
        <f t="shared" si="10"/>
        <v>08 Anastrozole 4</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1498</v>
      </c>
      <c r="D650" s="1" t="s">
        <v>1499</v>
      </c>
      <c r="E650" s="1" t="s">
        <v>1500</v>
      </c>
      <c r="F650" s="1" t="s">
        <v>112</v>
      </c>
      <c r="G650" s="1">
        <v>579281</v>
      </c>
    </row>
    <row r="651" spans="1:10" x14ac:dyDescent="0.35">
      <c r="A651" s="1" t="str">
        <f t="shared" si="10"/>
        <v>08 Anastrozole 4</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1501</v>
      </c>
      <c r="D651" s="1" t="s">
        <v>250</v>
      </c>
      <c r="E651" s="1" t="s">
        <v>1502</v>
      </c>
      <c r="F651" s="1" t="s">
        <v>112</v>
      </c>
      <c r="G651" s="1">
        <v>33653</v>
      </c>
    </row>
    <row r="652" spans="1:10" x14ac:dyDescent="0.35">
      <c r="A652" s="1" t="str">
        <f t="shared" si="10"/>
        <v>08 Anastrozole 4</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1503</v>
      </c>
      <c r="D652" s="1" t="s">
        <v>1504</v>
      </c>
      <c r="E652" s="1" t="s">
        <v>1505</v>
      </c>
      <c r="F652" s="1" t="s">
        <v>112</v>
      </c>
      <c r="G652" s="1">
        <v>701363</v>
      </c>
    </row>
    <row r="653" spans="1:10"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227</v>
      </c>
      <c r="D654" s="1" t="s">
        <v>112</v>
      </c>
      <c r="E654" s="1" t="s">
        <v>228</v>
      </c>
      <c r="F654" s="1" t="s">
        <v>229</v>
      </c>
      <c r="G654" s="1" t="s">
        <v>230</v>
      </c>
      <c r="H654" s="1" t="s">
        <v>231</v>
      </c>
      <c r="I654" s="1" t="s">
        <v>232</v>
      </c>
      <c r="J654" s="1" t="s">
        <v>233</v>
      </c>
    </row>
    <row r="655" spans="1:10" x14ac:dyDescent="0.35">
      <c r="A655" s="1" t="str">
        <f t="shared" si="10"/>
        <v>08 Anastrozole 4</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1506</v>
      </c>
      <c r="D655" s="1" t="s">
        <v>112</v>
      </c>
      <c r="E655" s="1" t="s">
        <v>1507</v>
      </c>
      <c r="F655" s="1" t="s">
        <v>1508</v>
      </c>
      <c r="G655" s="1">
        <v>287504</v>
      </c>
      <c r="H655" s="1" t="s">
        <v>1509</v>
      </c>
      <c r="I655" s="1">
        <v>24</v>
      </c>
      <c r="J655" s="1">
        <v>24</v>
      </c>
    </row>
    <row r="656" spans="1:10"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239</v>
      </c>
      <c r="D661" s="1" t="s">
        <v>110</v>
      </c>
      <c r="E661" s="1" t="s">
        <v>111</v>
      </c>
      <c r="F661" s="1" t="s">
        <v>112</v>
      </c>
      <c r="G661" s="1" t="s">
        <v>113</v>
      </c>
    </row>
    <row r="662" spans="1:7" x14ac:dyDescent="0.35">
      <c r="A662" s="1" t="str">
        <f t="shared" si="10"/>
        <v>09 Anastrozole 20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1510</v>
      </c>
      <c r="D662" s="1" t="s">
        <v>1511</v>
      </c>
      <c r="E662" s="1" t="s">
        <v>1512</v>
      </c>
      <c r="F662" s="1" t="s">
        <v>112</v>
      </c>
      <c r="G662" s="1">
        <v>312166</v>
      </c>
    </row>
    <row r="663" spans="1:7" x14ac:dyDescent="0.35">
      <c r="A663" s="1" t="str">
        <f t="shared" si="10"/>
        <v>09 Anastrozole 20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1513</v>
      </c>
      <c r="D663" s="1" t="s">
        <v>1514</v>
      </c>
      <c r="E663" s="1" t="s">
        <v>1515</v>
      </c>
      <c r="F663" s="1" t="s">
        <v>112</v>
      </c>
      <c r="G663" s="1">
        <v>532423</v>
      </c>
    </row>
    <row r="664" spans="1:7" x14ac:dyDescent="0.35">
      <c r="A664" s="1" t="str">
        <f t="shared" si="10"/>
        <v>09 Anastrozole 20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1516</v>
      </c>
      <c r="D664" s="1" t="s">
        <v>1517</v>
      </c>
      <c r="E664" s="1" t="s">
        <v>1518</v>
      </c>
      <c r="F664" s="1" t="s">
        <v>112</v>
      </c>
      <c r="G664" s="1">
        <v>201222</v>
      </c>
    </row>
    <row r="665" spans="1:7" x14ac:dyDescent="0.35">
      <c r="A665" s="1" t="str">
        <f t="shared" si="10"/>
        <v>09 Anastrozole 20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1519</v>
      </c>
      <c r="D665" s="1" t="s">
        <v>1520</v>
      </c>
      <c r="E665" s="1" t="s">
        <v>1521</v>
      </c>
      <c r="F665" s="1" t="s">
        <v>112</v>
      </c>
      <c r="G665" s="1">
        <v>174161</v>
      </c>
    </row>
    <row r="666" spans="1:7" x14ac:dyDescent="0.35">
      <c r="A666" s="1" t="str">
        <f t="shared" si="10"/>
        <v>09 Anastrozole 20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1522</v>
      </c>
      <c r="D666" s="1" t="s">
        <v>1523</v>
      </c>
      <c r="E666" s="1" t="s">
        <v>1524</v>
      </c>
      <c r="F666" s="1" t="s">
        <v>112</v>
      </c>
      <c r="G666" s="1">
        <v>232439</v>
      </c>
    </row>
    <row r="667" spans="1:7" x14ac:dyDescent="0.35">
      <c r="A667" s="1" t="str">
        <f t="shared" si="10"/>
        <v>09 Anastrozole 20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1525</v>
      </c>
      <c r="D667" s="1" t="s">
        <v>173</v>
      </c>
      <c r="E667" s="1" t="s">
        <v>1526</v>
      </c>
      <c r="F667" s="1" t="s">
        <v>112</v>
      </c>
      <c r="G667" s="1">
        <v>152994</v>
      </c>
    </row>
    <row r="668" spans="1:7" x14ac:dyDescent="0.35">
      <c r="A668" s="1" t="str">
        <f t="shared" si="10"/>
        <v>09 Anastrozole 20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1527</v>
      </c>
      <c r="D668" s="1" t="s">
        <v>1528</v>
      </c>
      <c r="E668" s="1" t="s">
        <v>1529</v>
      </c>
      <c r="F668" s="1" t="s">
        <v>112</v>
      </c>
      <c r="G668" s="1">
        <v>513802</v>
      </c>
    </row>
    <row r="669" spans="1:7" x14ac:dyDescent="0.35">
      <c r="A669" s="1" t="str">
        <f t="shared" si="10"/>
        <v>09 Anastrozole 20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1530</v>
      </c>
      <c r="D669" s="1" t="s">
        <v>179</v>
      </c>
      <c r="E669" s="1" t="s">
        <v>1531</v>
      </c>
      <c r="F669" s="1" t="s">
        <v>112</v>
      </c>
      <c r="G669" s="1">
        <v>23494</v>
      </c>
    </row>
    <row r="670" spans="1:7" x14ac:dyDescent="0.35">
      <c r="A670" s="1" t="str">
        <f t="shared" si="10"/>
        <v>09 Anastrozole 20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1532</v>
      </c>
      <c r="D670" s="1" t="s">
        <v>956</v>
      </c>
      <c r="E670" s="1" t="s">
        <v>1533</v>
      </c>
      <c r="F670" s="1" t="s">
        <v>112</v>
      </c>
      <c r="G670" s="1">
        <v>49076</v>
      </c>
    </row>
    <row r="671" spans="1:7" x14ac:dyDescent="0.35">
      <c r="A671" s="1" t="str">
        <f t="shared" si="10"/>
        <v>09 Anastrozole 20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1534</v>
      </c>
      <c r="D671" s="1" t="s">
        <v>1535</v>
      </c>
      <c r="E671" s="1" t="s">
        <v>1536</v>
      </c>
      <c r="F671" s="1" t="s">
        <v>112</v>
      </c>
      <c r="G671" s="1">
        <v>542713</v>
      </c>
    </row>
    <row r="672" spans="1:7" x14ac:dyDescent="0.35">
      <c r="A672" s="1" t="str">
        <f t="shared" si="10"/>
        <v>09 Anastrozole 20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1537</v>
      </c>
      <c r="D672" s="1" t="s">
        <v>182</v>
      </c>
      <c r="E672" s="1" t="s">
        <v>1538</v>
      </c>
      <c r="F672" s="1" t="s">
        <v>112</v>
      </c>
      <c r="G672" s="1">
        <v>46466</v>
      </c>
    </row>
    <row r="673" spans="1:10" x14ac:dyDescent="0.35">
      <c r="A673" s="1" t="str">
        <f t="shared" si="10"/>
        <v>09 Anastrozole 20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1539</v>
      </c>
      <c r="D673" s="1" t="s">
        <v>1540</v>
      </c>
      <c r="E673" s="1" t="s">
        <v>1541</v>
      </c>
      <c r="F673" s="1" t="s">
        <v>112</v>
      </c>
      <c r="G673" s="1">
        <v>442776</v>
      </c>
    </row>
    <row r="674" spans="1:10" x14ac:dyDescent="0.35">
      <c r="A674" s="1" t="str">
        <f t="shared" si="10"/>
        <v>09 Anastrozole 20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1542</v>
      </c>
      <c r="D674" s="1" t="s">
        <v>1543</v>
      </c>
      <c r="E674" s="1" t="s">
        <v>1544</v>
      </c>
      <c r="F674" s="1" t="s">
        <v>112</v>
      </c>
      <c r="G674" s="1">
        <v>348060</v>
      </c>
    </row>
    <row r="675" spans="1:10" x14ac:dyDescent="0.35">
      <c r="A675" s="1" t="str">
        <f t="shared" si="10"/>
        <v>09 Anastrozole 20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1545</v>
      </c>
      <c r="D675" s="1" t="s">
        <v>1546</v>
      </c>
      <c r="E675" s="1" t="s">
        <v>1547</v>
      </c>
      <c r="F675" s="1" t="s">
        <v>112</v>
      </c>
      <c r="G675" s="1">
        <v>69895</v>
      </c>
    </row>
    <row r="676" spans="1:10" x14ac:dyDescent="0.35">
      <c r="A676" s="1" t="str">
        <f t="shared" si="10"/>
        <v>09 Anastrozole 20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1548</v>
      </c>
      <c r="D676" s="1" t="s">
        <v>1549</v>
      </c>
      <c r="E676" s="1" t="s">
        <v>1550</v>
      </c>
      <c r="F676" s="1" t="s">
        <v>112</v>
      </c>
      <c r="G676" s="1">
        <v>210533</v>
      </c>
    </row>
    <row r="677" spans="1:10" x14ac:dyDescent="0.35">
      <c r="A677" s="1" t="str">
        <f t="shared" si="10"/>
        <v>09 Anastrozole 20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1551</v>
      </c>
      <c r="D677" s="1" t="s">
        <v>688</v>
      </c>
      <c r="E677" s="1" t="s">
        <v>446</v>
      </c>
      <c r="F677" s="1" t="s">
        <v>112</v>
      </c>
      <c r="G677" s="1">
        <v>161543</v>
      </c>
    </row>
    <row r="678" spans="1:10" x14ac:dyDescent="0.35">
      <c r="A678" s="1" t="str">
        <f t="shared" si="10"/>
        <v>09 Anastrozole 20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1552</v>
      </c>
      <c r="D678" s="1" t="s">
        <v>470</v>
      </c>
      <c r="E678" s="1" t="s">
        <v>1553</v>
      </c>
      <c r="F678" s="1" t="s">
        <v>112</v>
      </c>
      <c r="G678" s="1">
        <v>78357</v>
      </c>
    </row>
    <row r="679" spans="1:10" x14ac:dyDescent="0.35">
      <c r="A679" s="1" t="str">
        <f t="shared" si="10"/>
        <v>09 Anastrozole 20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1554</v>
      </c>
      <c r="D679" s="1" t="s">
        <v>842</v>
      </c>
      <c r="E679" s="1" t="s">
        <v>1555</v>
      </c>
      <c r="F679" s="1" t="s">
        <v>112</v>
      </c>
      <c r="G679" s="1">
        <v>43007</v>
      </c>
    </row>
    <row r="680" spans="1:10" x14ac:dyDescent="0.35">
      <c r="A680" s="1" t="str">
        <f t="shared" si="10"/>
        <v>09 Anastrozole 20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1556</v>
      </c>
      <c r="D680" s="1" t="s">
        <v>418</v>
      </c>
      <c r="E680" s="1" t="s">
        <v>1557</v>
      </c>
      <c r="F680" s="1" t="s">
        <v>112</v>
      </c>
      <c r="G680" s="1">
        <v>18121</v>
      </c>
    </row>
    <row r="681" spans="1:10" x14ac:dyDescent="0.35">
      <c r="A681" s="1" t="str">
        <f t="shared" si="10"/>
        <v>09 Anastrozole 20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1558</v>
      </c>
      <c r="D681" s="1" t="s">
        <v>940</v>
      </c>
      <c r="E681" s="1" t="s">
        <v>1559</v>
      </c>
      <c r="F681" s="1" t="s">
        <v>112</v>
      </c>
      <c r="G681" s="1">
        <v>15445</v>
      </c>
    </row>
    <row r="682" spans="1:10" x14ac:dyDescent="0.35">
      <c r="A682" s="1" t="str">
        <f t="shared" si="10"/>
        <v>09 Anastrozole 20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1560</v>
      </c>
      <c r="D682" s="1" t="s">
        <v>1206</v>
      </c>
      <c r="E682" s="1">
        <v>64</v>
      </c>
      <c r="F682" s="1" t="s">
        <v>112</v>
      </c>
      <c r="G682" s="1">
        <v>11138</v>
      </c>
    </row>
    <row r="683" spans="1:10" x14ac:dyDescent="0.35">
      <c r="A683" s="1" t="str">
        <f t="shared" si="10"/>
        <v>09 Anastrozole 20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1561</v>
      </c>
      <c r="D683" s="1" t="s">
        <v>1562</v>
      </c>
      <c r="E683" s="1" t="s">
        <v>1563</v>
      </c>
      <c r="F683" s="1" t="s">
        <v>112</v>
      </c>
      <c r="G683" s="1">
        <v>227958</v>
      </c>
    </row>
    <row r="684" spans="1:10" x14ac:dyDescent="0.35">
      <c r="A684" s="1" t="str">
        <f t="shared" si="10"/>
        <v>09 Anastrozole 20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1564</v>
      </c>
      <c r="D684" s="1" t="s">
        <v>1565</v>
      </c>
      <c r="E684" s="1" t="s">
        <v>1566</v>
      </c>
      <c r="F684" s="1" t="s">
        <v>112</v>
      </c>
      <c r="G684" s="1">
        <v>741781</v>
      </c>
    </row>
    <row r="685" spans="1:10" x14ac:dyDescent="0.35">
      <c r="A685" s="1" t="str">
        <f t="shared" si="10"/>
        <v>09 Anastrozole 20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1567</v>
      </c>
      <c r="D685" s="1" t="s">
        <v>1451</v>
      </c>
      <c r="E685" s="1" t="s">
        <v>1568</v>
      </c>
      <c r="F685" s="1" t="s">
        <v>112</v>
      </c>
      <c r="G685" s="1">
        <v>712979</v>
      </c>
    </row>
    <row r="686" spans="1:10"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227</v>
      </c>
      <c r="D687" s="1" t="s">
        <v>112</v>
      </c>
      <c r="E687" s="1" t="s">
        <v>228</v>
      </c>
      <c r="F687" s="1" t="s">
        <v>229</v>
      </c>
      <c r="G687" s="1" t="s">
        <v>230</v>
      </c>
      <c r="H687" s="1" t="s">
        <v>231</v>
      </c>
      <c r="I687" s="1" t="s">
        <v>232</v>
      </c>
      <c r="J687" s="1" t="s">
        <v>233</v>
      </c>
    </row>
    <row r="688" spans="1:10" x14ac:dyDescent="0.35">
      <c r="A688" s="1" t="str">
        <f t="shared" si="10"/>
        <v>09 Anastrozole 20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1569</v>
      </c>
      <c r="D688" s="1" t="s">
        <v>112</v>
      </c>
      <c r="E688" s="1" t="s">
        <v>1570</v>
      </c>
      <c r="F688" s="1" t="s">
        <v>1571</v>
      </c>
      <c r="G688" s="1" t="s">
        <v>1572</v>
      </c>
      <c r="H688" s="1" t="s">
        <v>1573</v>
      </c>
      <c r="I688" s="1">
        <v>24</v>
      </c>
      <c r="J688" s="1">
        <v>24</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6" priority="1" operator="containsText" text="ERREUR">
      <formula>NOT(ISERROR(SEARCH("ERREUR",A1)))</formula>
    </cfRule>
    <cfRule type="containsText" dxfId="35"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topLeftCell="A25" zoomScale="85" zoomScaleNormal="85" zoomScaleSheetLayoutView="40" zoomScalePageLayoutView="30" workbookViewId="0">
      <pane xSplit="1" topLeftCell="P1" activePane="topRight" state="frozen"/>
      <selection pane="topRight" activeCell="M64" sqref="M64"/>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36" width="25.81640625" style="1" customWidth="1"/>
    <col min="37" max="37" width="25.81640625" bestFit="1" customWidth="1"/>
  </cols>
  <sheetData>
    <row r="1" spans="1:37" s="1" customFormat="1" ht="26.5" thickBot="1" x14ac:dyDescent="0.65">
      <c r="A1" s="222" t="s">
        <v>40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4"/>
    </row>
    <row r="2" spans="1:37" ht="15" thickBot="1" x14ac:dyDescent="0.4">
      <c r="A2"/>
      <c r="B2"/>
      <c r="C2"/>
      <c r="D2"/>
      <c r="E2"/>
      <c r="F2"/>
      <c r="G2"/>
      <c r="H2"/>
      <c r="I2"/>
      <c r="J2"/>
      <c r="K2"/>
      <c r="L2"/>
      <c r="M2"/>
      <c r="S2"/>
      <c r="T2"/>
      <c r="U2"/>
      <c r="V2"/>
      <c r="W2"/>
      <c r="X2"/>
      <c r="Y2"/>
      <c r="Z2"/>
      <c r="AA2"/>
      <c r="AB2"/>
      <c r="AC2"/>
      <c r="AD2"/>
    </row>
    <row r="3" spans="1:37" ht="15" thickBot="1" x14ac:dyDescent="0.4">
      <c r="A3" s="53" t="s">
        <v>17</v>
      </c>
      <c r="B3" s="232" t="s">
        <v>6</v>
      </c>
      <c r="C3" s="233"/>
      <c r="D3" s="233"/>
      <c r="E3" s="233"/>
      <c r="F3" s="233"/>
      <c r="G3" s="233"/>
      <c r="H3" s="233"/>
      <c r="I3" s="233"/>
      <c r="J3" s="233"/>
      <c r="K3" s="233"/>
      <c r="L3" s="233"/>
      <c r="M3" s="233"/>
      <c r="O3" s="232" t="s">
        <v>3</v>
      </c>
      <c r="P3" s="233"/>
      <c r="Q3" s="233"/>
      <c r="R3" s="233"/>
      <c r="S3" s="233"/>
      <c r="T3" s="233"/>
      <c r="U3" s="233"/>
      <c r="V3" s="233"/>
      <c r="W3" s="233"/>
      <c r="X3" s="233"/>
      <c r="Y3" s="233"/>
      <c r="Z3" s="233"/>
      <c r="AA3" s="233"/>
      <c r="AB3" s="233"/>
      <c r="AC3" s="233"/>
      <c r="AD3" s="233"/>
      <c r="AE3" s="233"/>
      <c r="AF3" s="233"/>
      <c r="AG3" s="233"/>
      <c r="AH3" s="233"/>
      <c r="AI3" s="233"/>
      <c r="AJ3" s="233"/>
      <c r="AK3" s="234"/>
    </row>
    <row r="4" spans="1:37"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202" t="str">
        <f>'Page de garde'!A15</f>
        <v>Anastrozole 0,032 ug/L</v>
      </c>
      <c r="J4" s="202" t="str">
        <f>'Page de garde'!A16</f>
        <v>Anastrozole 0,16 ug/L</v>
      </c>
      <c r="K4" s="202" t="str">
        <f>'Page de garde'!A17</f>
        <v>Anastrozole 0,8 ug/L</v>
      </c>
      <c r="L4" s="202" t="str">
        <f>'Page de garde'!A18</f>
        <v>Anastrozole 4 ug/L</v>
      </c>
      <c r="M4" s="202" t="str">
        <f>'Page de garde'!A19</f>
        <v>Anastrozole 20 ug/L</v>
      </c>
      <c r="N4" s="3"/>
      <c r="O4" s="36" t="str">
        <f>'Page de garde'!A36</f>
        <v>Testo -30µg/L</v>
      </c>
      <c r="P4" s="36" t="str">
        <f>'Page de garde'!A37</f>
        <v>Testo 30µg/L + EE2 -64ng/L</v>
      </c>
      <c r="Q4" s="36" t="str">
        <f>'Page de garde'!A38</f>
        <v>Testo 30µg/L + FAD-10mg/L</v>
      </c>
      <c r="R4" s="36" t="str">
        <f>'Page de garde'!A39</f>
        <v>Anastrozole-0,032ug/L + Testostérone</v>
      </c>
      <c r="S4" s="36" t="str">
        <f>'Page de garde'!A40</f>
        <v>Anastrozole-0,16ug/L + Testostérone</v>
      </c>
      <c r="T4" s="36" t="str">
        <f>'Page de garde'!A41</f>
        <v>Anastrozole-0,8ug/L + Testostérone</v>
      </c>
      <c r="U4" s="36" t="str">
        <f>'Page de garde'!A42</f>
        <v>Anastrozole-4ug/L + Testostérone</v>
      </c>
      <c r="V4" s="36" t="str">
        <f>'Page de garde'!A43</f>
        <v>Anastrozole-20ug/L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35">
      <c r="A5" s="228" t="s">
        <v>33</v>
      </c>
      <c r="B5" s="201">
        <v>333927.33333333331</v>
      </c>
      <c r="C5" s="201">
        <v>154451.66666666666</v>
      </c>
      <c r="D5" s="201">
        <v>418999</v>
      </c>
      <c r="E5" s="201">
        <v>1406641.5</v>
      </c>
      <c r="F5" s="201">
        <v>1579246.5</v>
      </c>
      <c r="G5" s="201">
        <v>4877416.666666667</v>
      </c>
      <c r="H5" s="201">
        <v>7861807</v>
      </c>
      <c r="I5" s="201">
        <v>376093.66666666669</v>
      </c>
      <c r="J5" s="201">
        <v>630511</v>
      </c>
      <c r="K5" s="201">
        <v>225448.66666666666</v>
      </c>
      <c r="L5" s="201">
        <v>116505.66666666667</v>
      </c>
      <c r="M5" s="201">
        <v>800375</v>
      </c>
      <c r="N5" s="3"/>
      <c r="O5" s="201">
        <v>2015137</v>
      </c>
      <c r="P5" s="201">
        <v>2925532</v>
      </c>
      <c r="Q5" s="201">
        <v>67226.333333333328</v>
      </c>
      <c r="R5" s="201">
        <v>605508.66666666663</v>
      </c>
      <c r="S5" s="201">
        <v>78393.333333333328</v>
      </c>
      <c r="T5" s="201">
        <v>49352</v>
      </c>
      <c r="U5" s="201">
        <v>715357.66666666663</v>
      </c>
      <c r="V5" s="201">
        <v>348603.66666666669</v>
      </c>
      <c r="W5" s="32"/>
      <c r="X5" s="32"/>
      <c r="Y5" s="32"/>
      <c r="Z5" s="32"/>
      <c r="AA5" s="32"/>
      <c r="AB5" s="32"/>
      <c r="AC5" s="32"/>
      <c r="AD5" s="32"/>
      <c r="AE5" s="4"/>
      <c r="AF5" s="32"/>
      <c r="AG5" s="32"/>
      <c r="AH5" s="32"/>
      <c r="AI5" s="32"/>
      <c r="AJ5" s="32"/>
      <c r="AK5" s="32"/>
    </row>
    <row r="6" spans="1:37" x14ac:dyDescent="0.35">
      <c r="A6" s="229"/>
      <c r="B6" s="201">
        <v>83041.333333333328</v>
      </c>
      <c r="C6" s="201">
        <v>65283</v>
      </c>
      <c r="D6" s="201">
        <v>325784.33333333331</v>
      </c>
      <c r="E6" s="201">
        <v>1002195.6666666666</v>
      </c>
      <c r="F6" s="201">
        <v>1011332</v>
      </c>
      <c r="G6" s="201">
        <v>5322179.333333333</v>
      </c>
      <c r="H6" s="201">
        <v>6430729.333333333</v>
      </c>
      <c r="I6" s="201">
        <v>215696</v>
      </c>
      <c r="J6" s="201">
        <v>222280</v>
      </c>
      <c r="K6" s="201">
        <v>208611.33333333334</v>
      </c>
      <c r="L6" s="201">
        <v>27953.666666666668</v>
      </c>
      <c r="M6" s="201">
        <v>266581</v>
      </c>
      <c r="N6" s="3"/>
      <c r="O6" s="201">
        <v>2180052.3333333335</v>
      </c>
      <c r="P6" s="201">
        <v>6507614.333333333</v>
      </c>
      <c r="Q6" s="201">
        <v>181687.33333333334</v>
      </c>
      <c r="R6" s="201">
        <v>1502815</v>
      </c>
      <c r="S6" s="201">
        <v>2103124</v>
      </c>
      <c r="T6" s="201">
        <v>344035.5</v>
      </c>
      <c r="U6" s="201">
        <v>361525.66666666669</v>
      </c>
      <c r="V6" s="201">
        <v>186531.33333333334</v>
      </c>
      <c r="W6" s="32"/>
      <c r="X6" s="32"/>
      <c r="Y6" s="32"/>
      <c r="Z6" s="32"/>
      <c r="AA6" s="32"/>
      <c r="AB6" s="32"/>
      <c r="AC6" s="32"/>
      <c r="AD6" s="32"/>
      <c r="AE6" s="4"/>
      <c r="AF6" s="32"/>
      <c r="AG6" s="32"/>
      <c r="AH6" s="32"/>
      <c r="AI6" s="32"/>
      <c r="AJ6" s="32"/>
      <c r="AK6" s="32"/>
    </row>
    <row r="7" spans="1:37" x14ac:dyDescent="0.35">
      <c r="A7" s="229"/>
      <c r="B7" s="201">
        <v>698933.66666666663</v>
      </c>
      <c r="C7" s="201">
        <v>29969.333333333332</v>
      </c>
      <c r="D7" s="201">
        <v>59268</v>
      </c>
      <c r="E7" s="201">
        <v>1129527.6666666667</v>
      </c>
      <c r="F7" s="201">
        <v>166561.33333333334</v>
      </c>
      <c r="G7" s="201"/>
      <c r="H7" s="201">
        <v>6716704</v>
      </c>
      <c r="I7" s="201">
        <v>170593</v>
      </c>
      <c r="J7" s="201">
        <v>311651.33333333331</v>
      </c>
      <c r="K7" s="201">
        <v>426649</v>
      </c>
      <c r="L7" s="201">
        <v>107717.33333333333</v>
      </c>
      <c r="M7" s="201">
        <v>264982.66666666669</v>
      </c>
      <c r="N7" s="3"/>
      <c r="O7" s="201">
        <v>3341695.6666666665</v>
      </c>
      <c r="P7" s="201">
        <v>3250837.3333333335</v>
      </c>
      <c r="Q7" s="201">
        <v>29835</v>
      </c>
      <c r="R7" s="201">
        <v>1131949.3333333333</v>
      </c>
      <c r="S7" s="201">
        <v>1233133.3333333333</v>
      </c>
      <c r="T7" s="201">
        <v>247086.33333333334</v>
      </c>
      <c r="U7" s="201">
        <v>41738.333333333336</v>
      </c>
      <c r="V7" s="201">
        <v>195457.33333333334</v>
      </c>
      <c r="W7" s="32"/>
      <c r="X7" s="32"/>
      <c r="Y7" s="32"/>
      <c r="Z7" s="32"/>
      <c r="AA7" s="32"/>
      <c r="AB7" s="32"/>
      <c r="AC7" s="32"/>
      <c r="AD7" s="32"/>
      <c r="AE7" s="4"/>
      <c r="AF7" s="32"/>
      <c r="AG7" s="32"/>
      <c r="AH7" s="32"/>
      <c r="AI7" s="32"/>
      <c r="AJ7" s="32"/>
      <c r="AK7" s="32"/>
    </row>
    <row r="8" spans="1:37" x14ac:dyDescent="0.35">
      <c r="A8" s="229"/>
      <c r="B8" s="201">
        <v>653613.5</v>
      </c>
      <c r="C8" s="201">
        <v>26974.333333333332</v>
      </c>
      <c r="D8" s="201">
        <v>84593</v>
      </c>
      <c r="E8" s="201">
        <v>807883.66666666663</v>
      </c>
      <c r="F8" s="201">
        <v>2014213</v>
      </c>
      <c r="G8" s="201">
        <v>2960055</v>
      </c>
      <c r="H8" s="201">
        <v>8495160.666666666</v>
      </c>
      <c r="I8" s="201">
        <v>116476.66666666667</v>
      </c>
      <c r="J8" s="201">
        <v>149078.66666666666</v>
      </c>
      <c r="K8" s="201">
        <v>164030.66666666666</v>
      </c>
      <c r="L8" s="201">
        <v>158193.33333333334</v>
      </c>
      <c r="M8" s="201">
        <v>226906</v>
      </c>
      <c r="N8" s="3"/>
      <c r="O8" s="201">
        <v>1320540</v>
      </c>
      <c r="P8" s="201">
        <v>2818144.5</v>
      </c>
      <c r="Q8" s="201">
        <v>22370</v>
      </c>
      <c r="R8" s="201">
        <v>1714776</v>
      </c>
      <c r="S8" s="201">
        <v>1219551.6666666667</v>
      </c>
      <c r="T8" s="201">
        <v>13785</v>
      </c>
      <c r="U8" s="201">
        <v>131595.66666666666</v>
      </c>
      <c r="V8" s="201">
        <v>343985</v>
      </c>
      <c r="W8" s="32"/>
      <c r="X8" s="32"/>
      <c r="Y8" s="32"/>
      <c r="Z8" s="32"/>
      <c r="AA8" s="32"/>
      <c r="AB8" s="32"/>
      <c r="AC8" s="32"/>
      <c r="AD8" s="32"/>
      <c r="AE8" s="4"/>
      <c r="AF8" s="32"/>
      <c r="AG8" s="32"/>
      <c r="AH8" s="32"/>
      <c r="AI8" s="32"/>
      <c r="AJ8" s="32"/>
      <c r="AK8" s="32"/>
    </row>
    <row r="9" spans="1:37" x14ac:dyDescent="0.35">
      <c r="A9" s="229"/>
      <c r="B9" s="201">
        <v>61911.5</v>
      </c>
      <c r="C9" s="201">
        <v>96510.5</v>
      </c>
      <c r="D9" s="201">
        <v>363316.66666666669</v>
      </c>
      <c r="E9" s="201">
        <v>27895.666666666668</v>
      </c>
      <c r="F9" s="201">
        <v>937985.66666666663</v>
      </c>
      <c r="G9" s="201">
        <v>1751547</v>
      </c>
      <c r="H9" s="201">
        <v>7859262</v>
      </c>
      <c r="I9" s="201">
        <v>521133</v>
      </c>
      <c r="J9" s="201">
        <v>34371</v>
      </c>
      <c r="K9" s="201">
        <v>151754</v>
      </c>
      <c r="L9" s="201">
        <v>190548.33333333334</v>
      </c>
      <c r="M9" s="201">
        <v>28033.333333333332</v>
      </c>
      <c r="N9" s="3"/>
      <c r="O9" s="201">
        <v>3397429</v>
      </c>
      <c r="P9" s="201">
        <v>2535248</v>
      </c>
      <c r="Q9" s="201">
        <v>379375</v>
      </c>
      <c r="R9" s="201">
        <v>1478204</v>
      </c>
      <c r="S9" s="201">
        <v>273981.33333333331</v>
      </c>
      <c r="T9" s="201">
        <v>41542.333333333336</v>
      </c>
      <c r="U9" s="201">
        <v>144988.66666666666</v>
      </c>
      <c r="V9" s="201">
        <v>209496</v>
      </c>
      <c r="W9" s="32"/>
      <c r="X9" s="32"/>
      <c r="Y9" s="32"/>
      <c r="Z9" s="32"/>
      <c r="AA9" s="32"/>
      <c r="AB9" s="32"/>
      <c r="AC9" s="32"/>
      <c r="AD9" s="32"/>
      <c r="AE9" s="4"/>
      <c r="AF9" s="32"/>
      <c r="AG9" s="32"/>
      <c r="AH9" s="32"/>
      <c r="AI9" s="32"/>
      <c r="AJ9" s="32"/>
      <c r="AK9" s="32"/>
    </row>
    <row r="10" spans="1:37" x14ac:dyDescent="0.35">
      <c r="A10" s="229"/>
      <c r="B10" s="201">
        <v>22537</v>
      </c>
      <c r="C10" s="201">
        <v>932895.33333333337</v>
      </c>
      <c r="D10" s="201">
        <v>310571.33333333331</v>
      </c>
      <c r="E10" s="201">
        <v>115762.5</v>
      </c>
      <c r="F10" s="201">
        <v>3500810</v>
      </c>
      <c r="G10" s="201">
        <v>4247195.666666667</v>
      </c>
      <c r="H10" s="201">
        <v>8062326</v>
      </c>
      <c r="I10" s="201">
        <v>286431.66666666669</v>
      </c>
      <c r="J10" s="201">
        <v>157939.66666666666</v>
      </c>
      <c r="K10" s="201">
        <v>26670.333333333332</v>
      </c>
      <c r="L10" s="201">
        <v>333825.66666666669</v>
      </c>
      <c r="M10" s="201">
        <v>340674.5</v>
      </c>
      <c r="N10" s="3"/>
      <c r="O10" s="201">
        <v>4111818.5</v>
      </c>
      <c r="P10" s="201">
        <v>2834275</v>
      </c>
      <c r="Q10" s="201">
        <v>29142.666666666668</v>
      </c>
      <c r="R10" s="201">
        <v>1368659</v>
      </c>
      <c r="S10" s="201">
        <v>294524</v>
      </c>
      <c r="T10" s="201">
        <v>203172.66666666666</v>
      </c>
      <c r="U10" s="201">
        <v>79133</v>
      </c>
      <c r="V10" s="201">
        <v>94302.333333333328</v>
      </c>
      <c r="W10" s="32"/>
      <c r="X10" s="32"/>
      <c r="Y10" s="32"/>
      <c r="Z10" s="32"/>
      <c r="AA10" s="32"/>
      <c r="AB10" s="32"/>
      <c r="AC10" s="32"/>
      <c r="AD10" s="32"/>
      <c r="AE10" s="4"/>
      <c r="AF10" s="32"/>
      <c r="AG10" s="32"/>
      <c r="AH10" s="32"/>
      <c r="AI10" s="32"/>
      <c r="AJ10" s="32"/>
      <c r="AK10" s="32"/>
    </row>
    <row r="11" spans="1:37" x14ac:dyDescent="0.35">
      <c r="A11" s="229"/>
      <c r="B11" s="201">
        <v>80880.5</v>
      </c>
      <c r="C11" s="201">
        <v>29498</v>
      </c>
      <c r="D11" s="201">
        <v>31151</v>
      </c>
      <c r="E11" s="201">
        <v>250705</v>
      </c>
      <c r="F11" s="201">
        <v>2659788</v>
      </c>
      <c r="G11" s="201">
        <v>4246412.666666667</v>
      </c>
      <c r="H11" s="201">
        <v>3455330.3333333335</v>
      </c>
      <c r="I11" s="201">
        <v>211163.66666666666</v>
      </c>
      <c r="J11" s="201">
        <v>273009.5</v>
      </c>
      <c r="K11" s="201">
        <v>255642.66666666666</v>
      </c>
      <c r="L11" s="201">
        <v>935955.33333333337</v>
      </c>
      <c r="M11" s="201">
        <v>91387.666666666672</v>
      </c>
      <c r="N11" s="3"/>
      <c r="O11" s="201">
        <v>4673816</v>
      </c>
      <c r="P11" s="201">
        <v>2822006</v>
      </c>
      <c r="Q11" s="201">
        <v>178801.33333333334</v>
      </c>
      <c r="R11" s="201">
        <v>792989.66666666663</v>
      </c>
      <c r="S11" s="201">
        <v>1399125.5</v>
      </c>
      <c r="T11" s="201">
        <v>132633</v>
      </c>
      <c r="U11" s="201">
        <v>387594</v>
      </c>
      <c r="V11" s="201">
        <v>14901.333333333334</v>
      </c>
      <c r="W11" s="32"/>
      <c r="X11" s="32"/>
      <c r="Y11" s="32"/>
      <c r="Z11" s="32"/>
      <c r="AA11" s="32"/>
      <c r="AB11" s="32"/>
      <c r="AC11" s="32"/>
      <c r="AD11" s="32"/>
      <c r="AE11" s="4"/>
      <c r="AF11" s="32"/>
      <c r="AG11" s="32"/>
      <c r="AH11" s="32"/>
      <c r="AI11" s="32"/>
      <c r="AJ11" s="32"/>
      <c r="AK11" s="32"/>
    </row>
    <row r="12" spans="1:37" x14ac:dyDescent="0.35">
      <c r="A12" s="229"/>
      <c r="B12" s="201">
        <v>50839</v>
      </c>
      <c r="C12" s="201">
        <v>204253.33333333334</v>
      </c>
      <c r="D12" s="201">
        <v>260566.33333333334</v>
      </c>
      <c r="E12" s="201">
        <v>814554.66666666663</v>
      </c>
      <c r="F12" s="201">
        <v>1652372</v>
      </c>
      <c r="G12" s="201">
        <v>2773049</v>
      </c>
      <c r="H12" s="201">
        <v>5030642.666666667</v>
      </c>
      <c r="I12" s="201"/>
      <c r="J12" s="201">
        <v>417730.33333333331</v>
      </c>
      <c r="K12" s="201">
        <v>325378.33333333331</v>
      </c>
      <c r="L12" s="201"/>
      <c r="M12" s="201">
        <v>146489.66666666666</v>
      </c>
      <c r="N12" s="3"/>
      <c r="O12" s="201">
        <v>4192884</v>
      </c>
      <c r="P12" s="201">
        <v>6209348.333333333</v>
      </c>
      <c r="Q12" s="201">
        <v>501786.33333333331</v>
      </c>
      <c r="R12" s="201">
        <v>588243</v>
      </c>
      <c r="S12" s="201">
        <v>207835.33333333334</v>
      </c>
      <c r="T12" s="201">
        <v>170904.66666666666</v>
      </c>
      <c r="U12" s="201">
        <v>438099</v>
      </c>
      <c r="V12" s="201">
        <v>560906</v>
      </c>
      <c r="W12" s="32"/>
      <c r="X12" s="32"/>
      <c r="Y12" s="32"/>
      <c r="Z12" s="32"/>
      <c r="AA12" s="32"/>
      <c r="AB12" s="32"/>
      <c r="AC12" s="32"/>
      <c r="AD12" s="32"/>
      <c r="AE12" s="4"/>
      <c r="AF12" s="32"/>
      <c r="AG12" s="32"/>
      <c r="AH12" s="32"/>
      <c r="AI12" s="32"/>
      <c r="AJ12" s="32"/>
      <c r="AK12" s="32"/>
    </row>
    <row r="13" spans="1:37" ht="16.5" x14ac:dyDescent="0.35">
      <c r="A13" s="229"/>
      <c r="B13" s="14"/>
      <c r="C13" s="13"/>
      <c r="D13" s="16"/>
      <c r="E13" s="16"/>
      <c r="F13" s="16"/>
      <c r="G13" s="16"/>
      <c r="H13" s="16"/>
      <c r="I13" s="32"/>
      <c r="J13" s="16"/>
      <c r="K13" s="13"/>
      <c r="L13" s="13"/>
      <c r="M13" s="13"/>
      <c r="N13" s="3"/>
      <c r="O13" s="201">
        <v>2196259</v>
      </c>
      <c r="P13" s="13"/>
      <c r="Q13" s="13"/>
      <c r="R13" s="4"/>
      <c r="S13" s="32"/>
      <c r="T13" s="32"/>
      <c r="U13" s="32"/>
      <c r="V13" s="32"/>
      <c r="W13" s="32"/>
      <c r="X13" s="32"/>
      <c r="Y13" s="32"/>
      <c r="Z13" s="32"/>
      <c r="AA13" s="32"/>
      <c r="AB13" s="32"/>
      <c r="AC13" s="32"/>
      <c r="AD13" s="32"/>
      <c r="AE13" s="4"/>
      <c r="AF13" s="32"/>
      <c r="AG13" s="32"/>
      <c r="AH13" s="32"/>
      <c r="AI13" s="32"/>
      <c r="AJ13" s="32"/>
      <c r="AK13" s="32"/>
    </row>
    <row r="14" spans="1:37" ht="16.5" x14ac:dyDescent="0.35">
      <c r="A14" s="229"/>
      <c r="B14" s="14"/>
      <c r="C14" s="16"/>
      <c r="D14" s="16"/>
      <c r="E14" s="16"/>
      <c r="F14" s="16"/>
      <c r="G14" s="16"/>
      <c r="H14" s="16"/>
      <c r="I14" s="32"/>
      <c r="J14" s="16"/>
      <c r="K14" s="13"/>
      <c r="L14" s="13"/>
      <c r="M14" s="13"/>
      <c r="N14" s="3"/>
      <c r="O14" s="201">
        <v>1584217.5</v>
      </c>
      <c r="P14" s="13"/>
      <c r="Q14" s="13"/>
      <c r="R14" s="4"/>
      <c r="S14" s="32"/>
      <c r="T14" s="32"/>
      <c r="U14" s="32"/>
      <c r="V14" s="32"/>
      <c r="W14" s="32"/>
      <c r="X14" s="32"/>
      <c r="Y14" s="32"/>
      <c r="Z14" s="32"/>
      <c r="AA14" s="32"/>
      <c r="AB14" s="32"/>
      <c r="AC14" s="32"/>
      <c r="AD14" s="32"/>
      <c r="AE14" s="4"/>
      <c r="AF14" s="32"/>
      <c r="AG14" s="32"/>
      <c r="AH14" s="32"/>
      <c r="AI14" s="32"/>
      <c r="AJ14" s="32"/>
      <c r="AK14" s="32"/>
    </row>
    <row r="15" spans="1:37" ht="16.5" x14ac:dyDescent="0.35">
      <c r="A15" s="229"/>
      <c r="B15" s="14"/>
      <c r="C15" s="16"/>
      <c r="D15" s="16"/>
      <c r="E15" s="16"/>
      <c r="F15" s="16"/>
      <c r="G15" s="16"/>
      <c r="H15" s="16"/>
      <c r="I15" s="32"/>
      <c r="J15" s="16"/>
      <c r="K15" s="13"/>
      <c r="L15" s="13"/>
      <c r="M15" s="13"/>
      <c r="N15" s="3"/>
      <c r="O15" s="201">
        <v>3401402.6666666665</v>
      </c>
      <c r="P15" s="13"/>
      <c r="Q15" s="13"/>
      <c r="R15" s="4"/>
      <c r="S15" s="32"/>
      <c r="T15" s="32"/>
      <c r="U15" s="32"/>
      <c r="V15" s="32"/>
      <c r="W15" s="32"/>
      <c r="X15" s="32"/>
      <c r="Y15" s="32"/>
      <c r="Z15" s="32"/>
      <c r="AA15" s="32"/>
      <c r="AB15" s="32"/>
      <c r="AC15" s="32"/>
      <c r="AD15" s="32"/>
      <c r="AE15" s="4"/>
      <c r="AF15" s="32"/>
      <c r="AG15" s="32"/>
      <c r="AH15" s="32"/>
      <c r="AI15" s="32"/>
      <c r="AJ15" s="32"/>
      <c r="AK15" s="32"/>
    </row>
    <row r="16" spans="1:37" ht="16.5" x14ac:dyDescent="0.35">
      <c r="A16" s="229"/>
      <c r="B16" s="14"/>
      <c r="C16" s="16"/>
      <c r="D16" s="16"/>
      <c r="E16" s="16"/>
      <c r="F16" s="16"/>
      <c r="G16" s="16"/>
      <c r="H16" s="16"/>
      <c r="I16" s="32"/>
      <c r="J16" s="16"/>
      <c r="K16" s="13"/>
      <c r="L16" s="13"/>
      <c r="M16" s="13"/>
      <c r="N16" s="3"/>
      <c r="O16" s="201">
        <v>220387</v>
      </c>
      <c r="P16" s="13"/>
      <c r="Q16" s="13"/>
      <c r="R16" s="4"/>
      <c r="S16" s="32"/>
      <c r="T16" s="32"/>
      <c r="U16" s="32"/>
      <c r="V16" s="32"/>
      <c r="W16" s="32"/>
      <c r="X16" s="32"/>
      <c r="Y16" s="32"/>
      <c r="Z16" s="32"/>
      <c r="AA16" s="32"/>
      <c r="AB16" s="32"/>
      <c r="AC16" s="32"/>
      <c r="AD16" s="32"/>
      <c r="AE16" s="4"/>
      <c r="AF16" s="32"/>
      <c r="AG16" s="32"/>
      <c r="AH16" s="32"/>
      <c r="AI16" s="32"/>
      <c r="AJ16" s="32"/>
      <c r="AK16" s="32"/>
    </row>
    <row r="17" spans="1:37" s="1" customFormat="1" ht="16.5" x14ac:dyDescent="0.35">
      <c r="A17" s="229"/>
      <c r="B17" s="14"/>
      <c r="C17" s="32"/>
      <c r="D17" s="32"/>
      <c r="E17" s="32"/>
      <c r="F17" s="32"/>
      <c r="G17" s="32"/>
      <c r="H17" s="32"/>
      <c r="I17" s="32"/>
      <c r="J17" s="32"/>
      <c r="K17" s="13"/>
      <c r="L17" s="13"/>
      <c r="M17" s="13"/>
      <c r="N17" s="3"/>
      <c r="O17" s="201">
        <v>1900615</v>
      </c>
      <c r="P17" s="13"/>
      <c r="Q17" s="13"/>
      <c r="R17" s="32"/>
      <c r="S17" s="32"/>
      <c r="T17" s="32"/>
      <c r="U17" s="32"/>
      <c r="V17" s="32"/>
      <c r="W17" s="32"/>
      <c r="X17" s="32"/>
      <c r="Y17" s="32"/>
      <c r="Z17" s="32"/>
      <c r="AA17" s="32"/>
      <c r="AB17" s="32"/>
      <c r="AC17" s="32"/>
      <c r="AD17" s="32"/>
      <c r="AE17" s="32"/>
      <c r="AF17" s="32"/>
      <c r="AG17" s="32"/>
      <c r="AH17" s="32"/>
      <c r="AI17" s="32"/>
      <c r="AJ17" s="32"/>
      <c r="AK17" s="32"/>
    </row>
    <row r="18" spans="1:37" s="1" customFormat="1" ht="16.5" x14ac:dyDescent="0.35">
      <c r="A18" s="229"/>
      <c r="B18" s="14"/>
      <c r="C18" s="32"/>
      <c r="D18" s="32"/>
      <c r="E18" s="32"/>
      <c r="F18" s="32"/>
      <c r="G18" s="32"/>
      <c r="H18" s="32"/>
      <c r="I18" s="32"/>
      <c r="J18" s="32"/>
      <c r="K18" s="13"/>
      <c r="L18" s="13"/>
      <c r="M18" s="13"/>
      <c r="N18" s="3"/>
      <c r="O18" s="201">
        <v>2190052.3333333335</v>
      </c>
      <c r="P18" s="13"/>
      <c r="Q18" s="13"/>
      <c r="R18" s="32"/>
      <c r="S18" s="32"/>
      <c r="T18" s="32"/>
      <c r="U18" s="32"/>
      <c r="V18" s="32"/>
      <c r="W18" s="32"/>
      <c r="X18" s="32"/>
      <c r="Y18" s="32"/>
      <c r="Z18" s="32"/>
      <c r="AA18" s="32"/>
      <c r="AB18" s="32"/>
      <c r="AC18" s="32"/>
      <c r="AD18" s="32"/>
      <c r="AE18" s="32"/>
      <c r="AF18" s="32"/>
      <c r="AG18" s="32"/>
      <c r="AH18" s="32"/>
      <c r="AI18" s="32"/>
      <c r="AJ18" s="32"/>
      <c r="AK18" s="32"/>
    </row>
    <row r="19" spans="1:37" s="1" customFormat="1" ht="16.5" x14ac:dyDescent="0.35">
      <c r="A19" s="229"/>
      <c r="B19" s="14"/>
      <c r="C19" s="32"/>
      <c r="D19" s="32"/>
      <c r="E19" s="32"/>
      <c r="F19" s="32"/>
      <c r="G19" s="32"/>
      <c r="H19" s="32"/>
      <c r="I19" s="32"/>
      <c r="J19" s="32"/>
      <c r="K19" s="13"/>
      <c r="L19" s="13"/>
      <c r="M19" s="13"/>
      <c r="N19" s="3"/>
      <c r="O19" s="201">
        <v>18324</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35">
      <c r="A20" s="229"/>
      <c r="B20" s="14"/>
      <c r="C20" s="16"/>
      <c r="D20" s="16"/>
      <c r="E20" s="16"/>
      <c r="F20" s="16"/>
      <c r="G20" s="16"/>
      <c r="H20" s="16"/>
      <c r="I20" s="32"/>
      <c r="J20" s="16"/>
      <c r="K20" s="13"/>
      <c r="L20" s="13"/>
      <c r="M20" s="13"/>
      <c r="N20" s="3"/>
      <c r="O20" s="201">
        <v>492911.33333333331</v>
      </c>
      <c r="P20" s="13"/>
      <c r="Q20" s="13"/>
      <c r="R20" s="4"/>
      <c r="S20" s="32"/>
      <c r="T20" s="32"/>
      <c r="U20" s="32"/>
      <c r="V20" s="32"/>
      <c r="W20" s="32"/>
      <c r="X20" s="32"/>
      <c r="Y20" s="32"/>
      <c r="Z20" s="32"/>
      <c r="AA20" s="32"/>
      <c r="AB20" s="32"/>
      <c r="AC20" s="32"/>
      <c r="AD20" s="32"/>
      <c r="AE20" s="4"/>
      <c r="AF20" s="32"/>
      <c r="AG20" s="32"/>
      <c r="AH20" s="32"/>
      <c r="AI20" s="32"/>
      <c r="AJ20" s="32"/>
      <c r="AK20" s="32"/>
    </row>
    <row r="21" spans="1:37" s="1" customFormat="1" ht="16.5" x14ac:dyDescent="0.35">
      <c r="A21" s="69"/>
      <c r="B21" s="70"/>
      <c r="C21" s="7"/>
      <c r="D21" s="7"/>
      <c r="E21" s="7"/>
      <c r="F21" s="7"/>
      <c r="G21" s="7"/>
      <c r="H21" s="7"/>
      <c r="I21" s="7"/>
      <c r="J21" s="7"/>
      <c r="K21" s="33"/>
      <c r="L21" s="33"/>
      <c r="M21" s="33"/>
      <c r="N21" s="3"/>
      <c r="O21" s="7"/>
      <c r="P21" s="33"/>
      <c r="Q21" s="33"/>
      <c r="R21" s="7"/>
      <c r="S21" s="7"/>
      <c r="T21" s="7"/>
      <c r="U21" s="7"/>
      <c r="V21" s="7"/>
      <c r="W21" s="7"/>
      <c r="X21" s="7"/>
      <c r="Y21" s="7"/>
      <c r="Z21" s="7"/>
      <c r="AA21" s="7"/>
      <c r="AB21" s="7"/>
      <c r="AC21" s="7"/>
      <c r="AD21" s="7"/>
      <c r="AE21" s="7"/>
      <c r="AF21" s="7"/>
      <c r="AG21" s="7"/>
      <c r="AH21" s="7"/>
      <c r="AI21" s="7"/>
      <c r="AJ21" s="7"/>
      <c r="AK21" s="7"/>
    </row>
    <row r="22" spans="1:37" s="72" customFormat="1" x14ac:dyDescent="0.35">
      <c r="A22" s="71" t="str">
        <f t="shared" ref="A22:M22" si="0">A4</f>
        <v>Noms des groupes</v>
      </c>
      <c r="B22" s="71" t="str">
        <f t="shared" si="0"/>
        <v>Témoin solvant</v>
      </c>
      <c r="C22" s="71" t="str">
        <f t="shared" si="0"/>
        <v>EE2-33,8ng/L</v>
      </c>
      <c r="D22" s="71" t="str">
        <f t="shared" si="0"/>
        <v>EE2-50,6ng/L</v>
      </c>
      <c r="E22" s="71" t="str">
        <f t="shared" si="0"/>
        <v>EE2-76ng/L</v>
      </c>
      <c r="F22" s="71" t="str">
        <f t="shared" si="0"/>
        <v>EE2-114ng/L</v>
      </c>
      <c r="G22" s="71" t="str">
        <f t="shared" si="0"/>
        <v>EE2-170,9ng/L</v>
      </c>
      <c r="H22" s="71" t="str">
        <f t="shared" si="0"/>
        <v>EE2-488ng/L</v>
      </c>
      <c r="I22" s="71" t="str">
        <f t="shared" si="0"/>
        <v>Anastrozole 0,032 ug/L</v>
      </c>
      <c r="J22" s="71" t="str">
        <f t="shared" si="0"/>
        <v>Anastrozole 0,16 ug/L</v>
      </c>
      <c r="K22" s="71" t="str">
        <f t="shared" si="0"/>
        <v>Anastrozole 0,8 ug/L</v>
      </c>
      <c r="L22" s="71" t="str">
        <f t="shared" si="0"/>
        <v>Anastrozole 4 ug/L</v>
      </c>
      <c r="M22" s="71" t="str">
        <f t="shared" si="0"/>
        <v>Anastrozole 20 ug/L</v>
      </c>
      <c r="N22" s="71" t="s">
        <v>47</v>
      </c>
      <c r="O22" s="71" t="str">
        <f t="shared" ref="O22:AE22" si="1">O4</f>
        <v>Testo -30µg/L</v>
      </c>
      <c r="P22" s="71" t="str">
        <f t="shared" si="1"/>
        <v>Testo 30µg/L + EE2 -64ng/L</v>
      </c>
      <c r="Q22" s="71" t="str">
        <f t="shared" si="1"/>
        <v>Testo 30µg/L + FAD-10mg/L</v>
      </c>
      <c r="R22" s="71" t="str">
        <f t="shared" si="1"/>
        <v>Anastrozole-0,032ug/L + Testostérone</v>
      </c>
      <c r="S22" s="71" t="str">
        <f t="shared" si="1"/>
        <v>Anastrozole-0,16ug/L + Testostérone</v>
      </c>
      <c r="T22" s="71" t="str">
        <f t="shared" si="1"/>
        <v>Anastrozole-0,8ug/L + Testostérone</v>
      </c>
      <c r="U22" s="71" t="str">
        <f t="shared" si="1"/>
        <v>Anastrozole-4ug/L + Testostérone</v>
      </c>
      <c r="V22" s="71" t="str">
        <f t="shared" si="1"/>
        <v>Anastrozole-20ug/L + Testostérone</v>
      </c>
      <c r="W22" s="71" t="str">
        <f t="shared" si="1"/>
        <v>0-00 + Testostérone</v>
      </c>
      <c r="X22" s="71" t="str">
        <f t="shared" si="1"/>
        <v>0-00 + Testostérone</v>
      </c>
      <c r="Y22" s="71" t="str">
        <f t="shared" si="1"/>
        <v>0-00 + Testostérone</v>
      </c>
      <c r="Z22" s="71" t="str">
        <f t="shared" si="1"/>
        <v>0-00 + Testostérone</v>
      </c>
      <c r="AA22" s="71" t="str">
        <f t="shared" si="1"/>
        <v>0-00 + Testostérone</v>
      </c>
      <c r="AB22" s="71" t="str">
        <f t="shared" si="1"/>
        <v>0-00 + Testostérone</v>
      </c>
      <c r="AC22" s="71" t="str">
        <f t="shared" si="1"/>
        <v>0-00 + Testostérone</v>
      </c>
      <c r="AD22" s="71" t="str">
        <f t="shared" si="1"/>
        <v>0-00 + Testostérone</v>
      </c>
      <c r="AE22" s="71" t="str">
        <f t="shared" si="1"/>
        <v>0-00 + Testostérone</v>
      </c>
      <c r="AF22" s="71" t="str">
        <f t="shared" ref="AF22:AK22" si="2">AF4</f>
        <v>0-00 + Testostérone</v>
      </c>
      <c r="AG22" s="71" t="str">
        <f t="shared" si="2"/>
        <v>0-00 + Testostérone</v>
      </c>
      <c r="AH22" s="71" t="str">
        <f t="shared" si="2"/>
        <v>0-00 + Testostérone</v>
      </c>
      <c r="AI22" s="71" t="str">
        <f t="shared" si="2"/>
        <v>0-00 + Testostérone</v>
      </c>
      <c r="AJ22" s="71" t="str">
        <f t="shared" si="2"/>
        <v>0-00 + Testostérone</v>
      </c>
      <c r="AK22" s="71" t="str">
        <f t="shared" si="2"/>
        <v>0-00 + Testostérone</v>
      </c>
    </row>
    <row r="23" spans="1:37" x14ac:dyDescent="0.35">
      <c r="A23" s="5" t="s">
        <v>0</v>
      </c>
      <c r="B23" s="5">
        <f t="shared" ref="B23:M23" si="3">AVERAGE(B5:B20)</f>
        <v>248210.47916666666</v>
      </c>
      <c r="C23" s="5">
        <f t="shared" si="3"/>
        <v>192479.4375</v>
      </c>
      <c r="D23" s="5">
        <f t="shared" si="3"/>
        <v>231781.20833333331</v>
      </c>
      <c r="E23" s="5">
        <f t="shared" si="3"/>
        <v>694395.79166666674</v>
      </c>
      <c r="F23" s="5">
        <f t="shared" si="3"/>
        <v>1690288.5625</v>
      </c>
      <c r="G23" s="5">
        <f t="shared" si="3"/>
        <v>3739693.6190476194</v>
      </c>
      <c r="H23" s="5">
        <f t="shared" si="3"/>
        <v>6738995.25</v>
      </c>
      <c r="I23" s="5">
        <f t="shared" si="3"/>
        <v>271083.95238095243</v>
      </c>
      <c r="J23" s="5">
        <f t="shared" si="3"/>
        <v>274571.4375</v>
      </c>
      <c r="K23" s="5">
        <f t="shared" si="3"/>
        <v>223023.12499999997</v>
      </c>
      <c r="L23" s="5">
        <f t="shared" si="3"/>
        <v>267242.76190476195</v>
      </c>
      <c r="M23" s="5">
        <f t="shared" si="3"/>
        <v>270678.72916666669</v>
      </c>
      <c r="N23" s="5" t="s">
        <v>0</v>
      </c>
      <c r="O23" s="5">
        <f t="shared" ref="O23:AE23" si="4">AVERAGE(O5:O20)</f>
        <v>2327346.333333334</v>
      </c>
      <c r="P23" s="5">
        <f t="shared" si="4"/>
        <v>3737875.6874999995</v>
      </c>
      <c r="Q23" s="5">
        <f t="shared" si="4"/>
        <v>173778</v>
      </c>
      <c r="R23" s="5">
        <f t="shared" si="4"/>
        <v>1147893.0833333333</v>
      </c>
      <c r="S23" s="5">
        <f t="shared" si="4"/>
        <v>851208.5625</v>
      </c>
      <c r="T23" s="5">
        <f t="shared" si="4"/>
        <v>150313.9375</v>
      </c>
      <c r="U23" s="5">
        <f t="shared" si="4"/>
        <v>287504</v>
      </c>
      <c r="V23" s="5">
        <f t="shared" si="4"/>
        <v>244272.875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35">
      <c r="A24" s="3" t="s">
        <v>1</v>
      </c>
      <c r="B24" s="3">
        <f t="shared" ref="B24:M24" si="6">STDEV(B5:B20)</f>
        <v>281506.62982007058</v>
      </c>
      <c r="C24" s="3">
        <f t="shared" si="6"/>
        <v>306023.76842539094</v>
      </c>
      <c r="D24" s="3">
        <f t="shared" si="6"/>
        <v>151139.85446871194</v>
      </c>
      <c r="E24" s="3">
        <f t="shared" si="6"/>
        <v>506330.28960542195</v>
      </c>
      <c r="F24" s="3">
        <f t="shared" si="6"/>
        <v>1047807.1258770187</v>
      </c>
      <c r="G24" s="3">
        <f t="shared" si="6"/>
        <v>1278538.3885016295</v>
      </c>
      <c r="H24" s="3">
        <f t="shared" si="6"/>
        <v>1738121.8792880727</v>
      </c>
      <c r="I24" s="3">
        <f t="shared" si="6"/>
        <v>138110.6011250655</v>
      </c>
      <c r="J24" s="3">
        <f t="shared" si="6"/>
        <v>184525.20154742699</v>
      </c>
      <c r="K24" s="3">
        <f t="shared" si="6"/>
        <v>119720.81824347393</v>
      </c>
      <c r="L24" s="3">
        <f t="shared" si="6"/>
        <v>309519.2252995983</v>
      </c>
      <c r="M24" s="3">
        <f t="shared" si="6"/>
        <v>237212.33166464447</v>
      </c>
      <c r="N24" s="3" t="s">
        <v>1</v>
      </c>
      <c r="O24" s="3">
        <f t="shared" ref="O24:AE24" si="7">STDEV(O5:O20)</f>
        <v>1426821.3257051469</v>
      </c>
      <c r="P24" s="3">
        <f t="shared" si="7"/>
        <v>1631137.5578897235</v>
      </c>
      <c r="Q24" s="3">
        <f t="shared" si="7"/>
        <v>179628.18407857124</v>
      </c>
      <c r="R24" s="3">
        <f t="shared" si="7"/>
        <v>437324.3989327568</v>
      </c>
      <c r="S24" s="3">
        <f t="shared" si="7"/>
        <v>737109.20616292302</v>
      </c>
      <c r="T24" s="3">
        <f t="shared" si="7"/>
        <v>114072.84938769643</v>
      </c>
      <c r="U24" s="3">
        <f t="shared" si="7"/>
        <v>229804.91556728916</v>
      </c>
      <c r="V24" s="3">
        <f t="shared" si="7"/>
        <v>170341.21180754088</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 thickBot="1" x14ac:dyDescent="0.4"/>
    <row r="26" spans="1:37" ht="15" thickBot="1" x14ac:dyDescent="0.4">
      <c r="B26" s="232" t="s">
        <v>6</v>
      </c>
      <c r="C26" s="233"/>
      <c r="D26" s="233"/>
      <c r="E26" s="233"/>
      <c r="F26" s="233"/>
      <c r="G26" s="233"/>
      <c r="H26" s="233"/>
      <c r="I26" s="233"/>
      <c r="J26" s="233"/>
      <c r="K26" s="233"/>
      <c r="L26" s="233"/>
      <c r="M26" s="233"/>
      <c r="N26" s="1"/>
      <c r="O26" s="232" t="s">
        <v>3</v>
      </c>
      <c r="P26" s="233"/>
      <c r="Q26" s="233"/>
      <c r="R26" s="233"/>
      <c r="S26" s="233"/>
      <c r="T26" s="233"/>
      <c r="U26" s="233"/>
      <c r="V26" s="233"/>
      <c r="W26" s="233"/>
      <c r="X26" s="233"/>
      <c r="Y26" s="233"/>
      <c r="Z26" s="233"/>
      <c r="AA26" s="233"/>
      <c r="AB26" s="233"/>
      <c r="AC26" s="233"/>
      <c r="AD26" s="233"/>
      <c r="AE26" s="233"/>
      <c r="AF26" s="233"/>
      <c r="AG26" s="233"/>
      <c r="AH26" s="233"/>
      <c r="AI26" s="233"/>
      <c r="AJ26" s="233"/>
      <c r="AK26" s="234"/>
    </row>
    <row r="27" spans="1:37" s="1" customFormat="1" x14ac:dyDescent="0.35">
      <c r="A27" s="34" t="s">
        <v>41</v>
      </c>
      <c r="B27" s="35" t="str">
        <f t="shared" ref="B27:M27" si="9">B4</f>
        <v>Témoin solvant</v>
      </c>
      <c r="C27" s="35" t="str">
        <f t="shared" si="9"/>
        <v>EE2-33,8ng/L</v>
      </c>
      <c r="D27" s="35" t="str">
        <f t="shared" si="9"/>
        <v>EE2-50,6ng/L</v>
      </c>
      <c r="E27" s="35" t="str">
        <f t="shared" si="9"/>
        <v>EE2-76ng/L</v>
      </c>
      <c r="F27" s="35" t="str">
        <f t="shared" si="9"/>
        <v>EE2-114ng/L</v>
      </c>
      <c r="G27" s="35" t="str">
        <f t="shared" si="9"/>
        <v>EE2-170,9ng/L</v>
      </c>
      <c r="H27" s="35" t="str">
        <f t="shared" si="9"/>
        <v>EE2-488ng/L</v>
      </c>
      <c r="I27" s="35" t="str">
        <f t="shared" si="9"/>
        <v>Anastrozole 0,032 ug/L</v>
      </c>
      <c r="J27" s="35" t="str">
        <f t="shared" si="9"/>
        <v>Anastrozole 0,16 ug/L</v>
      </c>
      <c r="K27" s="35" t="str">
        <f t="shared" si="9"/>
        <v>Anastrozole 0,8 ug/L</v>
      </c>
      <c r="L27" s="35" t="str">
        <f t="shared" si="9"/>
        <v>Anastrozole 4 ug/L</v>
      </c>
      <c r="M27" s="35" t="str">
        <f t="shared" si="9"/>
        <v>Anastrozole 20 ug/L</v>
      </c>
      <c r="N27" s="3"/>
      <c r="O27" s="36" t="str">
        <f t="shared" ref="O27:AD27" si="10">O4</f>
        <v>Testo -30µg/L</v>
      </c>
      <c r="P27" s="36" t="str">
        <f t="shared" si="10"/>
        <v>Testo 30µg/L + EE2 -64ng/L</v>
      </c>
      <c r="Q27" s="36" t="str">
        <f t="shared" si="10"/>
        <v>Testo 30µg/L + FAD-10mg/L</v>
      </c>
      <c r="R27" s="36" t="str">
        <f t="shared" si="10"/>
        <v>Anastrozole-0,032ug/L + Testostérone</v>
      </c>
      <c r="S27" s="36" t="str">
        <f t="shared" si="10"/>
        <v>Anastrozole-0,16ug/L + Testostérone</v>
      </c>
      <c r="T27" s="36" t="str">
        <f t="shared" si="10"/>
        <v>Anastrozole-0,8ug/L + Testostérone</v>
      </c>
      <c r="U27" s="36" t="str">
        <f t="shared" si="10"/>
        <v>Anastrozole-4ug/L + Testostérone</v>
      </c>
      <c r="V27" s="36" t="str">
        <f t="shared" si="10"/>
        <v>Anastrozole-20ug/L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ref="AE27:AK27" si="11">AE4</f>
        <v>0-00 + Testostérone</v>
      </c>
      <c r="AF27" s="36" t="str">
        <f t="shared" si="11"/>
        <v>0-00 + Testostérone</v>
      </c>
      <c r="AG27" s="36" t="str">
        <f t="shared" si="11"/>
        <v>0-00 + Testostérone</v>
      </c>
      <c r="AH27" s="36" t="str">
        <f t="shared" si="11"/>
        <v>0-00 + Testostérone</v>
      </c>
      <c r="AI27" s="36" t="str">
        <f t="shared" si="11"/>
        <v>0-00 + Testostérone</v>
      </c>
      <c r="AJ27" s="36" t="str">
        <f t="shared" si="11"/>
        <v>0-00 + Testostérone</v>
      </c>
      <c r="AK27" s="36" t="str">
        <f t="shared" si="11"/>
        <v>0-00 + Testostérone</v>
      </c>
    </row>
    <row r="28" spans="1:37" x14ac:dyDescent="0.35">
      <c r="A28" s="230" t="s">
        <v>34</v>
      </c>
      <c r="B28" s="11">
        <f t="shared" ref="B28:M28" si="12">IF(B5="","",(B5/$O$23))</f>
        <v>0.14347986311735006</v>
      </c>
      <c r="C28" s="11">
        <f t="shared" si="12"/>
        <v>6.6363851591204212E-2</v>
      </c>
      <c r="D28" s="11">
        <f t="shared" si="12"/>
        <v>0.18003293880197457</v>
      </c>
      <c r="E28" s="11">
        <f t="shared" si="12"/>
        <v>0.60439715389730686</v>
      </c>
      <c r="F28" s="11">
        <f t="shared" si="12"/>
        <v>0.67856101920943135</v>
      </c>
      <c r="G28" s="11">
        <f t="shared" si="12"/>
        <v>2.0956986920296488</v>
      </c>
      <c r="H28" s="11">
        <f t="shared" si="12"/>
        <v>3.3780133568431792</v>
      </c>
      <c r="I28" s="11">
        <f t="shared" si="12"/>
        <v>0.16159763644975339</v>
      </c>
      <c r="J28" s="11">
        <f t="shared" si="12"/>
        <v>0.27091412694772965</v>
      </c>
      <c r="K28" s="11">
        <f t="shared" si="12"/>
        <v>9.6869410210971299E-2</v>
      </c>
      <c r="L28" s="11">
        <f t="shared" si="12"/>
        <v>5.0059445385509868E-2</v>
      </c>
      <c r="M28" s="11">
        <f t="shared" si="12"/>
        <v>0.34390025607132807</v>
      </c>
      <c r="N28" s="6"/>
      <c r="O28" s="11">
        <f t="shared" ref="O28:AK28" si="13">IF(O5="","",(O5/$O$23))</f>
        <v>0.86585179486966468</v>
      </c>
      <c r="P28" s="11">
        <f t="shared" si="13"/>
        <v>1.2570247745680019</v>
      </c>
      <c r="Q28" s="11">
        <f t="shared" si="13"/>
        <v>2.888540152812093E-2</v>
      </c>
      <c r="R28" s="11">
        <f t="shared" si="13"/>
        <v>0.26017127661418094</v>
      </c>
      <c r="S28" s="11">
        <f t="shared" si="13"/>
        <v>3.3683570086045056E-2</v>
      </c>
      <c r="T28" s="11">
        <f t="shared" si="13"/>
        <v>2.1205266828214504E-2</v>
      </c>
      <c r="U28" s="11">
        <f t="shared" si="13"/>
        <v>0.30737052600250431</v>
      </c>
      <c r="V28" s="11">
        <f t="shared" si="13"/>
        <v>0.14978590065165776</v>
      </c>
      <c r="W28" s="11" t="str">
        <f t="shared" si="13"/>
        <v/>
      </c>
      <c r="X28" s="11" t="str">
        <f t="shared" si="13"/>
        <v/>
      </c>
      <c r="Y28" s="11" t="str">
        <f t="shared" si="13"/>
        <v/>
      </c>
      <c r="Z28" s="11" t="str">
        <f t="shared" si="13"/>
        <v/>
      </c>
      <c r="AA28" s="11" t="str">
        <f t="shared" si="13"/>
        <v/>
      </c>
      <c r="AB28" s="11" t="str">
        <f t="shared" si="13"/>
        <v/>
      </c>
      <c r="AC28" s="11" t="str">
        <f t="shared" si="13"/>
        <v/>
      </c>
      <c r="AD28" s="11" t="str">
        <f t="shared" si="13"/>
        <v/>
      </c>
      <c r="AE28" s="11" t="str">
        <f t="shared" si="13"/>
        <v/>
      </c>
      <c r="AF28" s="11" t="str">
        <f t="shared" si="13"/>
        <v/>
      </c>
      <c r="AG28" s="11" t="str">
        <f t="shared" si="13"/>
        <v/>
      </c>
      <c r="AH28" s="11" t="str">
        <f t="shared" si="13"/>
        <v/>
      </c>
      <c r="AI28" s="11" t="str">
        <f t="shared" si="13"/>
        <v/>
      </c>
      <c r="AJ28" s="11" t="str">
        <f t="shared" si="13"/>
        <v/>
      </c>
      <c r="AK28" s="11" t="str">
        <f t="shared" si="13"/>
        <v/>
      </c>
    </row>
    <row r="29" spans="1:37" x14ac:dyDescent="0.35">
      <c r="A29" s="231"/>
      <c r="B29" s="11">
        <f t="shared" ref="B29:M29" si="14">IF(B6="","",(B6/$O$23))</f>
        <v>3.568069442178709E-2</v>
      </c>
      <c r="C29" s="11">
        <f t="shared" si="14"/>
        <v>2.8050401895492127E-2</v>
      </c>
      <c r="D29" s="11">
        <f t="shared" si="14"/>
        <v>0.1399810284646075</v>
      </c>
      <c r="E29" s="11">
        <f t="shared" si="14"/>
        <v>0.43061733112633704</v>
      </c>
      <c r="F29" s="11">
        <f t="shared" si="14"/>
        <v>0.43454297519678697</v>
      </c>
      <c r="G29" s="11">
        <f t="shared" si="14"/>
        <v>2.2868016062356564</v>
      </c>
      <c r="H29" s="11">
        <f t="shared" si="14"/>
        <v>2.7631166196579531</v>
      </c>
      <c r="I29" s="11">
        <f t="shared" si="14"/>
        <v>9.2678943787051299E-2</v>
      </c>
      <c r="J29" s="11">
        <f t="shared" si="14"/>
        <v>9.5507916813412211E-2</v>
      </c>
      <c r="K29" s="11">
        <f t="shared" si="14"/>
        <v>8.9634847356194924E-2</v>
      </c>
      <c r="L29" s="11">
        <f t="shared" si="14"/>
        <v>1.2010961267904689E-2</v>
      </c>
      <c r="M29" s="11">
        <f t="shared" si="14"/>
        <v>0.1145429007199759</v>
      </c>
      <c r="N29" s="6"/>
      <c r="O29" s="11">
        <f t="shared" ref="O29:AK29" si="15">IF(O6="","",(O6/$O$23))</f>
        <v>0.93671161103511436</v>
      </c>
      <c r="P29" s="11">
        <f t="shared" si="15"/>
        <v>2.7961520982624122</v>
      </c>
      <c r="Q29" s="11">
        <f t="shared" si="15"/>
        <v>7.8066306991410372E-2</v>
      </c>
      <c r="R29" s="11">
        <f t="shared" si="15"/>
        <v>0.64572039772335832</v>
      </c>
      <c r="S29" s="11">
        <f t="shared" si="15"/>
        <v>0.90365751322786914</v>
      </c>
      <c r="T29" s="11">
        <f t="shared" si="15"/>
        <v>0.14782307861643279</v>
      </c>
      <c r="U29" s="11">
        <f t="shared" si="15"/>
        <v>0.15533814692241046</v>
      </c>
      <c r="V29" s="11">
        <f t="shared" si="15"/>
        <v>8.0147647413599366E-2</v>
      </c>
      <c r="W29" s="11" t="str">
        <f t="shared" si="15"/>
        <v/>
      </c>
      <c r="X29" s="11" t="str">
        <f t="shared" si="15"/>
        <v/>
      </c>
      <c r="Y29" s="11" t="str">
        <f t="shared" si="15"/>
        <v/>
      </c>
      <c r="Z29" s="11" t="str">
        <f t="shared" si="15"/>
        <v/>
      </c>
      <c r="AA29" s="11" t="str">
        <f t="shared" si="15"/>
        <v/>
      </c>
      <c r="AB29" s="11" t="str">
        <f t="shared" si="15"/>
        <v/>
      </c>
      <c r="AC29" s="11" t="str">
        <f t="shared" si="15"/>
        <v/>
      </c>
      <c r="AD29" s="11" t="str">
        <f t="shared" si="15"/>
        <v/>
      </c>
      <c r="AE29" s="11" t="str">
        <f t="shared" si="15"/>
        <v/>
      </c>
      <c r="AF29" s="11" t="str">
        <f t="shared" si="15"/>
        <v/>
      </c>
      <c r="AG29" s="11" t="str">
        <f t="shared" si="15"/>
        <v/>
      </c>
      <c r="AH29" s="11" t="str">
        <f t="shared" si="15"/>
        <v/>
      </c>
      <c r="AI29" s="11" t="str">
        <f t="shared" si="15"/>
        <v/>
      </c>
      <c r="AJ29" s="11" t="str">
        <f t="shared" si="15"/>
        <v/>
      </c>
      <c r="AK29" s="11" t="str">
        <f t="shared" si="15"/>
        <v/>
      </c>
    </row>
    <row r="30" spans="1:37" x14ac:dyDescent="0.35">
      <c r="A30" s="231"/>
      <c r="B30" s="11">
        <f t="shared" ref="B30:M30" si="16">IF(B7="","",(B7/$O$23))</f>
        <v>0.300313561697378</v>
      </c>
      <c r="C30" s="11">
        <f t="shared" si="16"/>
        <v>1.287704064672225E-2</v>
      </c>
      <c r="D30" s="11">
        <f t="shared" si="16"/>
        <v>2.5465913324173632E-2</v>
      </c>
      <c r="E30" s="11">
        <f t="shared" si="16"/>
        <v>0.4853285694909466</v>
      </c>
      <c r="F30" s="11">
        <f t="shared" si="16"/>
        <v>7.1567059422039878E-2</v>
      </c>
      <c r="G30" s="11" t="str">
        <f t="shared" si="16"/>
        <v/>
      </c>
      <c r="H30" s="11">
        <f t="shared" si="16"/>
        <v>2.8859924729724362</v>
      </c>
      <c r="I30" s="11">
        <f t="shared" si="16"/>
        <v>7.3299361404311814E-2</v>
      </c>
      <c r="J30" s="11">
        <f t="shared" si="16"/>
        <v>0.13390844708830754</v>
      </c>
      <c r="K30" s="11">
        <f t="shared" si="16"/>
        <v>0.1833199442168684</v>
      </c>
      <c r="L30" s="11">
        <f t="shared" si="16"/>
        <v>4.6283327835894346E-2</v>
      </c>
      <c r="M30" s="11">
        <f t="shared" si="16"/>
        <v>0.11385613858645015</v>
      </c>
      <c r="N30" s="6"/>
      <c r="O30" s="11">
        <f t="shared" ref="O30:AK30" si="17">IF(O7="","",(O7/$O$23))</f>
        <v>1.435839444609232</v>
      </c>
      <c r="P30" s="11">
        <f t="shared" si="17"/>
        <v>1.3967999892295071</v>
      </c>
      <c r="Q30" s="11">
        <f t="shared" si="17"/>
        <v>1.2819321118085989E-2</v>
      </c>
      <c r="R30" s="11">
        <f t="shared" si="17"/>
        <v>0.48636909647740423</v>
      </c>
      <c r="S30" s="11">
        <f t="shared" si="17"/>
        <v>0.5298452214317334</v>
      </c>
      <c r="T30" s="11">
        <f t="shared" si="17"/>
        <v>0.10616655106051397</v>
      </c>
      <c r="U30" s="11">
        <f t="shared" si="17"/>
        <v>1.7933872898733445E-2</v>
      </c>
      <c r="V30" s="11">
        <f t="shared" si="17"/>
        <v>8.3982916738219296E-2</v>
      </c>
      <c r="W30" s="11" t="str">
        <f t="shared" si="17"/>
        <v/>
      </c>
      <c r="X30" s="11" t="str">
        <f t="shared" si="17"/>
        <v/>
      </c>
      <c r="Y30" s="11" t="str">
        <f t="shared" si="17"/>
        <v/>
      </c>
      <c r="Z30" s="11" t="str">
        <f t="shared" si="17"/>
        <v/>
      </c>
      <c r="AA30" s="11" t="str">
        <f t="shared" si="17"/>
        <v/>
      </c>
      <c r="AB30" s="11" t="str">
        <f t="shared" si="17"/>
        <v/>
      </c>
      <c r="AC30" s="11" t="str">
        <f t="shared" si="17"/>
        <v/>
      </c>
      <c r="AD30" s="11" t="str">
        <f t="shared" si="17"/>
        <v/>
      </c>
      <c r="AE30" s="11" t="str">
        <f t="shared" si="17"/>
        <v/>
      </c>
      <c r="AF30" s="11" t="str">
        <f t="shared" si="17"/>
        <v/>
      </c>
      <c r="AG30" s="11" t="str">
        <f t="shared" si="17"/>
        <v/>
      </c>
      <c r="AH30" s="11" t="str">
        <f t="shared" si="17"/>
        <v/>
      </c>
      <c r="AI30" s="11" t="str">
        <f t="shared" si="17"/>
        <v/>
      </c>
      <c r="AJ30" s="11" t="str">
        <f t="shared" si="17"/>
        <v/>
      </c>
      <c r="AK30" s="11" t="str">
        <f t="shared" si="17"/>
        <v/>
      </c>
    </row>
    <row r="31" spans="1:37" x14ac:dyDescent="0.35">
      <c r="A31" s="231"/>
      <c r="B31" s="11">
        <f t="shared" ref="B31:M31" si="18">IF(B8="","",(B8/$O$23))</f>
        <v>0.28084066846375383</v>
      </c>
      <c r="C31" s="11">
        <f t="shared" si="18"/>
        <v>1.159016728494355E-2</v>
      </c>
      <c r="D31" s="11">
        <f t="shared" si="18"/>
        <v>3.634740510615881E-2</v>
      </c>
      <c r="E31" s="11">
        <f t="shared" si="18"/>
        <v>0.3471265342402125</v>
      </c>
      <c r="F31" s="11">
        <f t="shared" si="18"/>
        <v>0.86545477617641475</v>
      </c>
      <c r="G31" s="11">
        <f t="shared" si="18"/>
        <v>1.2718584069782477</v>
      </c>
      <c r="H31" s="11">
        <f t="shared" si="18"/>
        <v>3.6501489034936632</v>
      </c>
      <c r="I31" s="11">
        <f t="shared" si="18"/>
        <v>5.0046984842106998E-2</v>
      </c>
      <c r="J31" s="11">
        <f t="shared" si="18"/>
        <v>6.4055213670390534E-2</v>
      </c>
      <c r="K31" s="11">
        <f t="shared" si="18"/>
        <v>7.0479697979343836E-2</v>
      </c>
      <c r="L31" s="11">
        <f t="shared" si="18"/>
        <v>6.7971548139447502E-2</v>
      </c>
      <c r="M31" s="11">
        <f t="shared" si="18"/>
        <v>9.7495588323124494E-2</v>
      </c>
      <c r="N31" s="6"/>
      <c r="O31" s="11">
        <f t="shared" ref="O31:AK31" si="19">IF(O8="","",(O8/$O$23))</f>
        <v>0.56740158569724386</v>
      </c>
      <c r="P31" s="11">
        <f t="shared" si="19"/>
        <v>1.2108831675102356</v>
      </c>
      <c r="Q31" s="11">
        <f t="shared" si="19"/>
        <v>9.611805376624219E-3</v>
      </c>
      <c r="R31" s="11">
        <f t="shared" si="19"/>
        <v>0.73679450945490255</v>
      </c>
      <c r="S31" s="11">
        <f t="shared" si="19"/>
        <v>0.5240095336047248</v>
      </c>
      <c r="T31" s="11">
        <f t="shared" si="19"/>
        <v>5.9230548554655722E-3</v>
      </c>
      <c r="U31" s="11">
        <f t="shared" si="19"/>
        <v>5.6543224694104381E-2</v>
      </c>
      <c r="V31" s="11">
        <f t="shared" si="19"/>
        <v>0.14780138008395538</v>
      </c>
      <c r="W31" s="11" t="str">
        <f t="shared" si="19"/>
        <v/>
      </c>
      <c r="X31" s="11" t="str">
        <f t="shared" si="19"/>
        <v/>
      </c>
      <c r="Y31" s="11" t="str">
        <f t="shared" si="19"/>
        <v/>
      </c>
      <c r="Z31" s="11" t="str">
        <f t="shared" si="19"/>
        <v/>
      </c>
      <c r="AA31" s="11" t="str">
        <f t="shared" si="19"/>
        <v/>
      </c>
      <c r="AB31" s="11" t="str">
        <f t="shared" si="19"/>
        <v/>
      </c>
      <c r="AC31" s="11" t="str">
        <f t="shared" si="19"/>
        <v/>
      </c>
      <c r="AD31" s="11" t="str">
        <f t="shared" si="19"/>
        <v/>
      </c>
      <c r="AE31" s="11" t="str">
        <f t="shared" si="19"/>
        <v/>
      </c>
      <c r="AF31" s="11" t="str">
        <f t="shared" si="19"/>
        <v/>
      </c>
      <c r="AG31" s="11" t="str">
        <f t="shared" si="19"/>
        <v/>
      </c>
      <c r="AH31" s="11" t="str">
        <f t="shared" si="19"/>
        <v/>
      </c>
      <c r="AI31" s="11" t="str">
        <f t="shared" si="19"/>
        <v/>
      </c>
      <c r="AJ31" s="11" t="str">
        <f t="shared" si="19"/>
        <v/>
      </c>
      <c r="AK31" s="11" t="str">
        <f t="shared" si="19"/>
        <v/>
      </c>
    </row>
    <row r="32" spans="1:37" x14ac:dyDescent="0.35">
      <c r="A32" s="231"/>
      <c r="B32" s="11">
        <f t="shared" ref="B32:M32" si="20">IF(B9="","",(B9/$O$23))</f>
        <v>2.6601756306431395E-2</v>
      </c>
      <c r="C32" s="11">
        <f t="shared" si="20"/>
        <v>4.146804393387088E-2</v>
      </c>
      <c r="D32" s="11">
        <f t="shared" si="20"/>
        <v>0.156107692896015</v>
      </c>
      <c r="E32" s="11">
        <f t="shared" si="20"/>
        <v>1.1986040181098957E-2</v>
      </c>
      <c r="F32" s="11">
        <f t="shared" si="20"/>
        <v>0.40302796933675095</v>
      </c>
      <c r="G32" s="11">
        <f t="shared" si="20"/>
        <v>0.7525940488158257</v>
      </c>
      <c r="H32" s="11">
        <f t="shared" si="20"/>
        <v>3.3769198367411</v>
      </c>
      <c r="I32" s="11">
        <f t="shared" si="20"/>
        <v>0.22391725397122525</v>
      </c>
      <c r="J32" s="11">
        <f t="shared" si="20"/>
        <v>1.4768321975858338E-2</v>
      </c>
      <c r="K32" s="11">
        <f t="shared" si="20"/>
        <v>6.5204734605464082E-2</v>
      </c>
      <c r="L32" s="11">
        <f t="shared" si="20"/>
        <v>8.1873647511851458E-2</v>
      </c>
      <c r="M32" s="11">
        <f t="shared" si="20"/>
        <v>1.2045191956103363E-2</v>
      </c>
      <c r="N32" s="6"/>
      <c r="O32" s="11">
        <f t="shared" ref="O32:AK32" si="21">IF(O9="","",(O9/$O$23))</f>
        <v>1.4597866038846241</v>
      </c>
      <c r="P32" s="11">
        <f t="shared" si="21"/>
        <v>1.0893299221044166</v>
      </c>
      <c r="Q32" s="11">
        <f t="shared" si="21"/>
        <v>0.16300753977455579</v>
      </c>
      <c r="R32" s="11">
        <f t="shared" si="21"/>
        <v>0.63514569311342983</v>
      </c>
      <c r="S32" s="11">
        <f t="shared" si="21"/>
        <v>0.11772263088189563</v>
      </c>
      <c r="T32" s="11">
        <f t="shared" si="21"/>
        <v>1.7849656812286493E-2</v>
      </c>
      <c r="U32" s="11">
        <f t="shared" si="21"/>
        <v>6.2297847376676048E-2</v>
      </c>
      <c r="V32" s="11">
        <f t="shared" si="21"/>
        <v>9.0014965542300734E-2</v>
      </c>
      <c r="W32" s="11" t="str">
        <f t="shared" si="21"/>
        <v/>
      </c>
      <c r="X32" s="11" t="str">
        <f t="shared" si="21"/>
        <v/>
      </c>
      <c r="Y32" s="11" t="str">
        <f t="shared" si="21"/>
        <v/>
      </c>
      <c r="Z32" s="11" t="str">
        <f t="shared" si="21"/>
        <v/>
      </c>
      <c r="AA32" s="11" t="str">
        <f t="shared" si="21"/>
        <v/>
      </c>
      <c r="AB32" s="11" t="str">
        <f t="shared" si="21"/>
        <v/>
      </c>
      <c r="AC32" s="11" t="str">
        <f t="shared" si="21"/>
        <v/>
      </c>
      <c r="AD32" s="11" t="str">
        <f t="shared" si="21"/>
        <v/>
      </c>
      <c r="AE32" s="11" t="str">
        <f t="shared" si="21"/>
        <v/>
      </c>
      <c r="AF32" s="11" t="str">
        <f t="shared" si="21"/>
        <v/>
      </c>
      <c r="AG32" s="11" t="str">
        <f t="shared" si="21"/>
        <v/>
      </c>
      <c r="AH32" s="11" t="str">
        <f t="shared" si="21"/>
        <v/>
      </c>
      <c r="AI32" s="11" t="str">
        <f t="shared" si="21"/>
        <v/>
      </c>
      <c r="AJ32" s="11" t="str">
        <f t="shared" si="21"/>
        <v/>
      </c>
      <c r="AK32" s="11" t="str">
        <f t="shared" si="21"/>
        <v/>
      </c>
    </row>
    <row r="33" spans="1:37" x14ac:dyDescent="0.35">
      <c r="A33" s="231"/>
      <c r="B33" s="11">
        <f t="shared" ref="B33:M33" si="22">IF(B10="","",(B10/$O$23))</f>
        <v>9.6835609196683058E-3</v>
      </c>
      <c r="C33" s="11">
        <f t="shared" si="22"/>
        <v>0.40084078590795602</v>
      </c>
      <c r="D33" s="11">
        <f t="shared" si="22"/>
        <v>0.13344439926502841</v>
      </c>
      <c r="E33" s="11">
        <f t="shared" si="22"/>
        <v>4.9740126057731836E-2</v>
      </c>
      <c r="F33" s="11">
        <f t="shared" si="22"/>
        <v>1.504206722420198</v>
      </c>
      <c r="G33" s="11">
        <f t="shared" si="22"/>
        <v>1.8249091705159477</v>
      </c>
      <c r="H33" s="11">
        <f t="shared" si="22"/>
        <v>3.4641711396914272</v>
      </c>
      <c r="I33" s="11">
        <f t="shared" si="22"/>
        <v>0.12307221429155578</v>
      </c>
      <c r="J33" s="11">
        <f t="shared" si="22"/>
        <v>6.786255419083162E-2</v>
      </c>
      <c r="K33" s="11">
        <f t="shared" si="22"/>
        <v>1.1459546416168682E-2</v>
      </c>
      <c r="L33" s="11">
        <f t="shared" si="22"/>
        <v>0.14343617960312163</v>
      </c>
      <c r="M33" s="11">
        <f t="shared" si="22"/>
        <v>0.1463789446034317</v>
      </c>
      <c r="N33" s="6"/>
      <c r="O33" s="11">
        <f t="shared" ref="O33:AK33" si="23">IF(O10="","",(O10/$O$23))</f>
        <v>1.7667411339295007</v>
      </c>
      <c r="P33" s="11">
        <f t="shared" si="23"/>
        <v>1.2178140225226468</v>
      </c>
      <c r="Q33" s="11">
        <f t="shared" si="23"/>
        <v>1.2521843547422177E-2</v>
      </c>
      <c r="R33" s="11">
        <f t="shared" si="23"/>
        <v>0.58807706459388143</v>
      </c>
      <c r="S33" s="11">
        <f t="shared" si="23"/>
        <v>0.12654927879950251</v>
      </c>
      <c r="T33" s="11">
        <f t="shared" si="23"/>
        <v>8.7297994181928781E-2</v>
      </c>
      <c r="U33" s="11">
        <f t="shared" si="23"/>
        <v>3.4001385555136536E-2</v>
      </c>
      <c r="V33" s="11">
        <f t="shared" si="23"/>
        <v>4.0519252327292914E-2</v>
      </c>
      <c r="W33" s="11" t="str">
        <f t="shared" si="23"/>
        <v/>
      </c>
      <c r="X33" s="11" t="str">
        <f t="shared" si="23"/>
        <v/>
      </c>
      <c r="Y33" s="11" t="str">
        <f t="shared" si="23"/>
        <v/>
      </c>
      <c r="Z33" s="11" t="str">
        <f t="shared" si="23"/>
        <v/>
      </c>
      <c r="AA33" s="11" t="str">
        <f t="shared" si="23"/>
        <v/>
      </c>
      <c r="AB33" s="11" t="str">
        <f t="shared" si="23"/>
        <v/>
      </c>
      <c r="AC33" s="11" t="str">
        <f t="shared" si="23"/>
        <v/>
      </c>
      <c r="AD33" s="11" t="str">
        <f t="shared" si="23"/>
        <v/>
      </c>
      <c r="AE33" s="11" t="str">
        <f t="shared" si="23"/>
        <v/>
      </c>
      <c r="AF33" s="11" t="str">
        <f t="shared" si="23"/>
        <v/>
      </c>
      <c r="AG33" s="11" t="str">
        <f t="shared" si="23"/>
        <v/>
      </c>
      <c r="AH33" s="11" t="str">
        <f t="shared" si="23"/>
        <v/>
      </c>
      <c r="AI33" s="11" t="str">
        <f t="shared" si="23"/>
        <v/>
      </c>
      <c r="AJ33" s="11" t="str">
        <f t="shared" si="23"/>
        <v/>
      </c>
      <c r="AK33" s="11" t="str">
        <f t="shared" si="23"/>
        <v/>
      </c>
    </row>
    <row r="34" spans="1:37" x14ac:dyDescent="0.35">
      <c r="A34" s="231"/>
      <c r="B34" s="11">
        <f t="shared" ref="B34:M34" si="24">IF(B11="","",(B11/$O$23))</f>
        <v>3.4752240713636792E-2</v>
      </c>
      <c r="C34" s="11">
        <f t="shared" si="24"/>
        <v>1.2674521010266481E-2</v>
      </c>
      <c r="D34" s="11">
        <f t="shared" si="24"/>
        <v>1.3384771984229818E-2</v>
      </c>
      <c r="E34" s="11">
        <f t="shared" si="24"/>
        <v>0.10772139771777267</v>
      </c>
      <c r="F34" s="11">
        <f t="shared" si="24"/>
        <v>1.1428415109110674</v>
      </c>
      <c r="G34" s="11">
        <f t="shared" si="24"/>
        <v>1.8245727358440704</v>
      </c>
      <c r="H34" s="11">
        <f t="shared" si="24"/>
        <v>1.4846652961978581</v>
      </c>
      <c r="I34" s="11">
        <f t="shared" si="24"/>
        <v>9.07315184002839E-2</v>
      </c>
      <c r="J34" s="11">
        <f t="shared" si="24"/>
        <v>0.11730505945326283</v>
      </c>
      <c r="K34" s="11">
        <f t="shared" si="24"/>
        <v>0.10984298426290655</v>
      </c>
      <c r="L34" s="11">
        <f t="shared" si="24"/>
        <v>0.40215558807391355</v>
      </c>
      <c r="M34" s="11">
        <f t="shared" si="24"/>
        <v>3.9266896102986525E-2</v>
      </c>
      <c r="N34" s="6"/>
      <c r="O34" s="11">
        <f t="shared" ref="O34:AK34" si="25">IF(O11="","",(O11/$O$23))</f>
        <v>2.0082167974140499</v>
      </c>
      <c r="P34" s="11">
        <f t="shared" si="25"/>
        <v>1.2125423533154136</v>
      </c>
      <c r="Q34" s="11">
        <f t="shared" si="25"/>
        <v>7.6826268085870023E-2</v>
      </c>
      <c r="R34" s="11">
        <f t="shared" si="25"/>
        <v>0.34072697101806498</v>
      </c>
      <c r="S34" s="11">
        <f t="shared" si="25"/>
        <v>0.60116772478641256</v>
      </c>
      <c r="T34" s="11">
        <f t="shared" si="25"/>
        <v>5.6988939763871253E-2</v>
      </c>
      <c r="U34" s="11">
        <f t="shared" si="25"/>
        <v>0.16653902964449205</v>
      </c>
      <c r="V34" s="11">
        <f t="shared" si="25"/>
        <v>6.4027141641574891E-3</v>
      </c>
      <c r="W34" s="11" t="str">
        <f t="shared" si="25"/>
        <v/>
      </c>
      <c r="X34" s="11" t="str">
        <f t="shared" si="25"/>
        <v/>
      </c>
      <c r="Y34" s="11" t="str">
        <f t="shared" si="25"/>
        <v/>
      </c>
      <c r="Z34" s="11" t="str">
        <f t="shared" si="25"/>
        <v/>
      </c>
      <c r="AA34" s="11" t="str">
        <f t="shared" si="25"/>
        <v/>
      </c>
      <c r="AB34" s="11" t="str">
        <f t="shared" si="25"/>
        <v/>
      </c>
      <c r="AC34" s="11" t="str">
        <f t="shared" si="25"/>
        <v/>
      </c>
      <c r="AD34" s="11" t="str">
        <f t="shared" si="25"/>
        <v/>
      </c>
      <c r="AE34" s="11" t="str">
        <f t="shared" si="25"/>
        <v/>
      </c>
      <c r="AF34" s="11" t="str">
        <f t="shared" si="25"/>
        <v/>
      </c>
      <c r="AG34" s="11" t="str">
        <f t="shared" si="25"/>
        <v/>
      </c>
      <c r="AH34" s="11" t="str">
        <f t="shared" si="25"/>
        <v/>
      </c>
      <c r="AI34" s="11" t="str">
        <f t="shared" si="25"/>
        <v/>
      </c>
      <c r="AJ34" s="11" t="str">
        <f t="shared" si="25"/>
        <v/>
      </c>
      <c r="AK34" s="11" t="str">
        <f t="shared" si="25"/>
        <v/>
      </c>
    </row>
    <row r="35" spans="1:37" x14ac:dyDescent="0.35">
      <c r="A35" s="231"/>
      <c r="B35" s="11">
        <f t="shared" ref="B35:M35" si="26">IF(B12="","",(B12/$O$23))</f>
        <v>2.1844191933044196E-2</v>
      </c>
      <c r="C35" s="11">
        <f t="shared" si="26"/>
        <v>8.776232845448155E-2</v>
      </c>
      <c r="D35" s="11">
        <f t="shared" si="26"/>
        <v>0.11195855537329422</v>
      </c>
      <c r="E35" s="11">
        <f t="shared" si="26"/>
        <v>0.34999288889678204</v>
      </c>
      <c r="F35" s="11">
        <f t="shared" si="26"/>
        <v>0.70998113874757773</v>
      </c>
      <c r="G35" s="11">
        <f t="shared" si="26"/>
        <v>1.1915068076818245</v>
      </c>
      <c r="H35" s="11">
        <f t="shared" si="26"/>
        <v>2.1615359066312858</v>
      </c>
      <c r="I35" s="11" t="str">
        <f t="shared" si="26"/>
        <v/>
      </c>
      <c r="J35" s="11">
        <f t="shared" si="26"/>
        <v>0.1794878258342584</v>
      </c>
      <c r="K35" s="11">
        <f t="shared" si="26"/>
        <v>0.13980658085696737</v>
      </c>
      <c r="L35" s="11" t="str">
        <f t="shared" si="26"/>
        <v/>
      </c>
      <c r="M35" s="11">
        <f t="shared" si="26"/>
        <v>6.2942787916251949E-2</v>
      </c>
      <c r="N35" s="6"/>
      <c r="O35" s="11">
        <f t="shared" ref="O35:AK35" si="27">IF(O12="","",(O12/$O$23))</f>
        <v>1.8015728643165696</v>
      </c>
      <c r="P35" s="11">
        <f t="shared" si="27"/>
        <v>2.6679949796900297</v>
      </c>
      <c r="Q35" s="11">
        <f t="shared" si="27"/>
        <v>0.21560449605050896</v>
      </c>
      <c r="R35" s="11">
        <f t="shared" si="27"/>
        <v>0.25275267010109792</v>
      </c>
      <c r="S35" s="11">
        <f t="shared" si="27"/>
        <v>8.9301420401690659E-2</v>
      </c>
      <c r="T35" s="11">
        <f t="shared" si="27"/>
        <v>7.3433276439733408E-2</v>
      </c>
      <c r="U35" s="11">
        <f t="shared" si="27"/>
        <v>0.18823971049144808</v>
      </c>
      <c r="V35" s="11">
        <f t="shared" si="27"/>
        <v>0.24100667441130014</v>
      </c>
      <c r="W35" s="11" t="str">
        <f t="shared" si="27"/>
        <v/>
      </c>
      <c r="X35" s="11" t="str">
        <f t="shared" si="27"/>
        <v/>
      </c>
      <c r="Y35" s="11" t="str">
        <f t="shared" si="27"/>
        <v/>
      </c>
      <c r="Z35" s="11" t="str">
        <f t="shared" si="27"/>
        <v/>
      </c>
      <c r="AA35" s="11" t="str">
        <f t="shared" si="27"/>
        <v/>
      </c>
      <c r="AB35" s="11" t="str">
        <f t="shared" si="27"/>
        <v/>
      </c>
      <c r="AC35" s="11" t="str">
        <f t="shared" si="27"/>
        <v/>
      </c>
      <c r="AD35" s="11" t="str">
        <f t="shared" si="27"/>
        <v/>
      </c>
      <c r="AE35" s="11" t="str">
        <f t="shared" si="27"/>
        <v/>
      </c>
      <c r="AF35" s="11" t="str">
        <f t="shared" si="27"/>
        <v/>
      </c>
      <c r="AG35" s="11" t="str">
        <f t="shared" si="27"/>
        <v/>
      </c>
      <c r="AH35" s="11" t="str">
        <f t="shared" si="27"/>
        <v/>
      </c>
      <c r="AI35" s="11" t="str">
        <f t="shared" si="27"/>
        <v/>
      </c>
      <c r="AJ35" s="11" t="str">
        <f t="shared" si="27"/>
        <v/>
      </c>
      <c r="AK35" s="11" t="str">
        <f t="shared" si="27"/>
        <v/>
      </c>
    </row>
    <row r="36" spans="1:37" s="1" customFormat="1" x14ac:dyDescent="0.35">
      <c r="A36" s="231"/>
      <c r="B36" s="11" t="str">
        <f t="shared" ref="B36:M36" si="28">IF(B13="","",(B13/$O$23))</f>
        <v/>
      </c>
      <c r="C36" s="11" t="str">
        <f t="shared" si="28"/>
        <v/>
      </c>
      <c r="D36" s="11" t="str">
        <f t="shared" si="28"/>
        <v/>
      </c>
      <c r="E36" s="11" t="str">
        <f t="shared" si="28"/>
        <v/>
      </c>
      <c r="F36" s="11" t="str">
        <f t="shared" si="28"/>
        <v/>
      </c>
      <c r="G36" s="11" t="str">
        <f t="shared" si="28"/>
        <v/>
      </c>
      <c r="H36" s="11" t="str">
        <f t="shared" si="28"/>
        <v/>
      </c>
      <c r="I36" s="11" t="str">
        <f t="shared" si="28"/>
        <v/>
      </c>
      <c r="J36" s="11" t="str">
        <f t="shared" si="28"/>
        <v/>
      </c>
      <c r="K36" s="11" t="str">
        <f t="shared" si="28"/>
        <v/>
      </c>
      <c r="L36" s="11" t="str">
        <f t="shared" si="28"/>
        <v/>
      </c>
      <c r="M36" s="11" t="str">
        <f t="shared" si="28"/>
        <v/>
      </c>
      <c r="N36" s="6"/>
      <c r="O36" s="11">
        <f t="shared" ref="O36:AK36" si="29">IF(O13="","",(O13/$O$23))</f>
        <v>0.94367519287703749</v>
      </c>
      <c r="P36" s="11" t="str">
        <f t="shared" si="29"/>
        <v/>
      </c>
      <c r="Q36" s="11" t="str">
        <f t="shared" si="29"/>
        <v/>
      </c>
      <c r="R36" s="11" t="str">
        <f t="shared" si="29"/>
        <v/>
      </c>
      <c r="S36" s="11" t="str">
        <f t="shared" si="29"/>
        <v/>
      </c>
      <c r="T36" s="11" t="str">
        <f t="shared" si="29"/>
        <v/>
      </c>
      <c r="U36" s="11" t="str">
        <f t="shared" si="29"/>
        <v/>
      </c>
      <c r="V36" s="11" t="str">
        <f t="shared" si="29"/>
        <v/>
      </c>
      <c r="W36" s="11" t="str">
        <f t="shared" si="29"/>
        <v/>
      </c>
      <c r="X36" s="11" t="str">
        <f t="shared" si="29"/>
        <v/>
      </c>
      <c r="Y36" s="11" t="str">
        <f t="shared" si="29"/>
        <v/>
      </c>
      <c r="Z36" s="11" t="str">
        <f t="shared" si="29"/>
        <v/>
      </c>
      <c r="AA36" s="11" t="str">
        <f t="shared" si="29"/>
        <v/>
      </c>
      <c r="AB36" s="11" t="str">
        <f t="shared" si="29"/>
        <v/>
      </c>
      <c r="AC36" s="11" t="str">
        <f t="shared" si="29"/>
        <v/>
      </c>
      <c r="AD36" s="11" t="str">
        <f t="shared" si="29"/>
        <v/>
      </c>
      <c r="AE36" s="11" t="str">
        <f t="shared" si="29"/>
        <v/>
      </c>
      <c r="AF36" s="11" t="str">
        <f t="shared" si="29"/>
        <v/>
      </c>
      <c r="AG36" s="11" t="str">
        <f t="shared" si="29"/>
        <v/>
      </c>
      <c r="AH36" s="11" t="str">
        <f t="shared" si="29"/>
        <v/>
      </c>
      <c r="AI36" s="11" t="str">
        <f t="shared" si="29"/>
        <v/>
      </c>
      <c r="AJ36" s="11" t="str">
        <f t="shared" si="29"/>
        <v/>
      </c>
      <c r="AK36" s="11" t="str">
        <f t="shared" si="29"/>
        <v/>
      </c>
    </row>
    <row r="37" spans="1:37" s="1" customFormat="1" x14ac:dyDescent="0.35">
      <c r="A37" s="231"/>
      <c r="B37" s="11" t="str">
        <f t="shared" ref="B37:M37" si="30">IF(B14="","",(B14/$O$23))</f>
        <v/>
      </c>
      <c r="C37" s="11" t="str">
        <f t="shared" si="30"/>
        <v/>
      </c>
      <c r="D37" s="11" t="str">
        <f t="shared" si="30"/>
        <v/>
      </c>
      <c r="E37" s="11" t="str">
        <f t="shared" si="30"/>
        <v/>
      </c>
      <c r="F37" s="11" t="str">
        <f t="shared" si="30"/>
        <v/>
      </c>
      <c r="G37" s="11" t="str">
        <f t="shared" si="30"/>
        <v/>
      </c>
      <c r="H37" s="11" t="str">
        <f t="shared" si="30"/>
        <v/>
      </c>
      <c r="I37" s="11" t="str">
        <f t="shared" si="30"/>
        <v/>
      </c>
      <c r="J37" s="11" t="str">
        <f t="shared" si="30"/>
        <v/>
      </c>
      <c r="K37" s="11" t="str">
        <f t="shared" si="30"/>
        <v/>
      </c>
      <c r="L37" s="11" t="str">
        <f t="shared" si="30"/>
        <v/>
      </c>
      <c r="M37" s="11" t="str">
        <f t="shared" si="30"/>
        <v/>
      </c>
      <c r="N37" s="6"/>
      <c r="O37" s="11">
        <f t="shared" ref="O37:AK37" si="31">IF(O14="","",(O14/$O$23))</f>
        <v>0.68069692821824668</v>
      </c>
      <c r="P37" s="11" t="str">
        <f t="shared" si="31"/>
        <v/>
      </c>
      <c r="Q37" s="11" t="str">
        <f t="shared" si="31"/>
        <v/>
      </c>
      <c r="R37" s="11" t="str">
        <f t="shared" si="31"/>
        <v/>
      </c>
      <c r="S37" s="11" t="str">
        <f t="shared" si="31"/>
        <v/>
      </c>
      <c r="T37" s="11" t="str">
        <f t="shared" si="31"/>
        <v/>
      </c>
      <c r="U37" s="11" t="str">
        <f t="shared" si="31"/>
        <v/>
      </c>
      <c r="V37" s="11" t="str">
        <f t="shared" si="31"/>
        <v/>
      </c>
      <c r="W37" s="11" t="str">
        <f t="shared" si="31"/>
        <v/>
      </c>
      <c r="X37" s="11" t="str">
        <f t="shared" si="31"/>
        <v/>
      </c>
      <c r="Y37" s="11" t="str">
        <f t="shared" si="31"/>
        <v/>
      </c>
      <c r="Z37" s="11" t="str">
        <f t="shared" si="31"/>
        <v/>
      </c>
      <c r="AA37" s="11" t="str">
        <f t="shared" si="31"/>
        <v/>
      </c>
      <c r="AB37" s="11" t="str">
        <f t="shared" si="31"/>
        <v/>
      </c>
      <c r="AC37" s="11" t="str">
        <f t="shared" si="31"/>
        <v/>
      </c>
      <c r="AD37" s="11" t="str">
        <f t="shared" si="31"/>
        <v/>
      </c>
      <c r="AE37" s="11" t="str">
        <f t="shared" si="31"/>
        <v/>
      </c>
      <c r="AF37" s="11" t="str">
        <f t="shared" si="31"/>
        <v/>
      </c>
      <c r="AG37" s="11" t="str">
        <f t="shared" si="31"/>
        <v/>
      </c>
      <c r="AH37" s="11" t="str">
        <f t="shared" si="31"/>
        <v/>
      </c>
      <c r="AI37" s="11" t="str">
        <f t="shared" si="31"/>
        <v/>
      </c>
      <c r="AJ37" s="11" t="str">
        <f t="shared" si="31"/>
        <v/>
      </c>
      <c r="AK37" s="11" t="str">
        <f t="shared" si="31"/>
        <v/>
      </c>
    </row>
    <row r="38" spans="1:37" s="1" customFormat="1" x14ac:dyDescent="0.35">
      <c r="A38" s="231"/>
      <c r="B38" s="11" t="str">
        <f t="shared" ref="B38:J38" si="32">IF(B15="","",(B15/$O$23))</f>
        <v/>
      </c>
      <c r="C38" s="11" t="str">
        <f t="shared" si="32"/>
        <v/>
      </c>
      <c r="D38" s="11" t="str">
        <f t="shared" si="32"/>
        <v/>
      </c>
      <c r="E38" s="11" t="str">
        <f t="shared" si="32"/>
        <v/>
      </c>
      <c r="F38" s="11" t="str">
        <f t="shared" si="32"/>
        <v/>
      </c>
      <c r="G38" s="11" t="str">
        <f t="shared" si="32"/>
        <v/>
      </c>
      <c r="H38" s="11" t="str">
        <f t="shared" si="32"/>
        <v/>
      </c>
      <c r="I38" s="11" t="str">
        <f t="shared" si="32"/>
        <v/>
      </c>
      <c r="J38" s="11" t="str">
        <f t="shared" si="32"/>
        <v/>
      </c>
      <c r="K38" s="11" t="str">
        <f t="shared" ref="K38:M38" si="33">IF(K15="","",(K15/$O$23))</f>
        <v/>
      </c>
      <c r="L38" s="11" t="str">
        <f t="shared" si="33"/>
        <v/>
      </c>
      <c r="M38" s="11" t="str">
        <f t="shared" si="33"/>
        <v/>
      </c>
      <c r="N38" s="6"/>
      <c r="O38" s="11">
        <f t="shared" ref="O38:R38" si="34">IF(O15="","",(O15/$O$23))</f>
        <v>1.4614939847800903</v>
      </c>
      <c r="P38" s="11" t="str">
        <f t="shared" si="34"/>
        <v/>
      </c>
      <c r="Q38" s="11" t="str">
        <f t="shared" si="34"/>
        <v/>
      </c>
      <c r="R38" s="11" t="str">
        <f t="shared" si="34"/>
        <v/>
      </c>
      <c r="S38" s="11" t="str">
        <f t="shared" ref="S38:AK38" si="35">IF(S15="","",(S15/$O$23))</f>
        <v/>
      </c>
      <c r="T38" s="11" t="str">
        <f t="shared" si="35"/>
        <v/>
      </c>
      <c r="U38" s="11" t="str">
        <f t="shared" si="35"/>
        <v/>
      </c>
      <c r="V38" s="11" t="str">
        <f t="shared" si="35"/>
        <v/>
      </c>
      <c r="W38" s="11" t="str">
        <f t="shared" si="35"/>
        <v/>
      </c>
      <c r="X38" s="11" t="str">
        <f t="shared" si="35"/>
        <v/>
      </c>
      <c r="Y38" s="11" t="str">
        <f t="shared" si="35"/>
        <v/>
      </c>
      <c r="Z38" s="11" t="str">
        <f t="shared" si="35"/>
        <v/>
      </c>
      <c r="AA38" s="11" t="str">
        <f t="shared" si="35"/>
        <v/>
      </c>
      <c r="AB38" s="11" t="str">
        <f t="shared" si="35"/>
        <v/>
      </c>
      <c r="AC38" s="11" t="str">
        <f t="shared" si="35"/>
        <v/>
      </c>
      <c r="AD38" s="11" t="str">
        <f t="shared" si="35"/>
        <v/>
      </c>
      <c r="AE38" s="11" t="str">
        <f t="shared" si="35"/>
        <v/>
      </c>
      <c r="AF38" s="11" t="str">
        <f t="shared" si="35"/>
        <v/>
      </c>
      <c r="AG38" s="11" t="str">
        <f t="shared" si="35"/>
        <v/>
      </c>
      <c r="AH38" s="11" t="str">
        <f t="shared" si="35"/>
        <v/>
      </c>
      <c r="AI38" s="11" t="str">
        <f t="shared" si="35"/>
        <v/>
      </c>
      <c r="AJ38" s="11" t="str">
        <f t="shared" si="35"/>
        <v/>
      </c>
      <c r="AK38" s="11" t="str">
        <f t="shared" si="35"/>
        <v/>
      </c>
    </row>
    <row r="39" spans="1:37" s="1" customFormat="1" x14ac:dyDescent="0.35">
      <c r="A39" s="231"/>
      <c r="B39" s="11" t="str">
        <f t="shared" ref="B39:J39" si="36">IF(B16="","",(B16/$O$23))</f>
        <v/>
      </c>
      <c r="C39" s="11" t="str">
        <f t="shared" si="36"/>
        <v/>
      </c>
      <c r="D39" s="11" t="str">
        <f t="shared" si="36"/>
        <v/>
      </c>
      <c r="E39" s="11" t="str">
        <f t="shared" si="36"/>
        <v/>
      </c>
      <c r="F39" s="11" t="str">
        <f t="shared" si="36"/>
        <v/>
      </c>
      <c r="G39" s="11" t="str">
        <f t="shared" si="36"/>
        <v/>
      </c>
      <c r="H39" s="11" t="str">
        <f t="shared" si="36"/>
        <v/>
      </c>
      <c r="I39" s="11" t="str">
        <f t="shared" si="36"/>
        <v/>
      </c>
      <c r="J39" s="11" t="str">
        <f t="shared" si="36"/>
        <v/>
      </c>
      <c r="K39" s="11" t="str">
        <f t="shared" ref="K39:M39" si="37">IF(K16="","",(K16/$O$23))</f>
        <v/>
      </c>
      <c r="L39" s="11" t="str">
        <f t="shared" si="37"/>
        <v/>
      </c>
      <c r="M39" s="11" t="str">
        <f t="shared" si="37"/>
        <v/>
      </c>
      <c r="N39" s="6"/>
      <c r="O39" s="11">
        <f t="shared" ref="O39:R39" si="38">IF(O16="","",(O16/$O$23))</f>
        <v>9.4694544100942413E-2</v>
      </c>
      <c r="P39" s="11" t="str">
        <f t="shared" si="38"/>
        <v/>
      </c>
      <c r="Q39" s="11" t="str">
        <f t="shared" si="38"/>
        <v/>
      </c>
      <c r="R39" s="11" t="str">
        <f t="shared" si="38"/>
        <v/>
      </c>
      <c r="S39" s="11" t="str">
        <f t="shared" ref="S39:AK39" si="39">IF(S16="","",(S16/$O$23))</f>
        <v/>
      </c>
      <c r="T39" s="11" t="str">
        <f t="shared" si="39"/>
        <v/>
      </c>
      <c r="U39" s="11" t="str">
        <f t="shared" si="39"/>
        <v/>
      </c>
      <c r="V39" s="11" t="str">
        <f t="shared" si="39"/>
        <v/>
      </c>
      <c r="W39" s="11" t="str">
        <f t="shared" si="39"/>
        <v/>
      </c>
      <c r="X39" s="11" t="str">
        <f t="shared" si="39"/>
        <v/>
      </c>
      <c r="Y39" s="11" t="str">
        <f t="shared" si="39"/>
        <v/>
      </c>
      <c r="Z39" s="11" t="str">
        <f t="shared" si="39"/>
        <v/>
      </c>
      <c r="AA39" s="11" t="str">
        <f t="shared" si="39"/>
        <v/>
      </c>
      <c r="AB39" s="11" t="str">
        <f t="shared" si="39"/>
        <v/>
      </c>
      <c r="AC39" s="11" t="str">
        <f t="shared" si="39"/>
        <v/>
      </c>
      <c r="AD39" s="11" t="str">
        <f t="shared" si="39"/>
        <v/>
      </c>
      <c r="AE39" s="11" t="str">
        <f t="shared" si="39"/>
        <v/>
      </c>
      <c r="AF39" s="11" t="str">
        <f t="shared" si="39"/>
        <v/>
      </c>
      <c r="AG39" s="11" t="str">
        <f t="shared" si="39"/>
        <v/>
      </c>
      <c r="AH39" s="11" t="str">
        <f t="shared" si="39"/>
        <v/>
      </c>
      <c r="AI39" s="11" t="str">
        <f t="shared" si="39"/>
        <v/>
      </c>
      <c r="AJ39" s="11" t="str">
        <f t="shared" si="39"/>
        <v/>
      </c>
      <c r="AK39" s="11" t="str">
        <f t="shared" si="39"/>
        <v/>
      </c>
    </row>
    <row r="40" spans="1:37" s="1" customFormat="1" x14ac:dyDescent="0.35">
      <c r="A40" s="231"/>
      <c r="B40" s="11" t="str">
        <f t="shared" ref="B40:J40" si="40">IF(B17="","",(B17/$O$23))</f>
        <v/>
      </c>
      <c r="C40" s="11" t="str">
        <f t="shared" si="40"/>
        <v/>
      </c>
      <c r="D40" s="11" t="str">
        <f t="shared" si="40"/>
        <v/>
      </c>
      <c r="E40" s="11" t="str">
        <f t="shared" si="40"/>
        <v/>
      </c>
      <c r="F40" s="11" t="str">
        <f t="shared" si="40"/>
        <v/>
      </c>
      <c r="G40" s="11" t="str">
        <f t="shared" si="40"/>
        <v/>
      </c>
      <c r="H40" s="11" t="str">
        <f t="shared" si="40"/>
        <v/>
      </c>
      <c r="I40" s="11" t="str">
        <f t="shared" si="40"/>
        <v/>
      </c>
      <c r="J40" s="11" t="str">
        <f t="shared" si="40"/>
        <v/>
      </c>
      <c r="K40" s="11" t="str">
        <f t="shared" ref="K40:M40" si="41">IF(K17="","",(K17/$O$23))</f>
        <v/>
      </c>
      <c r="L40" s="11" t="str">
        <f t="shared" si="41"/>
        <v/>
      </c>
      <c r="M40" s="11" t="str">
        <f t="shared" si="41"/>
        <v/>
      </c>
      <c r="N40" s="6"/>
      <c r="O40" s="11">
        <f t="shared" ref="O40:R40" si="42">IF(O17="","",(O17/$O$23))</f>
        <v>0.81664467929783813</v>
      </c>
      <c r="P40" s="11" t="str">
        <f t="shared" si="42"/>
        <v/>
      </c>
      <c r="Q40" s="11" t="str">
        <f t="shared" si="42"/>
        <v/>
      </c>
      <c r="R40" s="11" t="str">
        <f t="shared" si="42"/>
        <v/>
      </c>
      <c r="S40" s="11" t="str">
        <f t="shared" ref="S40:AK40" si="43">IF(S17="","",(S17/$O$23))</f>
        <v/>
      </c>
      <c r="T40" s="11" t="str">
        <f t="shared" si="43"/>
        <v/>
      </c>
      <c r="U40" s="11" t="str">
        <f t="shared" si="43"/>
        <v/>
      </c>
      <c r="V40" s="11" t="str">
        <f t="shared" si="43"/>
        <v/>
      </c>
      <c r="W40" s="11" t="str">
        <f t="shared" si="43"/>
        <v/>
      </c>
      <c r="X40" s="11" t="str">
        <f t="shared" si="43"/>
        <v/>
      </c>
      <c r="Y40" s="11" t="str">
        <f t="shared" si="43"/>
        <v/>
      </c>
      <c r="Z40" s="11" t="str">
        <f t="shared" si="43"/>
        <v/>
      </c>
      <c r="AA40" s="11" t="str">
        <f t="shared" si="43"/>
        <v/>
      </c>
      <c r="AB40" s="11" t="str">
        <f t="shared" si="43"/>
        <v/>
      </c>
      <c r="AC40" s="11" t="str">
        <f t="shared" si="43"/>
        <v/>
      </c>
      <c r="AD40" s="11" t="str">
        <f t="shared" si="43"/>
        <v/>
      </c>
      <c r="AE40" s="11" t="str">
        <f t="shared" si="43"/>
        <v/>
      </c>
      <c r="AF40" s="11" t="str">
        <f t="shared" si="43"/>
        <v/>
      </c>
      <c r="AG40" s="11" t="str">
        <f t="shared" si="43"/>
        <v/>
      </c>
      <c r="AH40" s="11" t="str">
        <f t="shared" si="43"/>
        <v/>
      </c>
      <c r="AI40" s="11" t="str">
        <f t="shared" si="43"/>
        <v/>
      </c>
      <c r="AJ40" s="11" t="str">
        <f t="shared" si="43"/>
        <v/>
      </c>
      <c r="AK40" s="11" t="str">
        <f t="shared" si="43"/>
        <v/>
      </c>
    </row>
    <row r="41" spans="1:37" s="1" customFormat="1" x14ac:dyDescent="0.35">
      <c r="A41" s="231"/>
      <c r="B41" s="11" t="str">
        <f t="shared" ref="B41:J41" si="44">IF(B18="","",(B18/$O$23))</f>
        <v/>
      </c>
      <c r="C41" s="11" t="str">
        <f t="shared" si="44"/>
        <v/>
      </c>
      <c r="D41" s="11" t="str">
        <f t="shared" si="44"/>
        <v/>
      </c>
      <c r="E41" s="11" t="str">
        <f t="shared" si="44"/>
        <v/>
      </c>
      <c r="F41" s="11" t="str">
        <f t="shared" si="44"/>
        <v/>
      </c>
      <c r="G41" s="11" t="str">
        <f t="shared" si="44"/>
        <v/>
      </c>
      <c r="H41" s="11" t="str">
        <f t="shared" si="44"/>
        <v/>
      </c>
      <c r="I41" s="11" t="str">
        <f t="shared" si="44"/>
        <v/>
      </c>
      <c r="J41" s="11" t="str">
        <f t="shared" si="44"/>
        <v/>
      </c>
      <c r="K41" s="11" t="str">
        <f t="shared" ref="K41:M41" si="45">IF(K18="","",(K18/$O$23))</f>
        <v/>
      </c>
      <c r="L41" s="11" t="str">
        <f t="shared" si="45"/>
        <v/>
      </c>
      <c r="M41" s="11" t="str">
        <f t="shared" si="45"/>
        <v/>
      </c>
      <c r="N41" s="6"/>
      <c r="O41" s="11">
        <f t="shared" ref="O41:R41" si="46">IF(O18="","",(O18/$O$23))</f>
        <v>0.94100835013955075</v>
      </c>
      <c r="P41" s="11" t="str">
        <f t="shared" si="46"/>
        <v/>
      </c>
      <c r="Q41" s="11" t="str">
        <f t="shared" si="46"/>
        <v/>
      </c>
      <c r="R41" s="11" t="str">
        <f t="shared" si="46"/>
        <v/>
      </c>
      <c r="S41" s="11" t="str">
        <f t="shared" ref="S41:AK41" si="47">IF(S18="","",(S18/$O$23))</f>
        <v/>
      </c>
      <c r="T41" s="11" t="str">
        <f t="shared" si="47"/>
        <v/>
      </c>
      <c r="U41" s="11" t="str">
        <f t="shared" si="47"/>
        <v/>
      </c>
      <c r="V41" s="11" t="str">
        <f t="shared" si="47"/>
        <v/>
      </c>
      <c r="W41" s="11" t="str">
        <f t="shared" si="47"/>
        <v/>
      </c>
      <c r="X41" s="11" t="str">
        <f t="shared" si="47"/>
        <v/>
      </c>
      <c r="Y41" s="11" t="str">
        <f t="shared" si="47"/>
        <v/>
      </c>
      <c r="Z41" s="11" t="str">
        <f t="shared" si="47"/>
        <v/>
      </c>
      <c r="AA41" s="11" t="str">
        <f t="shared" si="47"/>
        <v/>
      </c>
      <c r="AB41" s="11" t="str">
        <f t="shared" si="47"/>
        <v/>
      </c>
      <c r="AC41" s="11" t="str">
        <f t="shared" si="47"/>
        <v/>
      </c>
      <c r="AD41" s="11" t="str">
        <f t="shared" si="47"/>
        <v/>
      </c>
      <c r="AE41" s="11" t="str">
        <f t="shared" si="47"/>
        <v/>
      </c>
      <c r="AF41" s="11" t="str">
        <f t="shared" si="47"/>
        <v/>
      </c>
      <c r="AG41" s="11" t="str">
        <f t="shared" si="47"/>
        <v/>
      </c>
      <c r="AH41" s="11" t="str">
        <f t="shared" si="47"/>
        <v/>
      </c>
      <c r="AI41" s="11" t="str">
        <f t="shared" si="47"/>
        <v/>
      </c>
      <c r="AJ41" s="11" t="str">
        <f t="shared" si="47"/>
        <v/>
      </c>
      <c r="AK41" s="11" t="str">
        <f t="shared" si="47"/>
        <v/>
      </c>
    </row>
    <row r="42" spans="1:37" s="1" customFormat="1" x14ac:dyDescent="0.35">
      <c r="A42" s="231"/>
      <c r="B42" s="11" t="str">
        <f t="shared" ref="B42:J42" si="48">IF(B19="","",(B19/$O$23))</f>
        <v/>
      </c>
      <c r="C42" s="11" t="str">
        <f t="shared" si="48"/>
        <v/>
      </c>
      <c r="D42" s="11" t="str">
        <f t="shared" si="48"/>
        <v/>
      </c>
      <c r="E42" s="11" t="str">
        <f t="shared" si="48"/>
        <v/>
      </c>
      <c r="F42" s="11" t="str">
        <f t="shared" si="48"/>
        <v/>
      </c>
      <c r="G42" s="11" t="str">
        <f t="shared" si="48"/>
        <v/>
      </c>
      <c r="H42" s="11" t="str">
        <f t="shared" si="48"/>
        <v/>
      </c>
      <c r="I42" s="11" t="str">
        <f t="shared" si="48"/>
        <v/>
      </c>
      <c r="J42" s="11" t="str">
        <f t="shared" si="48"/>
        <v/>
      </c>
      <c r="K42" s="11" t="str">
        <f t="shared" ref="K42:M42" si="49">IF(K19="","",(K19/$O$23))</f>
        <v/>
      </c>
      <c r="L42" s="11" t="str">
        <f t="shared" si="49"/>
        <v/>
      </c>
      <c r="M42" s="11" t="str">
        <f t="shared" si="49"/>
        <v/>
      </c>
      <c r="N42" s="6"/>
      <c r="O42" s="11">
        <f t="shared" ref="O42:R42" si="50">IF(O19="","",(O19/$O$23))</f>
        <v>7.873344734969253E-3</v>
      </c>
      <c r="P42" s="11" t="str">
        <f t="shared" si="50"/>
        <v/>
      </c>
      <c r="Q42" s="11" t="str">
        <f t="shared" si="50"/>
        <v/>
      </c>
      <c r="R42" s="11" t="str">
        <f t="shared" si="50"/>
        <v/>
      </c>
      <c r="S42" s="11" t="str">
        <f t="shared" ref="S42:AK42" si="51">IF(S19="","",(S19/$O$23))</f>
        <v/>
      </c>
      <c r="T42" s="11" t="str">
        <f t="shared" si="51"/>
        <v/>
      </c>
      <c r="U42" s="11" t="str">
        <f t="shared" si="51"/>
        <v/>
      </c>
      <c r="V42" s="11" t="str">
        <f t="shared" si="51"/>
        <v/>
      </c>
      <c r="W42" s="11" t="str">
        <f t="shared" si="51"/>
        <v/>
      </c>
      <c r="X42" s="11" t="str">
        <f t="shared" si="51"/>
        <v/>
      </c>
      <c r="Y42" s="11" t="str">
        <f t="shared" si="51"/>
        <v/>
      </c>
      <c r="Z42" s="11" t="str">
        <f t="shared" si="51"/>
        <v/>
      </c>
      <c r="AA42" s="11" t="str">
        <f t="shared" si="51"/>
        <v/>
      </c>
      <c r="AB42" s="11" t="str">
        <f t="shared" si="51"/>
        <v/>
      </c>
      <c r="AC42" s="11" t="str">
        <f t="shared" si="51"/>
        <v/>
      </c>
      <c r="AD42" s="11" t="str">
        <f t="shared" si="51"/>
        <v/>
      </c>
      <c r="AE42" s="11" t="str">
        <f t="shared" si="51"/>
        <v/>
      </c>
      <c r="AF42" s="11" t="str">
        <f t="shared" si="51"/>
        <v/>
      </c>
      <c r="AG42" s="11" t="str">
        <f t="shared" si="51"/>
        <v/>
      </c>
      <c r="AH42" s="11" t="str">
        <f t="shared" si="51"/>
        <v/>
      </c>
      <c r="AI42" s="11" t="str">
        <f t="shared" si="51"/>
        <v/>
      </c>
      <c r="AJ42" s="11" t="str">
        <f t="shared" si="51"/>
        <v/>
      </c>
      <c r="AK42" s="11" t="str">
        <f t="shared" si="51"/>
        <v/>
      </c>
    </row>
    <row r="43" spans="1:37" s="1" customFormat="1" x14ac:dyDescent="0.35">
      <c r="A43" s="231"/>
      <c r="B43" s="11" t="str">
        <f t="shared" ref="B43:J43" si="52">IF(B20="","",(B20/$O$23))</f>
        <v/>
      </c>
      <c r="C43" s="11" t="str">
        <f t="shared" si="52"/>
        <v/>
      </c>
      <c r="D43" s="11" t="str">
        <f t="shared" si="52"/>
        <v/>
      </c>
      <c r="E43" s="11" t="str">
        <f t="shared" si="52"/>
        <v/>
      </c>
      <c r="F43" s="11" t="str">
        <f t="shared" si="52"/>
        <v/>
      </c>
      <c r="G43" s="11" t="str">
        <f t="shared" si="52"/>
        <v/>
      </c>
      <c r="H43" s="11" t="str">
        <f t="shared" si="52"/>
        <v/>
      </c>
      <c r="I43" s="11" t="str">
        <f t="shared" si="52"/>
        <v/>
      </c>
      <c r="J43" s="11" t="str">
        <f t="shared" si="52"/>
        <v/>
      </c>
      <c r="K43" s="11" t="str">
        <f t="shared" ref="K43:M43" si="53">IF(K20="","",(K20/$O$23))</f>
        <v/>
      </c>
      <c r="L43" s="11" t="str">
        <f t="shared" si="53"/>
        <v/>
      </c>
      <c r="M43" s="11" t="str">
        <f t="shared" si="53"/>
        <v/>
      </c>
      <c r="N43" s="6"/>
      <c r="O43" s="11">
        <f t="shared" ref="O43:R43" si="54">IF(O20="","",(O20/$O$23))</f>
        <v>0.21179114009532166</v>
      </c>
      <c r="P43" s="11" t="str">
        <f t="shared" si="54"/>
        <v/>
      </c>
      <c r="Q43" s="11" t="str">
        <f t="shared" si="54"/>
        <v/>
      </c>
      <c r="R43" s="11" t="str">
        <f t="shared" si="54"/>
        <v/>
      </c>
      <c r="S43" s="11" t="str">
        <f t="shared" ref="S43:AK43" si="55">IF(S20="","",(S20/$O$23))</f>
        <v/>
      </c>
      <c r="T43" s="11" t="str">
        <f t="shared" si="55"/>
        <v/>
      </c>
      <c r="U43" s="11" t="str">
        <f t="shared" si="55"/>
        <v/>
      </c>
      <c r="V43" s="11" t="str">
        <f t="shared" si="55"/>
        <v/>
      </c>
      <c r="W43" s="11" t="str">
        <f t="shared" si="55"/>
        <v/>
      </c>
      <c r="X43" s="11" t="str">
        <f t="shared" si="55"/>
        <v/>
      </c>
      <c r="Y43" s="11" t="str">
        <f t="shared" si="55"/>
        <v/>
      </c>
      <c r="Z43" s="11" t="str">
        <f t="shared" si="55"/>
        <v/>
      </c>
      <c r="AA43" s="11" t="str">
        <f t="shared" si="55"/>
        <v/>
      </c>
      <c r="AB43" s="11" t="str">
        <f t="shared" si="55"/>
        <v/>
      </c>
      <c r="AC43" s="11" t="str">
        <f t="shared" si="55"/>
        <v/>
      </c>
      <c r="AD43" s="11" t="str">
        <f t="shared" si="55"/>
        <v/>
      </c>
      <c r="AE43" s="11" t="str">
        <f t="shared" si="55"/>
        <v/>
      </c>
      <c r="AF43" s="11" t="str">
        <f t="shared" si="55"/>
        <v/>
      </c>
      <c r="AG43" s="11" t="str">
        <f t="shared" si="55"/>
        <v/>
      </c>
      <c r="AH43" s="11" t="str">
        <f t="shared" si="55"/>
        <v/>
      </c>
      <c r="AI43" s="11" t="str">
        <f t="shared" si="55"/>
        <v/>
      </c>
      <c r="AJ43" s="11" t="str">
        <f t="shared" si="55"/>
        <v/>
      </c>
      <c r="AK43" s="11" t="str">
        <f t="shared" si="55"/>
        <v/>
      </c>
    </row>
    <row r="44" spans="1:37" x14ac:dyDescent="0.3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72" customFormat="1" x14ac:dyDescent="0.35">
      <c r="A45" s="73" t="str">
        <f t="shared" ref="A45:M45" si="56">A4</f>
        <v>Noms des groupes</v>
      </c>
      <c r="B45" s="73" t="str">
        <f t="shared" si="56"/>
        <v>Témoin solvant</v>
      </c>
      <c r="C45" s="73" t="str">
        <f t="shared" si="56"/>
        <v>EE2-33,8ng/L</v>
      </c>
      <c r="D45" s="73" t="str">
        <f t="shared" si="56"/>
        <v>EE2-50,6ng/L</v>
      </c>
      <c r="E45" s="73" t="str">
        <f t="shared" si="56"/>
        <v>EE2-76ng/L</v>
      </c>
      <c r="F45" s="73" t="str">
        <f t="shared" si="56"/>
        <v>EE2-114ng/L</v>
      </c>
      <c r="G45" s="73" t="str">
        <f t="shared" si="56"/>
        <v>EE2-170,9ng/L</v>
      </c>
      <c r="H45" s="73" t="str">
        <f t="shared" si="56"/>
        <v>EE2-488ng/L</v>
      </c>
      <c r="I45" s="73" t="str">
        <f t="shared" si="56"/>
        <v>Anastrozole 0,032 ug/L</v>
      </c>
      <c r="J45" s="73" t="str">
        <f t="shared" si="56"/>
        <v>Anastrozole 0,16 ug/L</v>
      </c>
      <c r="K45" s="73" t="str">
        <f t="shared" si="56"/>
        <v>Anastrozole 0,8 ug/L</v>
      </c>
      <c r="L45" s="73" t="str">
        <f t="shared" si="56"/>
        <v>Anastrozole 4 ug/L</v>
      </c>
      <c r="M45" s="73" t="str">
        <f t="shared" si="56"/>
        <v>Anastrozole 20 ug/L</v>
      </c>
      <c r="N45" s="73" t="str">
        <f>N22</f>
        <v>Nom des groupes</v>
      </c>
      <c r="O45" s="73" t="str">
        <f t="shared" ref="O45:AD45" si="57">O4</f>
        <v>Testo -30µg/L</v>
      </c>
      <c r="P45" s="73" t="str">
        <f t="shared" si="57"/>
        <v>Testo 30µg/L + EE2 -64ng/L</v>
      </c>
      <c r="Q45" s="73" t="str">
        <f t="shared" si="57"/>
        <v>Testo 30µg/L + FAD-10mg/L</v>
      </c>
      <c r="R45" s="73" t="str">
        <f t="shared" si="57"/>
        <v>Anastrozole-0,032ug/L + Testostérone</v>
      </c>
      <c r="S45" s="73" t="str">
        <f t="shared" si="57"/>
        <v>Anastrozole-0,16ug/L + Testostérone</v>
      </c>
      <c r="T45" s="73" t="str">
        <f t="shared" si="57"/>
        <v>Anastrozole-0,8ug/L + Testostérone</v>
      </c>
      <c r="U45" s="73" t="str">
        <f t="shared" si="57"/>
        <v>Anastrozole-4ug/L + Testostérone</v>
      </c>
      <c r="V45" s="73" t="str">
        <f t="shared" si="57"/>
        <v>Anastrozole-20ug/L + Testostérone</v>
      </c>
      <c r="W45" s="73" t="str">
        <f t="shared" si="57"/>
        <v>0-00 + Testostérone</v>
      </c>
      <c r="X45" s="73" t="str">
        <f t="shared" si="57"/>
        <v>0-00 + Testostérone</v>
      </c>
      <c r="Y45" s="73" t="str">
        <f t="shared" si="57"/>
        <v>0-00 + Testostérone</v>
      </c>
      <c r="Z45" s="73" t="str">
        <f t="shared" si="57"/>
        <v>0-00 + Testostérone</v>
      </c>
      <c r="AA45" s="73" t="str">
        <f t="shared" si="57"/>
        <v>0-00 + Testostérone</v>
      </c>
      <c r="AB45" s="73" t="str">
        <f t="shared" si="57"/>
        <v>0-00 + Testostérone</v>
      </c>
      <c r="AC45" s="73" t="str">
        <f t="shared" si="57"/>
        <v>0-00 + Testostérone</v>
      </c>
      <c r="AD45" s="73" t="str">
        <f t="shared" si="57"/>
        <v>0-00 + Testostérone</v>
      </c>
      <c r="AE45" s="73" t="str">
        <f t="shared" ref="AE45:AK45" si="58">AE4</f>
        <v>0-00 + Testostérone</v>
      </c>
      <c r="AF45" s="73" t="str">
        <f t="shared" si="58"/>
        <v>0-00 + Testostérone</v>
      </c>
      <c r="AG45" s="73" t="str">
        <f t="shared" si="58"/>
        <v>0-00 + Testostérone</v>
      </c>
      <c r="AH45" s="73" t="str">
        <f t="shared" si="58"/>
        <v>0-00 + Testostérone</v>
      </c>
      <c r="AI45" s="73" t="str">
        <f t="shared" si="58"/>
        <v>0-00 + Testostérone</v>
      </c>
      <c r="AJ45" s="73" t="str">
        <f t="shared" si="58"/>
        <v>0-00 + Testostérone</v>
      </c>
      <c r="AK45" s="73" t="str">
        <f t="shared" si="58"/>
        <v>0-00 + Testostérone</v>
      </c>
    </row>
    <row r="46" spans="1:37" x14ac:dyDescent="0.35">
      <c r="A46" s="8" t="s">
        <v>0</v>
      </c>
      <c r="B46" s="10">
        <f t="shared" ref="B46:H46" si="59">AVERAGE(B28:B43)</f>
        <v>0.1066495671966312</v>
      </c>
      <c r="C46" s="10">
        <f t="shared" si="59"/>
        <v>8.2703392590617125E-2</v>
      </c>
      <c r="D46" s="10">
        <f t="shared" si="59"/>
        <v>9.9590338151935243E-2</v>
      </c>
      <c r="E46" s="10">
        <f t="shared" si="59"/>
        <v>0.29836375520102354</v>
      </c>
      <c r="F46" s="10">
        <f t="shared" si="59"/>
        <v>0.72627289642753334</v>
      </c>
      <c r="G46" s="10">
        <f t="shared" si="59"/>
        <v>1.6068487811573171</v>
      </c>
      <c r="H46" s="10">
        <f t="shared" si="59"/>
        <v>2.8955704415286125</v>
      </c>
      <c r="I46" s="10">
        <f>AVERAGE(I28:I43)</f>
        <v>0.1164777018780412</v>
      </c>
      <c r="J46" s="9">
        <f>AVERAGE(J28:J43)</f>
        <v>0.11797618324675639</v>
      </c>
      <c r="K46" s="9">
        <f>AVERAGE(K28:K43)</f>
        <v>9.5827218238110634E-2</v>
      </c>
      <c r="L46" s="9">
        <f t="shared" ref="L46:M46" si="60">AVERAGE(L28:L43)</f>
        <v>0.11482724254537757</v>
      </c>
      <c r="M46" s="9">
        <f t="shared" si="60"/>
        <v>0.11630358803495652</v>
      </c>
      <c r="N46" s="8" t="s">
        <v>0</v>
      </c>
      <c r="O46" s="10">
        <f>AVERAGE(O28:O43)</f>
        <v>0.99999999999999989</v>
      </c>
      <c r="P46" s="10">
        <f>AVERAGE(P28:P43)</f>
        <v>1.6060676634003328</v>
      </c>
      <c r="Q46" s="10">
        <f>AVERAGE(Q28:Q43)</f>
        <v>7.4667872809074803E-2</v>
      </c>
      <c r="R46" s="10">
        <f>AVERAGE(R28:R43)</f>
        <v>0.49321970988704006</v>
      </c>
      <c r="S46" s="10">
        <f t="shared" ref="S46:AD46" si="61">AVERAGE(S28:S43)</f>
        <v>0.36574211165248421</v>
      </c>
      <c r="T46" s="10">
        <f t="shared" si="61"/>
        <v>6.4585977319805851E-2</v>
      </c>
      <c r="U46" s="10">
        <f t="shared" si="61"/>
        <v>0.12353296794818817</v>
      </c>
      <c r="V46" s="10">
        <f t="shared" si="61"/>
        <v>0.10495768141656039</v>
      </c>
      <c r="W46" s="10" t="e">
        <f t="shared" si="61"/>
        <v>#DIV/0!</v>
      </c>
      <c r="X46" s="10" t="e">
        <f t="shared" si="61"/>
        <v>#DIV/0!</v>
      </c>
      <c r="Y46" s="10" t="e">
        <f t="shared" si="61"/>
        <v>#DIV/0!</v>
      </c>
      <c r="Z46" s="10" t="e">
        <f t="shared" si="61"/>
        <v>#DIV/0!</v>
      </c>
      <c r="AA46" s="10" t="e">
        <f t="shared" si="61"/>
        <v>#DIV/0!</v>
      </c>
      <c r="AB46" s="10" t="e">
        <f t="shared" si="61"/>
        <v>#DIV/0!</v>
      </c>
      <c r="AC46" s="10" t="e">
        <f t="shared" si="61"/>
        <v>#DIV/0!</v>
      </c>
      <c r="AD46" s="10" t="e">
        <f t="shared" si="61"/>
        <v>#DIV/0!</v>
      </c>
      <c r="AE46" s="10" t="e">
        <f t="shared" ref="AE46:AK46" si="62">AVERAGE(AE28:AE43)</f>
        <v>#DIV/0!</v>
      </c>
      <c r="AF46" s="10" t="e">
        <f t="shared" si="62"/>
        <v>#DIV/0!</v>
      </c>
      <c r="AG46" s="10" t="e">
        <f t="shared" si="62"/>
        <v>#DIV/0!</v>
      </c>
      <c r="AH46" s="10" t="e">
        <f t="shared" si="62"/>
        <v>#DIV/0!</v>
      </c>
      <c r="AI46" s="10" t="e">
        <f t="shared" si="62"/>
        <v>#DIV/0!</v>
      </c>
      <c r="AJ46" s="10" t="e">
        <f t="shared" si="62"/>
        <v>#DIV/0!</v>
      </c>
      <c r="AK46" s="10" t="e">
        <f t="shared" si="62"/>
        <v>#DIV/0!</v>
      </c>
    </row>
    <row r="47" spans="1:37" x14ac:dyDescent="0.35">
      <c r="A47" s="8" t="s">
        <v>1</v>
      </c>
      <c r="B47" s="8">
        <f t="shared" ref="B47:K47" si="63">STDEV(B28:B43)</f>
        <v>0.12095605445059983</v>
      </c>
      <c r="C47" s="8">
        <f t="shared" si="63"/>
        <v>0.13149042926803656</v>
      </c>
      <c r="D47" s="8">
        <f t="shared" si="63"/>
        <v>6.494085229345406E-2</v>
      </c>
      <c r="E47" s="8">
        <f t="shared" si="63"/>
        <v>0.21755691551082235</v>
      </c>
      <c r="F47" s="8">
        <f t="shared" si="63"/>
        <v>0.45021538516628967</v>
      </c>
      <c r="G47" s="8">
        <f t="shared" si="63"/>
        <v>0.54935458903980627</v>
      </c>
      <c r="H47" s="8">
        <f t="shared" si="63"/>
        <v>0.74682562470135427</v>
      </c>
      <c r="I47" s="8">
        <f>STDEV(I28:I43)</f>
        <v>5.9342522059128669E-2</v>
      </c>
      <c r="J47" s="8">
        <f t="shared" si="63"/>
        <v>7.9285664924283669E-2</v>
      </c>
      <c r="K47" s="8">
        <f t="shared" si="63"/>
        <v>5.1440912136185651E-2</v>
      </c>
      <c r="L47" s="8">
        <f t="shared" ref="L47:M47" si="64">STDEV(L28:L43)</f>
        <v>0.13299233589196433</v>
      </c>
      <c r="M47" s="8">
        <f t="shared" si="64"/>
        <v>0.10192395015180139</v>
      </c>
      <c r="N47" s="8" t="s">
        <v>1</v>
      </c>
      <c r="O47" s="8">
        <f>STDEV(O28:O43)</f>
        <v>0.61306789852010879</v>
      </c>
      <c r="P47" s="8">
        <f>STDEV(P28:P43)</f>
        <v>0.70085725296996615</v>
      </c>
      <c r="Q47" s="8">
        <f>STDEV(Q28:Q43)</f>
        <v>7.7181544278929634E-2</v>
      </c>
      <c r="R47" s="8">
        <f>STDEV(R28:R43)</f>
        <v>0.18790688462185168</v>
      </c>
      <c r="S47" s="8">
        <f t="shared" ref="S47:AD47" si="65">STDEV(S28:S43)</f>
        <v>0.31671659503603011</v>
      </c>
      <c r="T47" s="8">
        <f t="shared" si="65"/>
        <v>4.9014127271859859E-2</v>
      </c>
      <c r="U47" s="8">
        <f t="shared" si="65"/>
        <v>9.8741176710967549E-2</v>
      </c>
      <c r="V47" s="8">
        <f t="shared" si="65"/>
        <v>7.3191174587054361E-2</v>
      </c>
      <c r="W47" s="8" t="e">
        <f t="shared" si="65"/>
        <v>#DIV/0!</v>
      </c>
      <c r="X47" s="8" t="e">
        <f t="shared" si="65"/>
        <v>#DIV/0!</v>
      </c>
      <c r="Y47" s="8" t="e">
        <f t="shared" si="65"/>
        <v>#DIV/0!</v>
      </c>
      <c r="Z47" s="8" t="e">
        <f t="shared" si="65"/>
        <v>#DIV/0!</v>
      </c>
      <c r="AA47" s="8" t="e">
        <f t="shared" si="65"/>
        <v>#DIV/0!</v>
      </c>
      <c r="AB47" s="8" t="e">
        <f t="shared" si="65"/>
        <v>#DIV/0!</v>
      </c>
      <c r="AC47" s="8" t="e">
        <f t="shared" si="65"/>
        <v>#DIV/0!</v>
      </c>
      <c r="AD47" s="8" t="e">
        <f t="shared" si="65"/>
        <v>#DIV/0!</v>
      </c>
      <c r="AE47" s="8" t="e">
        <f t="shared" ref="AE47:AK47" si="66">STDEV(AE28:AE43)</f>
        <v>#DIV/0!</v>
      </c>
      <c r="AF47" s="8" t="e">
        <f t="shared" si="66"/>
        <v>#DIV/0!</v>
      </c>
      <c r="AG47" s="8" t="e">
        <f t="shared" si="66"/>
        <v>#DIV/0!</v>
      </c>
      <c r="AH47" s="8" t="e">
        <f t="shared" si="66"/>
        <v>#DIV/0!</v>
      </c>
      <c r="AI47" s="8" t="e">
        <f t="shared" si="66"/>
        <v>#DIV/0!</v>
      </c>
      <c r="AJ47" s="8" t="e">
        <f t="shared" si="66"/>
        <v>#DIV/0!</v>
      </c>
      <c r="AK47" s="8" t="e">
        <f t="shared" si="66"/>
        <v>#DIV/0!</v>
      </c>
    </row>
    <row r="48" spans="1:37" x14ac:dyDescent="0.35">
      <c r="A48" s="8" t="s">
        <v>2</v>
      </c>
      <c r="B48" s="8">
        <f t="shared" ref="B48:K48" si="67" xml:space="preserve"> B47/SQRT(COUNT(B28:B43))</f>
        <v>4.276442316379421E-2</v>
      </c>
      <c r="C48" s="8">
        <f t="shared" si="67"/>
        <v>4.6488887098279363E-2</v>
      </c>
      <c r="D48" s="8">
        <f t="shared" si="67"/>
        <v>2.2960058516367659E-2</v>
      </c>
      <c r="E48" s="8">
        <f t="shared" si="67"/>
        <v>7.6917985125865632E-2</v>
      </c>
      <c r="F48" s="8">
        <f t="shared" si="67"/>
        <v>0.1591751759227984</v>
      </c>
      <c r="G48" s="8">
        <f t="shared" si="67"/>
        <v>0.20763651774163097</v>
      </c>
      <c r="H48" s="8">
        <f t="shared" si="67"/>
        <v>0.26404273179510357</v>
      </c>
      <c r="I48" s="8">
        <f xml:space="preserve"> I47/SQRT(COUNT(I28:I43))</f>
        <v>2.2429365077117007E-2</v>
      </c>
      <c r="J48" s="8">
        <f t="shared" si="67"/>
        <v>2.8031715659422689E-2</v>
      </c>
      <c r="K48" s="8">
        <f t="shared" si="67"/>
        <v>1.818710890095912E-2</v>
      </c>
      <c r="L48" s="8">
        <f t="shared" ref="L48:M48" si="68" xml:space="preserve"> L47/SQRT(COUNT(L28:L43))</f>
        <v>5.0266378149672428E-2</v>
      </c>
      <c r="M48" s="8">
        <f t="shared" si="68"/>
        <v>3.6035558158829202E-2</v>
      </c>
      <c r="N48" s="8" t="s">
        <v>2</v>
      </c>
      <c r="O48" s="8">
        <f xml:space="preserve"> O47/SQRT(COUNT(O28:O43))</f>
        <v>0.1532669746300272</v>
      </c>
      <c r="P48" s="8">
        <f xml:space="preserve"> P47/SQRT(COUNT(P28:P43))</f>
        <v>0.2477904581094193</v>
      </c>
      <c r="Q48" s="8">
        <f xml:space="preserve"> Q47/SQRT(COUNT(Q28:Q43))</f>
        <v>2.7287796671040462E-2</v>
      </c>
      <c r="R48" s="8">
        <f xml:space="preserve"> R47/SQRT(COUNT(R28:R43))</f>
        <v>6.643511617387475E-2</v>
      </c>
      <c r="S48" s="8">
        <f t="shared" ref="S48:AD48" si="69" xml:space="preserve"> S47/SQRT(COUNT(S28:S43))</f>
        <v>0.11197622603214526</v>
      </c>
      <c r="T48" s="8">
        <f t="shared" si="69"/>
        <v>1.7329110883936297E-2</v>
      </c>
      <c r="U48" s="8">
        <f t="shared" si="69"/>
        <v>3.4910277817332171E-2</v>
      </c>
      <c r="V48" s="8">
        <f t="shared" si="69"/>
        <v>2.5876987936757322E-2</v>
      </c>
      <c r="W48" s="8" t="e">
        <f t="shared" si="69"/>
        <v>#DIV/0!</v>
      </c>
      <c r="X48" s="8" t="e">
        <f t="shared" si="69"/>
        <v>#DIV/0!</v>
      </c>
      <c r="Y48" s="8" t="e">
        <f t="shared" si="69"/>
        <v>#DIV/0!</v>
      </c>
      <c r="Z48" s="8" t="e">
        <f t="shared" si="69"/>
        <v>#DIV/0!</v>
      </c>
      <c r="AA48" s="8" t="e">
        <f t="shared" si="69"/>
        <v>#DIV/0!</v>
      </c>
      <c r="AB48" s="8" t="e">
        <f t="shared" si="69"/>
        <v>#DIV/0!</v>
      </c>
      <c r="AC48" s="8" t="e">
        <f t="shared" si="69"/>
        <v>#DIV/0!</v>
      </c>
      <c r="AD48" s="8" t="e">
        <f t="shared" si="69"/>
        <v>#DIV/0!</v>
      </c>
      <c r="AE48" s="8" t="e">
        <f t="shared" ref="AE48:AK48" si="70" xml:space="preserve"> AE47/SQRT(COUNT(AE28:AE43))</f>
        <v>#DIV/0!</v>
      </c>
      <c r="AF48" s="8" t="e">
        <f t="shared" si="70"/>
        <v>#DIV/0!</v>
      </c>
      <c r="AG48" s="8" t="e">
        <f t="shared" si="70"/>
        <v>#DIV/0!</v>
      </c>
      <c r="AH48" s="8" t="e">
        <f t="shared" si="70"/>
        <v>#DIV/0!</v>
      </c>
      <c r="AI48" s="8" t="e">
        <f t="shared" si="70"/>
        <v>#DIV/0!</v>
      </c>
      <c r="AJ48" s="8" t="e">
        <f t="shared" si="70"/>
        <v>#DIV/0!</v>
      </c>
      <c r="AK48" s="8" t="e">
        <f t="shared" si="70"/>
        <v>#DIV/0!</v>
      </c>
    </row>
    <row r="49" spans="1:37" s="1" customFormat="1"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6.5" thickBot="1" x14ac:dyDescent="0.65">
      <c r="A50" s="225" t="s">
        <v>38</v>
      </c>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7"/>
    </row>
    <row r="51" spans="1:37" ht="15" thickBot="1" x14ac:dyDescent="0.4">
      <c r="A51"/>
      <c r="B51"/>
      <c r="C51"/>
      <c r="D51"/>
      <c r="E51"/>
      <c r="F51"/>
      <c r="G51"/>
      <c r="H51"/>
      <c r="I51"/>
      <c r="J51"/>
      <c r="K51"/>
      <c r="L51"/>
      <c r="M51"/>
      <c r="S51"/>
      <c r="T51"/>
      <c r="U51"/>
      <c r="V51"/>
      <c r="W51"/>
      <c r="X51"/>
      <c r="Y51"/>
      <c r="Z51"/>
      <c r="AA51"/>
      <c r="AB51"/>
      <c r="AC51"/>
      <c r="AD51"/>
    </row>
    <row r="52" spans="1:37" x14ac:dyDescent="0.35">
      <c r="A52" s="45" t="str">
        <f t="shared" ref="A52:H52" si="71">A27</f>
        <v>Noms des groupes</v>
      </c>
      <c r="B52" s="46" t="str">
        <f t="shared" si="71"/>
        <v>Témoin solvant</v>
      </c>
      <c r="C52" s="46" t="str">
        <f t="shared" si="71"/>
        <v>EE2-33,8ng/L</v>
      </c>
      <c r="D52" s="46" t="str">
        <f t="shared" si="71"/>
        <v>EE2-50,6ng/L</v>
      </c>
      <c r="E52" s="46" t="str">
        <f t="shared" si="71"/>
        <v>EE2-76ng/L</v>
      </c>
      <c r="F52" s="46" t="str">
        <f t="shared" si="71"/>
        <v>EE2-114ng/L</v>
      </c>
      <c r="G52" s="46" t="str">
        <f t="shared" si="71"/>
        <v>EE2-170,9ng/L</v>
      </c>
      <c r="H52" s="46" t="str">
        <f t="shared" si="71"/>
        <v>EE2-488ng/L</v>
      </c>
      <c r="I52" s="46" t="str">
        <f>I4</f>
        <v>Anastrozole 0,032 ug/L</v>
      </c>
      <c r="J52" s="46" t="str">
        <f>J4</f>
        <v>Anastrozole 0,16 ug/L</v>
      </c>
      <c r="K52" s="46" t="str">
        <f>K27</f>
        <v>Anastrozole 0,8 ug/L</v>
      </c>
      <c r="L52" s="46" t="str">
        <f t="shared" ref="L52:M52" si="72">L27</f>
        <v>Anastrozole 4 ug/L</v>
      </c>
      <c r="M52" s="46" t="str">
        <f t="shared" si="72"/>
        <v>Anastrozole 20 ug/L</v>
      </c>
      <c r="N52" s="47"/>
      <c r="O52" s="46" t="str">
        <f>O27</f>
        <v>Testo -30µg/L</v>
      </c>
      <c r="P52" s="46" t="str">
        <f>P27</f>
        <v>Testo 30µg/L + EE2 -64ng/L</v>
      </c>
      <c r="Q52" s="46" t="str">
        <f>Q27</f>
        <v>Testo 30µg/L + FAD-10mg/L</v>
      </c>
      <c r="R52" s="46" t="str">
        <f>R27</f>
        <v>Anastrozole-0,032ug/L + Testostérone</v>
      </c>
      <c r="S52" s="46" t="str">
        <f t="shared" ref="S52:AD52" si="73">S27</f>
        <v>Anastrozole-0,16ug/L + Testostérone</v>
      </c>
      <c r="T52" s="46" t="str">
        <f t="shared" si="73"/>
        <v>Anastrozole-0,8ug/L + Testostérone</v>
      </c>
      <c r="U52" s="46" t="str">
        <f t="shared" si="73"/>
        <v>Anastrozole-4ug/L + Testostérone</v>
      </c>
      <c r="V52" s="46" t="str">
        <f t="shared" si="73"/>
        <v>Anastrozole-20ug/L + Testostérone</v>
      </c>
      <c r="W52" s="46" t="str">
        <f t="shared" si="73"/>
        <v>0-00 + Testostérone</v>
      </c>
      <c r="X52" s="46" t="str">
        <f t="shared" si="73"/>
        <v>0-00 + Testostérone</v>
      </c>
      <c r="Y52" s="46" t="str">
        <f t="shared" si="73"/>
        <v>0-00 + Testostérone</v>
      </c>
      <c r="Z52" s="46" t="str">
        <f t="shared" si="73"/>
        <v>0-00 + Testostérone</v>
      </c>
      <c r="AA52" s="46" t="str">
        <f t="shared" si="73"/>
        <v>0-00 + Testostérone</v>
      </c>
      <c r="AB52" s="46" t="str">
        <f t="shared" si="73"/>
        <v>0-00 + Testostérone</v>
      </c>
      <c r="AC52" s="46" t="str">
        <f t="shared" si="73"/>
        <v>0-00 + Testostérone</v>
      </c>
      <c r="AD52" s="46" t="str">
        <f t="shared" si="73"/>
        <v>0-00 + Testostérone</v>
      </c>
      <c r="AE52" s="46" t="str">
        <f t="shared" ref="AE52:AK52" si="74">AE27</f>
        <v>0-00 + Testostérone</v>
      </c>
      <c r="AF52" s="46" t="str">
        <f t="shared" si="74"/>
        <v>0-00 + Testostérone</v>
      </c>
      <c r="AG52" s="46" t="str">
        <f t="shared" si="74"/>
        <v>0-00 + Testostérone</v>
      </c>
      <c r="AH52" s="46" t="str">
        <f t="shared" si="74"/>
        <v>0-00 + Testostérone</v>
      </c>
      <c r="AI52" s="46" t="str">
        <f t="shared" si="74"/>
        <v>0-00 + Testostérone</v>
      </c>
      <c r="AJ52" s="46" t="str">
        <f t="shared" si="74"/>
        <v>0-00 + Testostérone</v>
      </c>
      <c r="AK52" s="48" t="str">
        <f t="shared" si="74"/>
        <v>0-00 + Testostérone</v>
      </c>
    </row>
    <row r="53" spans="1:37" s="3" customFormat="1" x14ac:dyDescent="0.35">
      <c r="A53" s="64" t="s">
        <v>32</v>
      </c>
      <c r="B53" s="145">
        <f t="shared" ref="B53:M53" si="75">B46</f>
        <v>0.1066495671966312</v>
      </c>
      <c r="C53" s="145">
        <f t="shared" si="75"/>
        <v>8.2703392590617125E-2</v>
      </c>
      <c r="D53" s="145">
        <f t="shared" si="75"/>
        <v>9.9590338151935243E-2</v>
      </c>
      <c r="E53" s="145">
        <f t="shared" si="75"/>
        <v>0.29836375520102354</v>
      </c>
      <c r="F53" s="145">
        <f t="shared" si="75"/>
        <v>0.72627289642753334</v>
      </c>
      <c r="G53" s="145">
        <f t="shared" si="75"/>
        <v>1.6068487811573171</v>
      </c>
      <c r="H53" s="145">
        <f t="shared" si="75"/>
        <v>2.8955704415286125</v>
      </c>
      <c r="I53" s="145">
        <f t="shared" si="75"/>
        <v>0.1164777018780412</v>
      </c>
      <c r="J53" s="145">
        <f t="shared" si="75"/>
        <v>0.11797618324675639</v>
      </c>
      <c r="K53" s="145">
        <f t="shared" si="75"/>
        <v>9.5827218238110634E-2</v>
      </c>
      <c r="L53" s="145">
        <f t="shared" si="75"/>
        <v>0.11482724254537757</v>
      </c>
      <c r="M53" s="145">
        <f t="shared" si="75"/>
        <v>0.11630358803495652</v>
      </c>
      <c r="N53" s="145"/>
      <c r="O53" s="145">
        <f t="shared" ref="O53:AK53" si="76">O46</f>
        <v>0.99999999999999989</v>
      </c>
      <c r="P53" s="145">
        <f t="shared" si="76"/>
        <v>1.6060676634003328</v>
      </c>
      <c r="Q53" s="145">
        <f t="shared" si="76"/>
        <v>7.4667872809074803E-2</v>
      </c>
      <c r="R53" s="145">
        <f t="shared" si="76"/>
        <v>0.49321970988704006</v>
      </c>
      <c r="S53" s="145">
        <f t="shared" si="76"/>
        <v>0.36574211165248421</v>
      </c>
      <c r="T53" s="145">
        <f t="shared" si="76"/>
        <v>6.4585977319805851E-2</v>
      </c>
      <c r="U53" s="145">
        <f t="shared" si="76"/>
        <v>0.12353296794818817</v>
      </c>
      <c r="V53" s="145">
        <f t="shared" si="76"/>
        <v>0.10495768141656039</v>
      </c>
      <c r="W53" s="145" t="e">
        <f t="shared" si="76"/>
        <v>#DIV/0!</v>
      </c>
      <c r="X53" s="145" t="e">
        <f t="shared" si="76"/>
        <v>#DIV/0!</v>
      </c>
      <c r="Y53" s="145" t="e">
        <f t="shared" si="76"/>
        <v>#DIV/0!</v>
      </c>
      <c r="Z53" s="145" t="e">
        <f t="shared" si="76"/>
        <v>#DIV/0!</v>
      </c>
      <c r="AA53" s="145" t="e">
        <f t="shared" si="76"/>
        <v>#DIV/0!</v>
      </c>
      <c r="AB53" s="145" t="e">
        <f t="shared" si="76"/>
        <v>#DIV/0!</v>
      </c>
      <c r="AC53" s="145" t="e">
        <f t="shared" si="76"/>
        <v>#DIV/0!</v>
      </c>
      <c r="AD53" s="145" t="e">
        <f t="shared" si="76"/>
        <v>#DIV/0!</v>
      </c>
      <c r="AE53" s="145" t="e">
        <f t="shared" si="76"/>
        <v>#DIV/0!</v>
      </c>
      <c r="AF53" s="145" t="e">
        <f t="shared" si="76"/>
        <v>#DIV/0!</v>
      </c>
      <c r="AG53" s="145" t="e">
        <f t="shared" si="76"/>
        <v>#DIV/0!</v>
      </c>
      <c r="AH53" s="145" t="e">
        <f t="shared" si="76"/>
        <v>#DIV/0!</v>
      </c>
      <c r="AI53" s="145" t="e">
        <f t="shared" si="76"/>
        <v>#DIV/0!</v>
      </c>
      <c r="AJ53" s="145" t="e">
        <f t="shared" si="76"/>
        <v>#DIV/0!</v>
      </c>
      <c r="AK53" s="145" t="e">
        <f t="shared" si="76"/>
        <v>#DIV/0!</v>
      </c>
    </row>
    <row r="54" spans="1:37" s="3" customFormat="1" x14ac:dyDescent="0.35">
      <c r="A54" s="64" t="s">
        <v>2</v>
      </c>
      <c r="B54" s="145">
        <f t="shared" ref="B54:M54" si="77">B48</f>
        <v>4.276442316379421E-2</v>
      </c>
      <c r="C54" s="145">
        <f t="shared" si="77"/>
        <v>4.6488887098279363E-2</v>
      </c>
      <c r="D54" s="145">
        <f t="shared" si="77"/>
        <v>2.2960058516367659E-2</v>
      </c>
      <c r="E54" s="145">
        <f t="shared" si="77"/>
        <v>7.6917985125865632E-2</v>
      </c>
      <c r="F54" s="145">
        <f t="shared" si="77"/>
        <v>0.1591751759227984</v>
      </c>
      <c r="G54" s="145">
        <f t="shared" si="77"/>
        <v>0.20763651774163097</v>
      </c>
      <c r="H54" s="145">
        <f t="shared" si="77"/>
        <v>0.26404273179510357</v>
      </c>
      <c r="I54" s="145">
        <f t="shared" si="77"/>
        <v>2.2429365077117007E-2</v>
      </c>
      <c r="J54" s="145">
        <f t="shared" si="77"/>
        <v>2.8031715659422689E-2</v>
      </c>
      <c r="K54" s="145">
        <f t="shared" si="77"/>
        <v>1.818710890095912E-2</v>
      </c>
      <c r="L54" s="145">
        <f t="shared" si="77"/>
        <v>5.0266378149672428E-2</v>
      </c>
      <c r="M54" s="145">
        <f t="shared" si="77"/>
        <v>3.6035558158829202E-2</v>
      </c>
      <c r="N54" s="145"/>
      <c r="O54" s="145">
        <f t="shared" ref="O54:AK54" si="78">O48</f>
        <v>0.1532669746300272</v>
      </c>
      <c r="P54" s="145">
        <f t="shared" si="78"/>
        <v>0.2477904581094193</v>
      </c>
      <c r="Q54" s="145">
        <f t="shared" si="78"/>
        <v>2.7287796671040462E-2</v>
      </c>
      <c r="R54" s="145">
        <f t="shared" si="78"/>
        <v>6.643511617387475E-2</v>
      </c>
      <c r="S54" s="145">
        <f t="shared" si="78"/>
        <v>0.11197622603214526</v>
      </c>
      <c r="T54" s="145">
        <f t="shared" si="78"/>
        <v>1.7329110883936297E-2</v>
      </c>
      <c r="U54" s="145">
        <f t="shared" si="78"/>
        <v>3.4910277817332171E-2</v>
      </c>
      <c r="V54" s="145">
        <f t="shared" si="78"/>
        <v>2.5876987936757322E-2</v>
      </c>
      <c r="W54" s="145" t="e">
        <f t="shared" si="78"/>
        <v>#DIV/0!</v>
      </c>
      <c r="X54" s="145" t="e">
        <f t="shared" si="78"/>
        <v>#DIV/0!</v>
      </c>
      <c r="Y54" s="145" t="e">
        <f t="shared" si="78"/>
        <v>#DIV/0!</v>
      </c>
      <c r="Z54" s="145" t="e">
        <f t="shared" si="78"/>
        <v>#DIV/0!</v>
      </c>
      <c r="AA54" s="145" t="e">
        <f t="shared" si="78"/>
        <v>#DIV/0!</v>
      </c>
      <c r="AB54" s="145" t="e">
        <f t="shared" si="78"/>
        <v>#DIV/0!</v>
      </c>
      <c r="AC54" s="145" t="e">
        <f t="shared" si="78"/>
        <v>#DIV/0!</v>
      </c>
      <c r="AD54" s="145" t="e">
        <f t="shared" si="78"/>
        <v>#DIV/0!</v>
      </c>
      <c r="AE54" s="145" t="e">
        <f t="shared" si="78"/>
        <v>#DIV/0!</v>
      </c>
      <c r="AF54" s="145" t="e">
        <f t="shared" si="78"/>
        <v>#DIV/0!</v>
      </c>
      <c r="AG54" s="145" t="e">
        <f t="shared" si="78"/>
        <v>#DIV/0!</v>
      </c>
      <c r="AH54" s="145" t="e">
        <f t="shared" si="78"/>
        <v>#DIV/0!</v>
      </c>
      <c r="AI54" s="145" t="e">
        <f t="shared" si="78"/>
        <v>#DIV/0!</v>
      </c>
      <c r="AJ54" s="145" t="e">
        <f t="shared" si="78"/>
        <v>#DIV/0!</v>
      </c>
      <c r="AK54" s="145" t="e">
        <f t="shared" si="78"/>
        <v>#DIV/0!</v>
      </c>
    </row>
    <row r="55" spans="1:37" s="3" customFormat="1" x14ac:dyDescent="0.35">
      <c r="A55" s="64" t="s">
        <v>79</v>
      </c>
      <c r="B55" s="145">
        <f t="shared" ref="B55:M55" si="79">(B53*100/$B$53)-100</f>
        <v>0</v>
      </c>
      <c r="C55" s="145">
        <f t="shared" si="79"/>
        <v>-22.453138100283326</v>
      </c>
      <c r="D55" s="145">
        <f t="shared" si="79"/>
        <v>-6.6190883191122225</v>
      </c>
      <c r="E55" s="145">
        <f t="shared" si="79"/>
        <v>179.76086827518617</v>
      </c>
      <c r="F55" s="145">
        <f t="shared" si="79"/>
        <v>580.99000822806397</v>
      </c>
      <c r="G55" s="145">
        <f t="shared" si="79"/>
        <v>1406.6622616430775</v>
      </c>
      <c r="H55" s="145">
        <f t="shared" si="79"/>
        <v>2615.0325290959795</v>
      </c>
      <c r="I55" s="145">
        <f t="shared" si="79"/>
        <v>9.2153535544028387</v>
      </c>
      <c r="J55" s="145">
        <f t="shared" si="79"/>
        <v>10.62040507791481</v>
      </c>
      <c r="K55" s="145">
        <f t="shared" si="79"/>
        <v>-10.147578881935132</v>
      </c>
      <c r="L55" s="145">
        <f t="shared" si="79"/>
        <v>7.6677998455156313</v>
      </c>
      <c r="M55" s="145">
        <f t="shared" si="79"/>
        <v>9.0520956550400911</v>
      </c>
      <c r="N55" s="145"/>
      <c r="O55" s="145">
        <f>(O53*100/$O$53)-100</f>
        <v>0</v>
      </c>
      <c r="P55" s="145">
        <f t="shared" ref="P55:AK55" si="80">(P53*100/$O$53)-100</f>
        <v>60.606766340033317</v>
      </c>
      <c r="Q55" s="145">
        <f t="shared" si="80"/>
        <v>-92.533212719092518</v>
      </c>
      <c r="R55" s="145">
        <f t="shared" si="80"/>
        <v>-50.67802901129599</v>
      </c>
      <c r="S55" s="145">
        <f t="shared" si="80"/>
        <v>-63.425788834751572</v>
      </c>
      <c r="T55" s="145">
        <f t="shared" si="80"/>
        <v>-93.541402268019411</v>
      </c>
      <c r="U55" s="145">
        <f t="shared" si="80"/>
        <v>-87.646703205181183</v>
      </c>
      <c r="V55" s="145">
        <f t="shared" si="80"/>
        <v>-89.504231858343957</v>
      </c>
      <c r="W55" s="145" t="e">
        <f t="shared" si="80"/>
        <v>#DIV/0!</v>
      </c>
      <c r="X55" s="145" t="e">
        <f t="shared" si="80"/>
        <v>#DIV/0!</v>
      </c>
      <c r="Y55" s="145" t="e">
        <f t="shared" si="80"/>
        <v>#DIV/0!</v>
      </c>
      <c r="Z55" s="145" t="e">
        <f t="shared" si="80"/>
        <v>#DIV/0!</v>
      </c>
      <c r="AA55" s="145" t="e">
        <f t="shared" si="80"/>
        <v>#DIV/0!</v>
      </c>
      <c r="AB55" s="145" t="e">
        <f t="shared" si="80"/>
        <v>#DIV/0!</v>
      </c>
      <c r="AC55" s="145" t="e">
        <f t="shared" si="80"/>
        <v>#DIV/0!</v>
      </c>
      <c r="AD55" s="145" t="e">
        <f t="shared" si="80"/>
        <v>#DIV/0!</v>
      </c>
      <c r="AE55" s="145" t="e">
        <f t="shared" si="80"/>
        <v>#DIV/0!</v>
      </c>
      <c r="AF55" s="145" t="e">
        <f t="shared" si="80"/>
        <v>#DIV/0!</v>
      </c>
      <c r="AG55" s="145" t="e">
        <f t="shared" si="80"/>
        <v>#DIV/0!</v>
      </c>
      <c r="AH55" s="145" t="e">
        <f t="shared" si="80"/>
        <v>#DIV/0!</v>
      </c>
      <c r="AI55" s="145" t="e">
        <f t="shared" si="80"/>
        <v>#DIV/0!</v>
      </c>
      <c r="AJ55" s="145" t="e">
        <f t="shared" si="80"/>
        <v>#DIV/0!</v>
      </c>
      <c r="AK55" s="145" t="e">
        <f t="shared" si="80"/>
        <v>#DIV/0!</v>
      </c>
    </row>
    <row r="56" spans="1:37" s="3" customFormat="1" x14ac:dyDescent="0.35">
      <c r="A56" s="64" t="s">
        <v>81</v>
      </c>
      <c r="B56" s="145">
        <f>[1]!SWTEST(B28:B43)</f>
        <v>9.5636266117612445E-3</v>
      </c>
      <c r="C56" s="145">
        <f>[1]!SWTEST(C28:C43)</f>
        <v>1.5747737602511691E-4</v>
      </c>
      <c r="D56" s="145">
        <f>[1]!SWTEST(D28:D43)</f>
        <v>0.20413809743276246</v>
      </c>
      <c r="E56" s="145">
        <f>[1]!SWTEST(E28:E43)</f>
        <v>0.452702735106423</v>
      </c>
      <c r="F56" s="145">
        <f>[1]!SWTEST(F28:F43)</f>
        <v>0.95315989332880535</v>
      </c>
      <c r="G56" s="145">
        <f>[1]!SWTEST(G28:G43)</f>
        <v>0.68281755628993912</v>
      </c>
      <c r="H56" s="145">
        <f>[1]!SWTEST(H28:H43)</f>
        <v>0.20514780160378066</v>
      </c>
      <c r="I56" s="145">
        <f>[1]!SWTEST(I28:I43)</f>
        <v>0.49406911506422091</v>
      </c>
      <c r="J56" s="145">
        <f>[1]!SWTEST(J28:J43)</f>
        <v>0.6956072807307101</v>
      </c>
      <c r="K56" s="145">
        <f>[1]!SWTEST(K28:K43)</f>
        <v>0.97303321500615003</v>
      </c>
      <c r="L56" s="145">
        <f>[1]!SWTEST(L28:L43)</f>
        <v>6.6032851099526724E-3</v>
      </c>
      <c r="M56" s="145">
        <f>[1]!SWTEST(M28:M43)</f>
        <v>5.0119227730576421E-2</v>
      </c>
      <c r="N56" s="145"/>
      <c r="O56" s="145">
        <f>[1]!SWTEST(O28:O43)</f>
        <v>0.53831945185030894</v>
      </c>
      <c r="P56" s="145">
        <f>[1]!SWTEST(P28:P43)</f>
        <v>1.3047932779616245E-3</v>
      </c>
      <c r="Q56" s="145">
        <f>[1]!SWTEST(Q28:Q43)</f>
        <v>6.3734899535904721E-2</v>
      </c>
      <c r="R56" s="145">
        <f>[1]!SWTEST(R28:R43)</f>
        <v>0.30017737649689313</v>
      </c>
      <c r="S56" s="145">
        <f>[1]!SWTEST(S28:S43)</f>
        <v>0.16100054435568001</v>
      </c>
      <c r="T56" s="145">
        <f>[1]!SWTEST(T28:T43)</f>
        <v>0.69602877009352337</v>
      </c>
      <c r="U56" s="145">
        <f>[1]!SWTEST(U28:U43)</f>
        <v>0.31565047505906441</v>
      </c>
      <c r="V56" s="145">
        <f>[1]!SWTEST(V28:V43)</f>
        <v>0.70677839550827748</v>
      </c>
      <c r="W56" s="145" t="e">
        <f ca="1">[2]!SWTEST(W28:W43)</f>
        <v>#NAME?</v>
      </c>
      <c r="X56" s="145" t="e">
        <f ca="1">[2]!SWTEST(X28:X43)</f>
        <v>#NAME?</v>
      </c>
      <c r="Y56" s="145" t="e">
        <f ca="1">[2]!SWTEST(Y28:Y43)</f>
        <v>#NAME?</v>
      </c>
      <c r="Z56" s="145" t="e">
        <f ca="1">[2]!SWTEST(Z28:Z43)</f>
        <v>#NAME?</v>
      </c>
      <c r="AA56" s="145" t="e">
        <f ca="1">[2]!SWTEST(AA28:AA43)</f>
        <v>#NAME?</v>
      </c>
      <c r="AB56" s="145" t="e">
        <f ca="1">[2]!SWTEST(AB28:AB43)</f>
        <v>#NAME?</v>
      </c>
      <c r="AC56" s="145" t="e">
        <f ca="1">[2]!SWTEST(AC28:AC43)</f>
        <v>#NAME?</v>
      </c>
      <c r="AD56" s="145" t="e">
        <f ca="1">[2]!SWTEST(AD28:AD43)</f>
        <v>#NAME?</v>
      </c>
      <c r="AE56" s="145" t="e">
        <f ca="1">[2]!SWTEST(AE28:AE43)</f>
        <v>#NAME?</v>
      </c>
      <c r="AF56" s="145" t="e">
        <f ca="1">[2]!SWTEST(AF28:AF43)</f>
        <v>#NAME?</v>
      </c>
      <c r="AG56" s="145" t="e">
        <f ca="1">[2]!SWTEST(AG28:AG43)</f>
        <v>#NAME?</v>
      </c>
      <c r="AH56" s="145" t="e">
        <f ca="1">[2]!SWTEST(AH28:AH43)</f>
        <v>#NAME?</v>
      </c>
      <c r="AI56" s="145" t="e">
        <f ca="1">[2]!SWTEST(AI28:AI43)</f>
        <v>#NAME?</v>
      </c>
      <c r="AJ56" s="145" t="e">
        <f ca="1">[2]!SWTEST(AJ28:AJ43)</f>
        <v>#NAME?</v>
      </c>
      <c r="AK56" s="145" t="e">
        <f ca="1">[2]!SWTEST(AK28:AK43)</f>
        <v>#NAME?</v>
      </c>
    </row>
    <row r="57" spans="1:37" s="3" customFormat="1" x14ac:dyDescent="0.35">
      <c r="A57" s="64" t="s">
        <v>85</v>
      </c>
      <c r="B57" s="145" t="str">
        <f t="shared" ref="B57:M57" si="81">IF(B56&gt;0.05,"Oui","Non")</f>
        <v>Non</v>
      </c>
      <c r="C57" s="145" t="str">
        <f t="shared" si="81"/>
        <v>Non</v>
      </c>
      <c r="D57" s="145" t="str">
        <f t="shared" si="81"/>
        <v>Oui</v>
      </c>
      <c r="E57" s="145" t="str">
        <f t="shared" si="81"/>
        <v>Oui</v>
      </c>
      <c r="F57" s="145" t="str">
        <f t="shared" si="81"/>
        <v>Oui</v>
      </c>
      <c r="G57" s="145" t="str">
        <f t="shared" si="81"/>
        <v>Oui</v>
      </c>
      <c r="H57" s="145" t="str">
        <f t="shared" si="81"/>
        <v>Oui</v>
      </c>
      <c r="I57" s="145" t="str">
        <f t="shared" si="81"/>
        <v>Oui</v>
      </c>
      <c r="J57" s="145" t="str">
        <f t="shared" si="81"/>
        <v>Oui</v>
      </c>
      <c r="K57" s="145" t="str">
        <f t="shared" si="81"/>
        <v>Oui</v>
      </c>
      <c r="L57" s="145" t="str">
        <f t="shared" si="81"/>
        <v>Non</v>
      </c>
      <c r="M57" s="145" t="str">
        <f t="shared" si="81"/>
        <v>Oui</v>
      </c>
      <c r="N57" s="145"/>
      <c r="O57" s="145" t="str">
        <f t="shared" ref="O57:AK57" si="82">IF(O56&gt;0.05,"Oui","Non")</f>
        <v>Oui</v>
      </c>
      <c r="P57" s="145" t="str">
        <f t="shared" si="82"/>
        <v>Non</v>
      </c>
      <c r="Q57" s="145" t="str">
        <f t="shared" si="82"/>
        <v>Oui</v>
      </c>
      <c r="R57" s="145" t="str">
        <f t="shared" si="82"/>
        <v>Oui</v>
      </c>
      <c r="S57" s="145" t="str">
        <f t="shared" si="82"/>
        <v>Oui</v>
      </c>
      <c r="T57" s="145" t="str">
        <f t="shared" si="82"/>
        <v>Oui</v>
      </c>
      <c r="U57" s="145" t="str">
        <f t="shared" si="82"/>
        <v>Oui</v>
      </c>
      <c r="V57" s="145" t="str">
        <f t="shared" si="82"/>
        <v>Oui</v>
      </c>
      <c r="W57" s="145" t="e">
        <f t="shared" ca="1" si="82"/>
        <v>#NAME?</v>
      </c>
      <c r="X57" s="145" t="e">
        <f t="shared" ca="1" si="82"/>
        <v>#NAME?</v>
      </c>
      <c r="Y57" s="145" t="e">
        <f t="shared" ca="1" si="82"/>
        <v>#NAME?</v>
      </c>
      <c r="Z57" s="145" t="e">
        <f t="shared" ca="1" si="82"/>
        <v>#NAME?</v>
      </c>
      <c r="AA57" s="145" t="e">
        <f t="shared" ca="1" si="82"/>
        <v>#NAME?</v>
      </c>
      <c r="AB57" s="145" t="e">
        <f t="shared" ca="1" si="82"/>
        <v>#NAME?</v>
      </c>
      <c r="AC57" s="145" t="e">
        <f t="shared" ca="1" si="82"/>
        <v>#NAME?</v>
      </c>
      <c r="AD57" s="145" t="e">
        <f t="shared" ca="1" si="82"/>
        <v>#NAME?</v>
      </c>
      <c r="AE57" s="145" t="e">
        <f t="shared" ca="1" si="82"/>
        <v>#NAME?</v>
      </c>
      <c r="AF57" s="145" t="e">
        <f t="shared" ca="1" si="82"/>
        <v>#NAME?</v>
      </c>
      <c r="AG57" s="145" t="e">
        <f t="shared" ca="1" si="82"/>
        <v>#NAME?</v>
      </c>
      <c r="AH57" s="145" t="e">
        <f t="shared" ca="1" si="82"/>
        <v>#NAME?</v>
      </c>
      <c r="AI57" s="145" t="e">
        <f t="shared" ca="1" si="82"/>
        <v>#NAME?</v>
      </c>
      <c r="AJ57" s="145" t="e">
        <f t="shared" ca="1" si="82"/>
        <v>#NAME?</v>
      </c>
      <c r="AK57" s="145" t="e">
        <f t="shared" ca="1" si="82"/>
        <v>#NAME?</v>
      </c>
    </row>
    <row r="58" spans="1:37" s="3" customFormat="1" x14ac:dyDescent="0.3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35">
      <c r="A59" s="64" t="s">
        <v>82</v>
      </c>
      <c r="B59" s="156"/>
      <c r="C59" s="156" t="str">
        <f t="shared" ref="C59:M59" si="83">IF($B57="Non",IF(C$57="Non","Mann Withney",IF(C$57="Oui","Mann Withney","")),IF($B$57="Oui",IF(C$57="Oui","T-Test Welch",IF(C$57="Non","Mann Withney",""))))</f>
        <v>Mann Withney</v>
      </c>
      <c r="D59" s="156" t="str">
        <f t="shared" si="83"/>
        <v>Mann Withney</v>
      </c>
      <c r="E59" s="156" t="str">
        <f t="shared" si="83"/>
        <v>Mann Withney</v>
      </c>
      <c r="F59" s="156" t="str">
        <f t="shared" si="83"/>
        <v>Mann Withney</v>
      </c>
      <c r="G59" s="156" t="str">
        <f t="shared" si="83"/>
        <v>Mann Withney</v>
      </c>
      <c r="H59" s="156" t="str">
        <f t="shared" si="83"/>
        <v>Mann Withney</v>
      </c>
      <c r="I59" s="156" t="str">
        <f t="shared" si="83"/>
        <v>Mann Withney</v>
      </c>
      <c r="J59" s="156" t="str">
        <f t="shared" si="83"/>
        <v>Mann Withney</v>
      </c>
      <c r="K59" s="156" t="str">
        <f t="shared" si="83"/>
        <v>Mann Withney</v>
      </c>
      <c r="L59" s="156" t="str">
        <f t="shared" si="83"/>
        <v>Mann Withney</v>
      </c>
      <c r="M59" s="156" t="str">
        <f t="shared" si="83"/>
        <v>Mann Withney</v>
      </c>
      <c r="N59" s="156"/>
      <c r="O59" s="156" t="str">
        <f>IF($B57="Non",IF(O$57="Non","Mann Withney",IF(O$57="Oui","Mann Withney","")),IF($B$57="Oui",IF(O$57="Oui","T-Test Welch",IF(O$57="Non","Mann Withney",""))))</f>
        <v>Mann Withney</v>
      </c>
      <c r="P59" s="156" t="str">
        <f>IF($O57="Non",IF(P$57="Non","Mann Withney",IF(P$57="Oui","Mann Withney","")),IF($O$57="Oui",IF(P$57="Oui","T-Test Welch",IF(P$57="Non","Mann Withney",""))))</f>
        <v>Mann Withney</v>
      </c>
      <c r="Q59" s="156" t="str">
        <f t="shared" ref="Q59:AK59" si="84">IF($O57="Non",IF(Q$57="Non","Mann Withney",IF(Q$57="Oui","Mann Withney","")),IF($O$57="Oui",IF(Q$57="Oui","T-Test Welch",IF(Q$57="Non","Mann Withney",""))))</f>
        <v>T-Test Welch</v>
      </c>
      <c r="R59" s="156" t="str">
        <f t="shared" si="84"/>
        <v>T-Test Welch</v>
      </c>
      <c r="S59" s="156" t="str">
        <f t="shared" si="84"/>
        <v>T-Test Welch</v>
      </c>
      <c r="T59" s="156" t="str">
        <f t="shared" si="84"/>
        <v>T-Test Welch</v>
      </c>
      <c r="U59" s="156" t="str">
        <f t="shared" si="84"/>
        <v>T-Test Welch</v>
      </c>
      <c r="V59" s="156" t="str">
        <f t="shared" si="84"/>
        <v>T-Test Welch</v>
      </c>
      <c r="W59" s="156" t="e">
        <f t="shared" ca="1" si="84"/>
        <v>#NAME?</v>
      </c>
      <c r="X59" s="156" t="e">
        <f t="shared" ca="1" si="84"/>
        <v>#NAME?</v>
      </c>
      <c r="Y59" s="156" t="e">
        <f t="shared" ca="1" si="84"/>
        <v>#NAME?</v>
      </c>
      <c r="Z59" s="156" t="e">
        <f t="shared" ca="1" si="84"/>
        <v>#NAME?</v>
      </c>
      <c r="AA59" s="156" t="e">
        <f t="shared" ca="1" si="84"/>
        <v>#NAME?</v>
      </c>
      <c r="AB59" s="156" t="e">
        <f t="shared" ca="1" si="84"/>
        <v>#NAME?</v>
      </c>
      <c r="AC59" s="156" t="e">
        <f t="shared" ca="1" si="84"/>
        <v>#NAME?</v>
      </c>
      <c r="AD59" s="156" t="e">
        <f t="shared" ca="1" si="84"/>
        <v>#NAME?</v>
      </c>
      <c r="AE59" s="156" t="e">
        <f t="shared" ca="1" si="84"/>
        <v>#NAME?</v>
      </c>
      <c r="AF59" s="156" t="e">
        <f t="shared" ca="1" si="84"/>
        <v>#NAME?</v>
      </c>
      <c r="AG59" s="156" t="e">
        <f t="shared" ca="1" si="84"/>
        <v>#NAME?</v>
      </c>
      <c r="AH59" s="156" t="e">
        <f t="shared" ca="1" si="84"/>
        <v>#NAME?</v>
      </c>
      <c r="AI59" s="156" t="e">
        <f t="shared" ca="1" si="84"/>
        <v>#NAME?</v>
      </c>
      <c r="AJ59" s="156" t="e">
        <f t="shared" ca="1" si="84"/>
        <v>#NAME?</v>
      </c>
      <c r="AK59" s="156" t="e">
        <f t="shared" ca="1" si="84"/>
        <v>#NAME?</v>
      </c>
    </row>
    <row r="60" spans="1:37" s="3" customFormat="1" x14ac:dyDescent="0.35">
      <c r="A60" s="64" t="s">
        <v>83</v>
      </c>
      <c r="B60" s="157"/>
      <c r="C60" s="157">
        <f>IF(C59="Mann Withney",[1]!MTEST($B28:$B43,C28:C43,2), IF(C59="T-Test Welch",_xlfn.T.TEST($B28:$B43,C28:C43,2,3),""))</f>
        <v>0.75271380626305229</v>
      </c>
      <c r="D60" s="157">
        <f>IF(D59="Mann Withney",[1]!MTEST($B28:$B43,D28:D43,2), IF(D59="T-Test Welch",_xlfn.T.TEST($B28:$B43,D28:D43,2,3),""))</f>
        <v>0.75271380626305229</v>
      </c>
      <c r="E60" s="157">
        <f>IF(E59="Mann Withney",[1]!MTEST($B28:$B43,E28:E43,2), IF(E59="T-Test Welch",_xlfn.T.TEST($B28:$B43,E28:E43,2,3),""))</f>
        <v>4.599936687503714E-2</v>
      </c>
      <c r="F60" s="157">
        <f>IF(F59="Mann Withney",[1]!MTEST($B28:$B43,F28:F43,2), IF(F59="T-Test Welch",_xlfn.T.TEST($B28:$B43,F28:F43,2,3),""))</f>
        <v>2.3220945158779482E-3</v>
      </c>
      <c r="G60" s="157">
        <f>IF(G59="Mann Withney",[1]!MTEST($B28:$B43,G28:G43,2), IF(G59="T-Test Welch",_xlfn.T.TEST($B28:$B43,G28:G43,2,3),""))</f>
        <v>1.1937454448720519E-3</v>
      </c>
      <c r="H60" s="157">
        <f>IF(H59="Mann Withney",[1]!MTEST($B28:$B43,H28:H43,2), IF(H59="T-Test Welch",_xlfn.T.TEST($B28:$B43,H28:H43,2,3),""))</f>
        <v>7.7753044694039986E-4</v>
      </c>
      <c r="I60" s="157">
        <f>IF(I59="Mann Withney",[1]!MTEST($B28:$B43,I28:I43,2), IF(I59="T-Test Welch",_xlfn.T.TEST($B28:$B43,I28:I43,2,3),""))</f>
        <v>0.29762146789111621</v>
      </c>
      <c r="J60" s="157">
        <f>IF(J59="Mann Withney",[1]!MTEST($B28:$B43,J28:J43,2), IF(J59="T-Test Welch",_xlfn.T.TEST($B28:$B43,J28:J43,2,3),""))</f>
        <v>0.52861212525568768</v>
      </c>
      <c r="K60" s="157">
        <f>IF(K59="Mann Withney",[1]!MTEST($B28:$B43,K28:K43,2), IF(K59="T-Test Welch",_xlfn.T.TEST($B28:$B43,K28:K43,2,3),""))</f>
        <v>0.59951017856000322</v>
      </c>
      <c r="L60" s="157">
        <f>IF(L59="Mann Withney",[1]!MTEST($B28:$B43,L28:L43,2), IF(L59="T-Test Welch",_xlfn.T.TEST($B28:$B43,L28:L43,2,3),""))</f>
        <v>0.48745329036403495</v>
      </c>
      <c r="M60" s="157">
        <f>IF(M59="Mann Withney",[1]!MTEST($B28:$B43,M28:M43,2), IF(M59="T-Test Welch",_xlfn.T.TEST($B28:$B43,M28:M43,2,3),""))</f>
        <v>0.40081416938293457</v>
      </c>
      <c r="N60" s="157"/>
      <c r="O60" s="157">
        <f>IF(O59="Mann Withney",[1]!MTEST($B28:$B43,O28:O43,2), IF(O59="T-Test Welch",_xlfn.T.TEST($B28:$B43,O28:O43,2,3),""))</f>
        <v>1.7895728484755846E-3</v>
      </c>
      <c r="P60" s="157">
        <f>IF(P59="Mann Withney",[1]!MTEST($O28:$O43,P28:P43,2), IF(P59="T-Test Welch",_xlfn.T.TEST($O28:$O43,P28:P43,2,3),""))</f>
        <v>8.6410732973700055E-2</v>
      </c>
      <c r="Q60" s="157">
        <f>IF(Q59="Mann Withney",[1]!MTEST($O28:$O43,Q28:Q43,2), IF(Q59="T-Test Welch",_xlfn.T.TEST($O28:$O43,Q28:Q43,2,3),""))</f>
        <v>2.0966482393559772E-5</v>
      </c>
      <c r="R60" s="157">
        <f>IF(R59="Mann Withney",[1]!MTEST($O28:$O43,R28:R43,2), IF(R59="T-Test Welch",_xlfn.T.TEST($O28:$O43,R28:R43,2,3),""))</f>
        <v>6.6417793527452059E-3</v>
      </c>
      <c r="S60" s="157">
        <f>IF(S59="Mann Withney",[1]!MTEST($O28:$O43,S28:S43,2), IF(S59="T-Test Welch",_xlfn.T.TEST($O28:$O43,S28:S43,2,3),""))</f>
        <v>2.9679111013075046E-3</v>
      </c>
      <c r="T60" s="157">
        <f>IF(T59="Mann Withney",[1]!MTEST($O28:$O43,T28:T43,2), IF(T59="T-Test Welch",_xlfn.T.TEST($O28:$O43,T28:T43,2,3),""))</f>
        <v>1.9441192864526798E-5</v>
      </c>
      <c r="U60" s="157">
        <f>IF(U59="Mann Withney",[1]!MTEST($O28:$O43,U28:U43,2), IF(U59="T-Test Welch",_xlfn.T.TEST($O28:$O43,U28:U43,2,3),""))</f>
        <v>3.7322974361606548E-5</v>
      </c>
      <c r="V60" s="157">
        <f>IF(V59="Mann Withney",[1]!MTEST($O28:$O43,V28:V43,2), IF(V59="T-Test Welch",_xlfn.T.TEST($O28:$O43,V28:V43,2,3),""))</f>
        <v>3.0542120347151251E-5</v>
      </c>
      <c r="W60" s="157" t="e">
        <f ca="1">IF(W59="Mann Withney",[2]!MTEST($O28:$O43,W28:W43,2), IF(W59="T-Test Welch",_xlfn.T.TEST($O28:$O43,W28:W43,2,3),""))</f>
        <v>#NAME?</v>
      </c>
      <c r="X60" s="157" t="e">
        <f ca="1">IF(X59="Mann Withney",[2]!MTEST($O28:$O43,X28:X43,2), IF(X59="T-Test Welch",_xlfn.T.TEST($O28:$O43,X28:X43,2,3),""))</f>
        <v>#NAME?</v>
      </c>
      <c r="Y60" s="157" t="e">
        <f ca="1">IF(Y59="Mann Withney",[2]!MTEST($O28:$O43,Y28:Y43,2), IF(Y59="T-Test Welch",_xlfn.T.TEST($O28:$O43,Y28:Y43,2,3),""))</f>
        <v>#NAME?</v>
      </c>
      <c r="Z60" s="157" t="e">
        <f ca="1">IF(Z59="Mann Withney",[2]!MTEST($O28:$O43,Z28:Z43,2), IF(Z59="T-Test Welch",_xlfn.T.TEST($O28:$O43,Z28:Z43,2,3),""))</f>
        <v>#NAME?</v>
      </c>
      <c r="AA60" s="157" t="e">
        <f ca="1">IF(AA59="Mann Withney",[2]!MTEST($O28:$O43,AA28:AA43,2), IF(AA59="T-Test Welch",_xlfn.T.TEST($O28:$O43,AA28:AA43,2,3),""))</f>
        <v>#NAME?</v>
      </c>
      <c r="AB60" s="157" t="e">
        <f ca="1">IF(AB59="Mann Withney",[2]!MTEST($O28:$O43,AB28:AB43,2), IF(AB59="T-Test Welch",_xlfn.T.TEST($O28:$O43,AB28:AB43,2,3),""))</f>
        <v>#NAME?</v>
      </c>
      <c r="AC60" s="157" t="e">
        <f ca="1">IF(AC59="Mann Withney",[2]!MTEST($O28:$O43,AC28:AC43,2), IF(AC59="T-Test Welch",_xlfn.T.TEST($O28:$O43,AC28:AC43,2,3),""))</f>
        <v>#NAME?</v>
      </c>
      <c r="AD60" s="157" t="e">
        <f ca="1">IF(AD59="Mann Withney",[2]!MTEST($O28:$O43,AD28:AD43,2), IF(AD59="T-Test Welch",_xlfn.T.TEST($O28:$O43,AD28:AD43,2,3),""))</f>
        <v>#NAME?</v>
      </c>
      <c r="AE60" s="157" t="e">
        <f ca="1">IF(AE59="Mann Withney",[2]!MTEST($O28:$O43,AE28:AE43,2), IF(AE59="T-Test Welch",_xlfn.T.TEST($O28:$O43,AE28:AE43,2,3),""))</f>
        <v>#NAME?</v>
      </c>
      <c r="AF60" s="157" t="e">
        <f ca="1">IF(AF59="Mann Withney",[2]!MTEST($O28:$O43,AF28:AF43,2), IF(AF59="T-Test Welch",_xlfn.T.TEST($O28:$O43,AF28:AF43,2,3),""))</f>
        <v>#NAME?</v>
      </c>
      <c r="AG60" s="157" t="e">
        <f ca="1">IF(AG59="Mann Withney",[2]!MTEST($O28:$O43,AG28:AG43,2), IF(AG59="T-Test Welch",_xlfn.T.TEST($O28:$O43,AG28:AG43,2,3),""))</f>
        <v>#NAME?</v>
      </c>
      <c r="AH60" s="157" t="e">
        <f ca="1">IF(AH59="Mann Withney",[2]!MTEST($O28:$O43,AH28:AH43,2), IF(AH59="T-Test Welch",_xlfn.T.TEST($O28:$O43,AH28:AH43,2,3),""))</f>
        <v>#NAME?</v>
      </c>
      <c r="AI60" s="157" t="e">
        <f ca="1">IF(AI59="Mann Withney",[2]!MTEST($O28:$O43,AI28:AI43,2), IF(AI59="T-Test Welch",_xlfn.T.TEST($O28:$O43,AI28:AI43,2,3),""))</f>
        <v>#NAME?</v>
      </c>
      <c r="AJ60" s="157" t="e">
        <f ca="1">IF(AJ59="Mann Withney",[2]!MTEST($O28:$O43,AJ28:AJ43,2), IF(AJ59="T-Test Welch",_xlfn.T.TEST($O28:$O43,AJ28:AJ43,2,3),""))</f>
        <v>#NAME?</v>
      </c>
      <c r="AK60" s="157" t="e">
        <f ca="1">IF(AK59="Mann Withney",[2]!MTEST($O28:$O43,AK28:AK43,2), IF(AK59="T-Test Welch",_xlfn.T.TEST($O28:$O43,AK28:AK43,2,3),""))</f>
        <v>#NAME?</v>
      </c>
    </row>
    <row r="61" spans="1:37" s="3" customFormat="1" ht="15" thickBot="1" x14ac:dyDescent="0.4">
      <c r="A61" s="65" t="s">
        <v>84</v>
      </c>
      <c r="B61" s="146"/>
      <c r="C61" s="146" t="str">
        <f t="shared" ref="C61:M61" si="85">IF(C60&gt;0.05,"NS",IF(C60&gt;0.01,"*",IF(C60&gt;0.001,"**","***")))</f>
        <v>NS</v>
      </c>
      <c r="D61" s="146" t="str">
        <f t="shared" si="85"/>
        <v>NS</v>
      </c>
      <c r="E61" s="146" t="str">
        <f t="shared" si="85"/>
        <v>*</v>
      </c>
      <c r="F61" s="146" t="str">
        <f t="shared" si="85"/>
        <v>**</v>
      </c>
      <c r="G61" s="146" t="str">
        <f t="shared" si="85"/>
        <v>**</v>
      </c>
      <c r="H61" s="146" t="str">
        <f t="shared" si="85"/>
        <v>***</v>
      </c>
      <c r="I61" s="146" t="str">
        <f t="shared" si="85"/>
        <v>NS</v>
      </c>
      <c r="J61" s="146" t="str">
        <f t="shared" si="85"/>
        <v>NS</v>
      </c>
      <c r="K61" s="146" t="str">
        <f t="shared" si="85"/>
        <v>NS</v>
      </c>
      <c r="L61" s="146" t="str">
        <f t="shared" si="85"/>
        <v>NS</v>
      </c>
      <c r="M61" s="146" t="str">
        <f t="shared" si="85"/>
        <v>NS</v>
      </c>
      <c r="N61" s="146"/>
      <c r="O61" s="146" t="str">
        <f>IF(O60&gt;0.05,"NS",IF(O60&gt;0.01,"*",IF(O60&gt;0.001,"**","***")))</f>
        <v>**</v>
      </c>
      <c r="P61" s="146" t="str">
        <f>IF(P60&gt;0.05,"NS",IF(P60&gt;0.01,"*",IF(P60&gt;0.001,"**","***")))</f>
        <v>NS</v>
      </c>
      <c r="Q61" s="146" t="str">
        <f t="shared" ref="Q61" si="86">IF(Q60&gt;0.05,"NS",IF(Q60&gt;0.01,"*",IF(Q60&gt;0.001,"**","***")))</f>
        <v>***</v>
      </c>
      <c r="R61" s="146" t="str">
        <f t="shared" ref="R61" si="87">IF(R60&gt;0.05,"NS",IF(R60&gt;0.01,"*",IF(R60&gt;0.001,"**","***")))</f>
        <v>**</v>
      </c>
      <c r="S61" s="146" t="str">
        <f t="shared" ref="S61" si="88">IF(S60&gt;0.05,"NS",IF(S60&gt;0.01,"*",IF(S60&gt;0.001,"**","***")))</f>
        <v>**</v>
      </c>
      <c r="T61" s="146" t="str">
        <f t="shared" ref="T61" si="89">IF(T60&gt;0.05,"NS",IF(T60&gt;0.01,"*",IF(T60&gt;0.001,"**","***")))</f>
        <v>***</v>
      </c>
      <c r="U61" s="146" t="str">
        <f t="shared" ref="U61" si="90">IF(U60&gt;0.05,"NS",IF(U60&gt;0.01,"*",IF(U60&gt;0.001,"**","***")))</f>
        <v>***</v>
      </c>
      <c r="V61" s="146" t="str">
        <f t="shared" ref="V61" si="91">IF(V60&gt;0.05,"NS",IF(V60&gt;0.01,"*",IF(V60&gt;0.001,"**","***")))</f>
        <v>***</v>
      </c>
      <c r="W61" s="146" t="e">
        <f t="shared" ref="W61" ca="1" si="92">IF(W60&gt;0.05,"NS",IF(W60&gt;0.01,"*",IF(W60&gt;0.001,"**","***")))</f>
        <v>#NAME?</v>
      </c>
      <c r="X61" s="146" t="e">
        <f t="shared" ref="X61" ca="1" si="93">IF(X60&gt;0.05,"NS",IF(X60&gt;0.01,"*",IF(X60&gt;0.001,"**","***")))</f>
        <v>#NAME?</v>
      </c>
      <c r="Y61" s="146" t="e">
        <f t="shared" ref="Y61" ca="1" si="94">IF(Y60&gt;0.05,"NS",IF(Y60&gt;0.01,"*",IF(Y60&gt;0.001,"**","***")))</f>
        <v>#NAME?</v>
      </c>
      <c r="Z61" s="146" t="e">
        <f t="shared" ref="Z61" ca="1" si="95">IF(Z60&gt;0.05,"NS",IF(Z60&gt;0.01,"*",IF(Z60&gt;0.001,"**","***")))</f>
        <v>#NAME?</v>
      </c>
      <c r="AA61" s="146" t="e">
        <f t="shared" ref="AA61" ca="1" si="96">IF(AA60&gt;0.05,"NS",IF(AA60&gt;0.01,"*",IF(AA60&gt;0.001,"**","***")))</f>
        <v>#NAME?</v>
      </c>
      <c r="AB61" s="146" t="e">
        <f t="shared" ref="AB61" ca="1" si="97">IF(AB60&gt;0.05,"NS",IF(AB60&gt;0.01,"*",IF(AB60&gt;0.001,"**","***")))</f>
        <v>#NAME?</v>
      </c>
      <c r="AC61" s="146" t="e">
        <f t="shared" ref="AC61" ca="1" si="98">IF(AC60&gt;0.05,"NS",IF(AC60&gt;0.01,"*",IF(AC60&gt;0.001,"**","***")))</f>
        <v>#NAME?</v>
      </c>
      <c r="AD61" s="146" t="e">
        <f t="shared" ref="AD61" ca="1" si="99">IF(AD60&gt;0.05,"NS",IF(AD60&gt;0.01,"*",IF(AD60&gt;0.001,"**","***")))</f>
        <v>#NAME?</v>
      </c>
      <c r="AE61" s="146" t="e">
        <f t="shared" ref="AE61" ca="1" si="100">IF(AE60&gt;0.05,"NS",IF(AE60&gt;0.01,"*",IF(AE60&gt;0.001,"**","***")))</f>
        <v>#NAME?</v>
      </c>
      <c r="AF61" s="146" t="e">
        <f t="shared" ref="AF61" ca="1" si="101">IF(AF60&gt;0.05,"NS",IF(AF60&gt;0.01,"*",IF(AF60&gt;0.001,"**","***")))</f>
        <v>#NAME?</v>
      </c>
      <c r="AG61" s="146" t="e">
        <f t="shared" ref="AG61" ca="1" si="102">IF(AG60&gt;0.05,"NS",IF(AG60&gt;0.01,"*",IF(AG60&gt;0.001,"**","***")))</f>
        <v>#NAME?</v>
      </c>
      <c r="AH61" s="146" t="e">
        <f t="shared" ref="AH61" ca="1" si="103">IF(AH60&gt;0.05,"NS",IF(AH60&gt;0.01,"*",IF(AH60&gt;0.001,"**","***")))</f>
        <v>#NAME?</v>
      </c>
      <c r="AI61" s="146" t="e">
        <f t="shared" ref="AI61" ca="1" si="104">IF(AI60&gt;0.05,"NS",IF(AI60&gt;0.01,"*",IF(AI60&gt;0.001,"**","***")))</f>
        <v>#NAME?</v>
      </c>
      <c r="AJ61" s="146" t="e">
        <f t="shared" ref="AJ61" ca="1" si="105">IF(AJ60&gt;0.05,"NS",IF(AJ60&gt;0.01,"*",IF(AJ60&gt;0.001,"**","***")))</f>
        <v>#NAME?</v>
      </c>
      <c r="AK61" s="146" t="e">
        <f t="shared" ref="AK61" ca="1" si="106">IF(AK60&gt;0.05,"NS",IF(AK60&gt;0.01,"*",IF(AK60&gt;0.001,"**","***")))</f>
        <v>#NAME?</v>
      </c>
    </row>
    <row r="63" spans="1:37" x14ac:dyDescent="0.35">
      <c r="A63" s="2" t="s">
        <v>39</v>
      </c>
    </row>
    <row r="64" spans="1:37" x14ac:dyDescent="0.35">
      <c r="A64" s="1" t="s">
        <v>23</v>
      </c>
      <c r="B64" s="1">
        <f>B46+(3*B47)</f>
        <v>0.46951773054843071</v>
      </c>
    </row>
    <row r="65" spans="1:37" x14ac:dyDescent="0.35">
      <c r="A65" s="1" t="s">
        <v>24</v>
      </c>
      <c r="B65" s="1">
        <f>B46+(10*B47)</f>
        <v>1.3162101117026295</v>
      </c>
    </row>
    <row r="66" spans="1:37" ht="15" thickBot="1" x14ac:dyDescent="0.4"/>
    <row r="67" spans="1:37" s="1" customFormat="1" ht="26.5" thickBot="1" x14ac:dyDescent="0.65">
      <c r="A67" s="225" t="s">
        <v>52</v>
      </c>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7"/>
    </row>
    <row r="68" spans="1:37" ht="16.5" x14ac:dyDescent="0.3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3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3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3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3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3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3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B5:I12" name="Plage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S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1574</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1603</v>
      </c>
      <c r="D2" s="1" t="s">
        <v>1604</v>
      </c>
      <c r="E2" s="1" t="s">
        <v>1605</v>
      </c>
      <c r="F2" s="1" t="s">
        <v>112</v>
      </c>
      <c r="G2" s="1">
        <v>50852</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1606</v>
      </c>
      <c r="D3" s="1" t="s">
        <v>1607</v>
      </c>
      <c r="E3" s="1" t="s">
        <v>1608</v>
      </c>
      <c r="F3" s="1" t="s">
        <v>112</v>
      </c>
      <c r="G3" s="1">
        <v>6727</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1609</v>
      </c>
      <c r="D4" s="1" t="s">
        <v>1610</v>
      </c>
      <c r="E4" s="1" t="s">
        <v>1611</v>
      </c>
      <c r="F4" s="1" t="s">
        <v>112</v>
      </c>
      <c r="G4" s="1">
        <v>20051</v>
      </c>
      <c r="K4" s="122" t="s">
        <v>100</v>
      </c>
      <c r="L4" s="1" t="s">
        <v>3002</v>
      </c>
      <c r="M4" s="1" t="s">
        <v>3003</v>
      </c>
      <c r="N4" s="1" t="s">
        <v>3004</v>
      </c>
      <c r="O4" s="1" t="s">
        <v>3005</v>
      </c>
      <c r="P4" s="1" t="s">
        <v>3006</v>
      </c>
      <c r="Q4" s="1" t="s">
        <v>3007</v>
      </c>
      <c r="R4" s="1" t="s">
        <v>3008</v>
      </c>
      <c r="S4" s="1" t="s">
        <v>3009</v>
      </c>
      <c r="T4" s="1" t="s">
        <v>3010</v>
      </c>
      <c r="U4" s="1" t="s">
        <v>3011</v>
      </c>
      <c r="V4" s="1" t="s">
        <v>3012</v>
      </c>
      <c r="W4" s="1" t="s">
        <v>3013</v>
      </c>
      <c r="X4" s="1" t="s">
        <v>3014</v>
      </c>
      <c r="Y4" s="1" t="s">
        <v>3015</v>
      </c>
      <c r="Z4" s="1" t="s">
        <v>3016</v>
      </c>
      <c r="AA4" s="1" t="s">
        <v>3017</v>
      </c>
      <c r="AB4" s="1" t="s">
        <v>3018</v>
      </c>
      <c r="AC4" s="1" t="s">
        <v>3019</v>
      </c>
      <c r="AD4" s="1" t="s">
        <v>3020</v>
      </c>
      <c r="AE4" s="1" t="s">
        <v>3021</v>
      </c>
      <c r="AF4" s="1" t="s">
        <v>3022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1612</v>
      </c>
      <c r="D5" s="1" t="s">
        <v>1613</v>
      </c>
      <c r="E5" s="1" t="s">
        <v>1614</v>
      </c>
      <c r="F5" s="1" t="s">
        <v>112</v>
      </c>
      <c r="G5" s="1">
        <v>78538</v>
      </c>
      <c r="K5" s="149" t="s">
        <v>164</v>
      </c>
      <c r="L5" s="44">
        <v>25876.666666666668</v>
      </c>
      <c r="M5" s="44">
        <v>201720.66666666666</v>
      </c>
      <c r="N5" s="44">
        <v>356237</v>
      </c>
      <c r="O5" s="44">
        <v>199067.33333333334</v>
      </c>
      <c r="P5" s="44">
        <v>487851.5</v>
      </c>
      <c r="Q5" s="44">
        <v>4809602</v>
      </c>
      <c r="R5" s="44">
        <v>5524549.333333333</v>
      </c>
      <c r="S5" s="44">
        <v>76757.666666666672</v>
      </c>
      <c r="T5" s="44">
        <v>145230.33333333334</v>
      </c>
      <c r="U5" s="44">
        <v>431855</v>
      </c>
      <c r="V5" s="44">
        <v>81494.333333333328</v>
      </c>
      <c r="W5" s="44">
        <v>27931.333333333332</v>
      </c>
      <c r="X5" s="44">
        <v>297418.33333333331</v>
      </c>
      <c r="Y5" s="44">
        <v>3086477.6666666665</v>
      </c>
      <c r="Z5" s="44">
        <v>4210598</v>
      </c>
      <c r="AA5" s="44">
        <v>245942.5</v>
      </c>
      <c r="AB5" s="44">
        <v>1812203</v>
      </c>
      <c r="AC5" s="44">
        <v>2368913.3333333335</v>
      </c>
      <c r="AD5" s="44">
        <v>14953.333333333334</v>
      </c>
      <c r="AE5" s="44">
        <v>54579.333333333336</v>
      </c>
      <c r="AF5" s="44">
        <v>1441142</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1615</v>
      </c>
      <c r="D6" s="1" t="s">
        <v>1616</v>
      </c>
      <c r="E6" s="1" t="s">
        <v>1617</v>
      </c>
      <c r="F6" s="1" t="s">
        <v>112</v>
      </c>
      <c r="G6" s="1">
        <v>274851</v>
      </c>
      <c r="K6" s="149" t="s">
        <v>1596</v>
      </c>
      <c r="L6" s="44">
        <v>160111.66666666666</v>
      </c>
      <c r="M6" s="44">
        <v>295024.66666666669</v>
      </c>
      <c r="N6" s="44">
        <v>139585</v>
      </c>
      <c r="O6" s="44">
        <v>712135.33333333337</v>
      </c>
      <c r="P6" s="44">
        <v>2939726</v>
      </c>
      <c r="Q6" s="44">
        <v>1491489.3333333333</v>
      </c>
      <c r="R6" s="44">
        <v>3387868.6666666665</v>
      </c>
      <c r="S6" s="44">
        <v>42409</v>
      </c>
      <c r="T6" s="44">
        <v>46864.666666666664</v>
      </c>
      <c r="U6" s="44">
        <v>79403.5</v>
      </c>
      <c r="V6" s="44">
        <v>176420.66666666666</v>
      </c>
      <c r="W6" s="44">
        <v>152512</v>
      </c>
      <c r="X6" s="44">
        <v>67543</v>
      </c>
      <c r="Y6" s="44">
        <v>1077082.3333333333</v>
      </c>
      <c r="Z6" s="44">
        <v>3006742.6666666665</v>
      </c>
      <c r="AA6" s="44">
        <v>275363</v>
      </c>
      <c r="AB6" s="44">
        <v>2145826</v>
      </c>
      <c r="AC6" s="44">
        <v>20764.666666666668</v>
      </c>
      <c r="AD6" s="44">
        <v>14729.666666666666</v>
      </c>
      <c r="AE6" s="44">
        <v>126189</v>
      </c>
      <c r="AF6" s="44">
        <v>240870.66666666666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1618</v>
      </c>
      <c r="D7" s="1" t="s">
        <v>1619</v>
      </c>
      <c r="E7" s="1" t="s">
        <v>1620</v>
      </c>
      <c r="F7" s="1" t="s">
        <v>112</v>
      </c>
      <c r="G7" s="1">
        <v>126946</v>
      </c>
      <c r="K7" s="149" t="s">
        <v>1597</v>
      </c>
      <c r="L7" s="44">
        <v>92922</v>
      </c>
      <c r="M7" s="44">
        <v>123716</v>
      </c>
      <c r="N7" s="44">
        <v>62366.333333333336</v>
      </c>
      <c r="O7" s="44">
        <v>124783</v>
      </c>
      <c r="P7" s="44">
        <v>1291968</v>
      </c>
      <c r="Q7" s="44">
        <v>1906293</v>
      </c>
      <c r="R7" s="44">
        <v>2097743</v>
      </c>
      <c r="S7" s="44">
        <v>48897.666666666664</v>
      </c>
      <c r="T7" s="44">
        <v>61818.333333333336</v>
      </c>
      <c r="U7" s="44">
        <v>331867.66666666669</v>
      </c>
      <c r="V7" s="44">
        <v>129455</v>
      </c>
      <c r="W7" s="44">
        <v>25501.666666666668</v>
      </c>
      <c r="X7" s="44">
        <v>2507950.3333333335</v>
      </c>
      <c r="Y7" s="44">
        <v>951210.66666666663</v>
      </c>
      <c r="Z7" s="44">
        <v>3371899</v>
      </c>
      <c r="AA7" s="44">
        <v>459981.33333333331</v>
      </c>
      <c r="AB7" s="44">
        <v>1789693.3333333333</v>
      </c>
      <c r="AC7" s="44">
        <v>1452721.6666666667</v>
      </c>
      <c r="AD7" s="44">
        <v>151099.33333333334</v>
      </c>
      <c r="AE7" s="44">
        <v>418185.33333333331</v>
      </c>
      <c r="AF7" s="44">
        <v>89230.333333333328</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1621</v>
      </c>
      <c r="D8" s="1" t="s">
        <v>1622</v>
      </c>
      <c r="E8" s="1" t="s">
        <v>1623</v>
      </c>
      <c r="F8" s="1" t="s">
        <v>112</v>
      </c>
      <c r="G8" s="1">
        <v>82410</v>
      </c>
      <c r="K8" s="149" t="s">
        <v>1598</v>
      </c>
      <c r="L8" s="44">
        <v>133146.33333333334</v>
      </c>
      <c r="M8" s="44">
        <v>12394</v>
      </c>
      <c r="N8" s="44">
        <v>98553</v>
      </c>
      <c r="O8" s="44">
        <v>735856</v>
      </c>
      <c r="P8" s="44">
        <v>658003</v>
      </c>
      <c r="Q8" s="44">
        <v>3401351.3333333335</v>
      </c>
      <c r="R8" s="44">
        <v>5787316.333333333</v>
      </c>
      <c r="S8" s="44">
        <v>129152.33333333333</v>
      </c>
      <c r="T8" s="44">
        <v>281498.66666666669</v>
      </c>
      <c r="U8" s="44">
        <v>103319</v>
      </c>
      <c r="V8" s="44">
        <v>75142.333333333328</v>
      </c>
      <c r="W8" s="44">
        <v>148337.66666666666</v>
      </c>
      <c r="X8" s="44">
        <v>3614377.3333333335</v>
      </c>
      <c r="Y8" s="44">
        <v>2804395</v>
      </c>
      <c r="Z8" s="44">
        <v>3408957.6666666665</v>
      </c>
      <c r="AA8" s="44">
        <v>151265</v>
      </c>
      <c r="AB8" s="44">
        <v>564728</v>
      </c>
      <c r="AC8" s="44">
        <v>21078.5</v>
      </c>
      <c r="AD8" s="44">
        <v>272443</v>
      </c>
      <c r="AE8" s="44">
        <v>103456</v>
      </c>
      <c r="AF8" s="44">
        <v>108510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1624</v>
      </c>
      <c r="D9" s="1" t="s">
        <v>1625</v>
      </c>
      <c r="E9" s="1" t="s">
        <v>1626</v>
      </c>
      <c r="F9" s="1" t="s">
        <v>112</v>
      </c>
      <c r="G9" s="1">
        <v>91711</v>
      </c>
      <c r="K9" s="149" t="s">
        <v>1599</v>
      </c>
      <c r="L9" s="44">
        <v>71212.666666666672</v>
      </c>
      <c r="M9" s="44">
        <v>132050.33333333334</v>
      </c>
      <c r="N9" s="44">
        <v>31637.666666666668</v>
      </c>
      <c r="O9" s="44">
        <v>218087</v>
      </c>
      <c r="P9" s="44">
        <v>1739519.3333333333</v>
      </c>
      <c r="Q9" s="44">
        <v>3693052</v>
      </c>
      <c r="R9" s="44">
        <v>3739491.6666666665</v>
      </c>
      <c r="S9" s="44">
        <v>178713.33333333334</v>
      </c>
      <c r="T9" s="44">
        <v>79403.666666666672</v>
      </c>
      <c r="U9" s="44">
        <v>507278.66666666669</v>
      </c>
      <c r="V9" s="44">
        <v>74097</v>
      </c>
      <c r="W9" s="44">
        <v>112165.66666666667</v>
      </c>
      <c r="X9" s="44">
        <v>3426305</v>
      </c>
      <c r="Y9" s="44">
        <v>2275364</v>
      </c>
      <c r="Z9" s="44">
        <v>1183451</v>
      </c>
      <c r="AA9" s="44">
        <v>385206.66666666669</v>
      </c>
      <c r="AB9" s="44">
        <v>2523076.6666666665</v>
      </c>
      <c r="AC9" s="44">
        <v>829614.33333333337</v>
      </c>
      <c r="AD9" s="44">
        <v>1062233.5</v>
      </c>
      <c r="AE9" s="44">
        <v>53152</v>
      </c>
      <c r="AF9" s="44">
        <v>195289.33333333334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1627</v>
      </c>
      <c r="D10" s="1" t="s">
        <v>1628</v>
      </c>
      <c r="E10" s="1" t="s">
        <v>1629</v>
      </c>
      <c r="F10" s="1" t="s">
        <v>112</v>
      </c>
      <c r="G10" s="1">
        <v>104645</v>
      </c>
      <c r="K10" s="149" t="s">
        <v>1600</v>
      </c>
      <c r="L10" s="44">
        <v>130522</v>
      </c>
      <c r="M10" s="44">
        <v>66216.333333333328</v>
      </c>
      <c r="N10" s="44">
        <v>31082.333333333332</v>
      </c>
      <c r="O10" s="44">
        <v>507307.33333333331</v>
      </c>
      <c r="P10" s="44">
        <v>753354.66666666663</v>
      </c>
      <c r="Q10" s="44">
        <v>4312741.666666667</v>
      </c>
      <c r="R10" s="44">
        <v>3701422.6666666665</v>
      </c>
      <c r="S10" s="44">
        <v>143139.33333333334</v>
      </c>
      <c r="T10" s="44">
        <v>92640.666666666672</v>
      </c>
      <c r="U10" s="44">
        <v>122144</v>
      </c>
      <c r="V10" s="44">
        <v>153536</v>
      </c>
      <c r="W10" s="44">
        <v>196442.66666666666</v>
      </c>
      <c r="X10" s="44">
        <v>1653930</v>
      </c>
      <c r="Y10" s="44">
        <v>2722338.5</v>
      </c>
      <c r="Z10" s="44">
        <v>1807156</v>
      </c>
      <c r="AA10" s="44">
        <v>43202</v>
      </c>
      <c r="AB10" s="44">
        <v>240200</v>
      </c>
      <c r="AC10" s="44">
        <v>1790486.6666666667</v>
      </c>
      <c r="AD10" s="44">
        <v>41738.666666666664</v>
      </c>
      <c r="AE10" s="44">
        <v>16921.666666666668</v>
      </c>
      <c r="AF10" s="44">
        <v>62647.333333333336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1630</v>
      </c>
      <c r="D11" s="1" t="s">
        <v>1631</v>
      </c>
      <c r="E11" s="1" t="s">
        <v>1632</v>
      </c>
      <c r="F11" s="1" t="s">
        <v>112</v>
      </c>
      <c r="G11" s="1">
        <v>92165</v>
      </c>
      <c r="K11" s="149" t="s">
        <v>1601</v>
      </c>
      <c r="L11" s="44">
        <v>81220</v>
      </c>
      <c r="M11" s="44">
        <v>29777</v>
      </c>
      <c r="N11" s="44">
        <v>69944</v>
      </c>
      <c r="O11" s="44">
        <v>323193.66666666669</v>
      </c>
      <c r="P11" s="44">
        <v>1599833.6666666667</v>
      </c>
      <c r="Q11" s="44">
        <v>3352331</v>
      </c>
      <c r="R11" s="44">
        <v>4593292</v>
      </c>
      <c r="S11" s="44">
        <v>90824</v>
      </c>
      <c r="T11" s="44">
        <v>99865.666666666672</v>
      </c>
      <c r="U11" s="44"/>
      <c r="V11" s="44"/>
      <c r="W11" s="44"/>
      <c r="X11" s="44">
        <v>1389576.6666666667</v>
      </c>
      <c r="Y11" s="44">
        <v>3706030</v>
      </c>
      <c r="Z11" s="44">
        <v>4532025.333333333</v>
      </c>
      <c r="AA11" s="44">
        <v>358775</v>
      </c>
      <c r="AB11" s="44">
        <v>603618</v>
      </c>
      <c r="AC11" s="44">
        <v>2411178</v>
      </c>
      <c r="AD11" s="44">
        <v>485050.33333333331</v>
      </c>
      <c r="AE11" s="44"/>
      <c r="AF11" s="44">
        <v>101152</v>
      </c>
      <c r="AG11"/>
    </row>
    <row r="12" spans="1:144" x14ac:dyDescent="0.3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1633</v>
      </c>
      <c r="D12" s="1" t="s">
        <v>1634</v>
      </c>
      <c r="E12" s="1" t="s">
        <v>1635</v>
      </c>
      <c r="F12" s="1" t="s">
        <v>112</v>
      </c>
      <c r="G12" s="1">
        <v>178490</v>
      </c>
      <c r="K12" s="149" t="s">
        <v>1602</v>
      </c>
      <c r="L12" s="44">
        <v>67211.333333333328</v>
      </c>
      <c r="M12" s="44">
        <v>46273.666666666664</v>
      </c>
      <c r="N12" s="44">
        <v>655674.33333333337</v>
      </c>
      <c r="O12" s="44">
        <v>197733.66666666666</v>
      </c>
      <c r="P12" s="44">
        <v>2407018</v>
      </c>
      <c r="Q12" s="44">
        <v>4045201.3333333335</v>
      </c>
      <c r="R12" s="44">
        <v>5635856.666666667</v>
      </c>
      <c r="S12" s="44">
        <v>155584</v>
      </c>
      <c r="T12" s="44">
        <v>251252.66666666666</v>
      </c>
      <c r="U12" s="44">
        <v>141070</v>
      </c>
      <c r="V12" s="44">
        <v>31781.333333333332</v>
      </c>
      <c r="W12" s="44">
        <v>33093.666666666664</v>
      </c>
      <c r="X12" s="44">
        <v>3984976.3333333335</v>
      </c>
      <c r="Y12" s="44">
        <v>3701084.3333333335</v>
      </c>
      <c r="Z12" s="44">
        <v>4688971.666666667</v>
      </c>
      <c r="AA12" s="44">
        <v>41039.333333333336</v>
      </c>
      <c r="AB12" s="44">
        <v>2836659.6666666665</v>
      </c>
      <c r="AC12" s="44">
        <v>100687.33333333333</v>
      </c>
      <c r="AD12" s="44"/>
      <c r="AE12" s="44">
        <v>163392</v>
      </c>
      <c r="AF12" s="44">
        <v>102446.66666666667</v>
      </c>
      <c r="AG12"/>
    </row>
    <row r="13" spans="1:144" x14ac:dyDescent="0.3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1636</v>
      </c>
      <c r="D13" s="1" t="s">
        <v>1637</v>
      </c>
      <c r="E13" s="1" t="s">
        <v>1638</v>
      </c>
      <c r="F13" s="1" t="s">
        <v>112</v>
      </c>
      <c r="G13" s="1">
        <v>128784</v>
      </c>
      <c r="K13"/>
      <c r="L13"/>
      <c r="M13"/>
      <c r="N13"/>
      <c r="O13"/>
      <c r="P13"/>
      <c r="Q13"/>
      <c r="R13"/>
      <c r="S13"/>
      <c r="T13"/>
      <c r="U13"/>
      <c r="V13"/>
      <c r="W13"/>
      <c r="X13"/>
      <c r="Y13"/>
      <c r="Z13"/>
      <c r="AA13"/>
      <c r="AB13"/>
      <c r="AC13"/>
      <c r="AD13"/>
      <c r="AE13"/>
      <c r="AF13"/>
      <c r="AG13"/>
    </row>
    <row r="14" spans="1:144" x14ac:dyDescent="0.3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1639</v>
      </c>
      <c r="D14" s="1" t="s">
        <v>1640</v>
      </c>
      <c r="E14" s="1" t="s">
        <v>1641</v>
      </c>
      <c r="F14" s="1" t="s">
        <v>112</v>
      </c>
      <c r="G14" s="1">
        <v>113903</v>
      </c>
      <c r="K14"/>
      <c r="L14"/>
      <c r="M14"/>
      <c r="N14"/>
      <c r="O14"/>
      <c r="P14"/>
      <c r="Q14"/>
      <c r="R14"/>
      <c r="S14"/>
      <c r="T14"/>
      <c r="U14"/>
      <c r="V14"/>
      <c r="W14"/>
      <c r="X14"/>
      <c r="Y14"/>
      <c r="Z14"/>
      <c r="AA14"/>
      <c r="AB14"/>
      <c r="AC14"/>
      <c r="AD14"/>
      <c r="AE14"/>
      <c r="AF14"/>
      <c r="AG14"/>
    </row>
    <row r="15" spans="1:144" x14ac:dyDescent="0.3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1642</v>
      </c>
      <c r="D15" s="1" t="s">
        <v>1643</v>
      </c>
      <c r="E15" s="1" t="s">
        <v>1644</v>
      </c>
      <c r="F15" s="1" t="s">
        <v>112</v>
      </c>
      <c r="G15" s="1">
        <v>73866</v>
      </c>
    </row>
    <row r="16" spans="1:144" x14ac:dyDescent="0.3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1645</v>
      </c>
      <c r="D16" s="1" t="s">
        <v>1646</v>
      </c>
      <c r="E16" s="1" t="s">
        <v>1647</v>
      </c>
      <c r="F16" s="1" t="s">
        <v>112</v>
      </c>
      <c r="G16" s="1">
        <v>25869</v>
      </c>
    </row>
    <row r="17" spans="1:10" x14ac:dyDescent="0.3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1648</v>
      </c>
      <c r="D17" s="1" t="s">
        <v>1649</v>
      </c>
      <c r="E17" s="1" t="s">
        <v>1650</v>
      </c>
      <c r="F17" s="1" t="s">
        <v>112</v>
      </c>
      <c r="G17" s="1">
        <v>301131</v>
      </c>
    </row>
    <row r="18" spans="1:10" x14ac:dyDescent="0.3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1651</v>
      </c>
      <c r="D18" s="1" t="s">
        <v>1652</v>
      </c>
      <c r="E18" s="1" t="s">
        <v>1653</v>
      </c>
      <c r="F18" s="1" t="s">
        <v>112</v>
      </c>
      <c r="G18" s="1">
        <v>47867</v>
      </c>
    </row>
    <row r="19" spans="1:10" x14ac:dyDescent="0.3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1654</v>
      </c>
      <c r="D19" s="1" t="s">
        <v>1655</v>
      </c>
      <c r="E19" s="1" t="s">
        <v>1656</v>
      </c>
      <c r="F19" s="1" t="s">
        <v>112</v>
      </c>
      <c r="G19" s="1">
        <v>42568</v>
      </c>
    </row>
    <row r="20" spans="1:10" x14ac:dyDescent="0.3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1657</v>
      </c>
      <c r="D20" s="1" t="s">
        <v>1658</v>
      </c>
      <c r="E20" s="1" t="s">
        <v>1659</v>
      </c>
      <c r="F20" s="1" t="s">
        <v>112</v>
      </c>
      <c r="G20" s="1">
        <v>49078</v>
      </c>
    </row>
    <row r="21" spans="1:10" x14ac:dyDescent="0.3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1660</v>
      </c>
      <c r="D21" s="1" t="s">
        <v>1661</v>
      </c>
      <c r="E21" s="1" t="s">
        <v>1662</v>
      </c>
      <c r="F21" s="1" t="s">
        <v>112</v>
      </c>
      <c r="G21" s="1">
        <v>63700</v>
      </c>
    </row>
    <row r="22" spans="1:10" x14ac:dyDescent="0.3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1663</v>
      </c>
      <c r="D22" s="1" t="s">
        <v>1664</v>
      </c>
      <c r="E22" s="1" t="s">
        <v>1665</v>
      </c>
      <c r="F22" s="1" t="s">
        <v>112</v>
      </c>
      <c r="G22" s="1">
        <v>130882</v>
      </c>
    </row>
    <row r="23" spans="1:10" x14ac:dyDescent="0.3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1666</v>
      </c>
      <c r="D23" s="1" t="s">
        <v>1667</v>
      </c>
      <c r="E23" s="1" t="s">
        <v>1668</v>
      </c>
      <c r="F23" s="1" t="s">
        <v>112</v>
      </c>
      <c r="G23" s="1">
        <v>128763</v>
      </c>
    </row>
    <row r="24" spans="1:10" x14ac:dyDescent="0.3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1669</v>
      </c>
      <c r="D24" s="1" t="s">
        <v>1670</v>
      </c>
      <c r="E24" s="1" t="s">
        <v>1671</v>
      </c>
      <c r="F24" s="1" t="s">
        <v>112</v>
      </c>
      <c r="G24" s="1">
        <v>30260</v>
      </c>
    </row>
    <row r="25" spans="1:10" x14ac:dyDescent="0.3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1672</v>
      </c>
      <c r="D25" s="1" t="s">
        <v>1655</v>
      </c>
      <c r="E25" s="1" t="s">
        <v>1673</v>
      </c>
      <c r="F25" s="1" t="s">
        <v>112</v>
      </c>
      <c r="G25" s="1">
        <v>42611</v>
      </c>
    </row>
    <row r="26" spans="1:10"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227</v>
      </c>
      <c r="D27" s="1" t="s">
        <v>112</v>
      </c>
      <c r="E27" s="1" t="s">
        <v>228</v>
      </c>
      <c r="F27" s="1" t="s">
        <v>229</v>
      </c>
      <c r="G27" s="1" t="s">
        <v>230</v>
      </c>
      <c r="H27" s="1" t="s">
        <v>231</v>
      </c>
      <c r="I27" s="1" t="s">
        <v>232</v>
      </c>
      <c r="J27" s="1" t="s">
        <v>233</v>
      </c>
    </row>
    <row r="28" spans="1:10" x14ac:dyDescent="0.3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1674</v>
      </c>
      <c r="D28" s="1" t="s">
        <v>112</v>
      </c>
      <c r="E28" s="1" t="s">
        <v>1675</v>
      </c>
      <c r="F28" s="1" t="s">
        <v>1676</v>
      </c>
      <c r="G28" s="1" t="s">
        <v>1677</v>
      </c>
      <c r="H28" s="1" t="s">
        <v>1678</v>
      </c>
      <c r="I28" s="1">
        <v>24</v>
      </c>
      <c r="J28" s="1">
        <v>24</v>
      </c>
    </row>
    <row r="29" spans="1:10"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239</v>
      </c>
      <c r="D34" s="1" t="s">
        <v>110</v>
      </c>
      <c r="E34" s="1" t="s">
        <v>111</v>
      </c>
      <c r="F34" s="1" t="s">
        <v>112</v>
      </c>
      <c r="G34" s="1" t="s">
        <v>113</v>
      </c>
    </row>
    <row r="35" spans="1:7" x14ac:dyDescent="0.3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1679</v>
      </c>
      <c r="D35" s="1" t="s">
        <v>1680</v>
      </c>
      <c r="E35" s="1" t="s">
        <v>1681</v>
      </c>
      <c r="F35" s="1" t="s">
        <v>112</v>
      </c>
      <c r="G35" s="1">
        <v>27189</v>
      </c>
    </row>
    <row r="36" spans="1:7" x14ac:dyDescent="0.3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1682</v>
      </c>
      <c r="D36" s="1" t="s">
        <v>1683</v>
      </c>
      <c r="E36" s="1" t="s">
        <v>1684</v>
      </c>
      <c r="F36" s="1" t="s">
        <v>112</v>
      </c>
      <c r="G36" s="1">
        <v>209659</v>
      </c>
    </row>
    <row r="37" spans="1:7" x14ac:dyDescent="0.3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1685</v>
      </c>
      <c r="D37" s="1" t="s">
        <v>1686</v>
      </c>
      <c r="E37" s="1">
        <v>66</v>
      </c>
      <c r="F37" s="1" t="s">
        <v>112</v>
      </c>
      <c r="G37" s="1">
        <v>368314</v>
      </c>
    </row>
    <row r="38" spans="1:7" x14ac:dyDescent="0.3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1687</v>
      </c>
      <c r="D38" s="1" t="s">
        <v>1688</v>
      </c>
      <c r="E38" s="1" t="s">
        <v>1689</v>
      </c>
      <c r="F38" s="1" t="s">
        <v>112</v>
      </c>
      <c r="G38" s="1">
        <v>281729</v>
      </c>
    </row>
    <row r="39" spans="1:7" x14ac:dyDescent="0.3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1690</v>
      </c>
      <c r="D39" s="1" t="s">
        <v>1691</v>
      </c>
      <c r="E39" s="1" t="s">
        <v>1692</v>
      </c>
      <c r="F39" s="1" t="s">
        <v>112</v>
      </c>
      <c r="G39" s="1">
        <v>266048</v>
      </c>
    </row>
    <row r="40" spans="1:7" x14ac:dyDescent="0.3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1693</v>
      </c>
      <c r="D40" s="1" t="s">
        <v>1694</v>
      </c>
      <c r="E40" s="1" t="s">
        <v>1695</v>
      </c>
      <c r="F40" s="1" t="s">
        <v>112</v>
      </c>
      <c r="G40" s="1">
        <v>337297</v>
      </c>
    </row>
    <row r="41" spans="1:7" x14ac:dyDescent="0.3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1696</v>
      </c>
      <c r="D41" s="1" t="s">
        <v>1697</v>
      </c>
      <c r="E41" s="1" t="s">
        <v>1698</v>
      </c>
      <c r="F41" s="1" t="s">
        <v>112</v>
      </c>
      <c r="G41" s="1">
        <v>295335</v>
      </c>
    </row>
    <row r="42" spans="1:7" x14ac:dyDescent="0.3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1699</v>
      </c>
      <c r="D42" s="1" t="s">
        <v>1700</v>
      </c>
      <c r="E42" s="1" t="s">
        <v>1701</v>
      </c>
      <c r="F42" s="1" t="s">
        <v>112</v>
      </c>
      <c r="G42" s="1">
        <v>41270</v>
      </c>
    </row>
    <row r="43" spans="1:7" x14ac:dyDescent="0.3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1702</v>
      </c>
      <c r="D43" s="1" t="s">
        <v>1703</v>
      </c>
      <c r="E43" s="1" t="s">
        <v>1704</v>
      </c>
      <c r="F43" s="1" t="s">
        <v>112</v>
      </c>
      <c r="G43" s="1">
        <v>34543</v>
      </c>
    </row>
    <row r="44" spans="1:7" x14ac:dyDescent="0.3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1705</v>
      </c>
      <c r="D44" s="1" t="s">
        <v>1706</v>
      </c>
      <c r="E44" s="1">
        <v>64</v>
      </c>
      <c r="F44" s="1" t="s">
        <v>112</v>
      </c>
      <c r="G44" s="1">
        <v>17996</v>
      </c>
    </row>
    <row r="45" spans="1:7" x14ac:dyDescent="0.3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1707</v>
      </c>
      <c r="D45" s="1" t="s">
        <v>1607</v>
      </c>
      <c r="E45" s="1" t="s">
        <v>1708</v>
      </c>
      <c r="F45" s="1" t="s">
        <v>112</v>
      </c>
      <c r="G45" s="1">
        <v>6792</v>
      </c>
    </row>
    <row r="46" spans="1:7" x14ac:dyDescent="0.3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1709</v>
      </c>
    </row>
    <row r="47" spans="1:7" x14ac:dyDescent="0.3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1710</v>
      </c>
      <c r="D47" s="1" t="s">
        <v>1711</v>
      </c>
      <c r="E47" s="1" t="s">
        <v>1712</v>
      </c>
      <c r="F47" s="1" t="s">
        <v>112</v>
      </c>
      <c r="G47" s="1">
        <v>181194</v>
      </c>
    </row>
    <row r="48" spans="1:7" x14ac:dyDescent="0.3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1713</v>
      </c>
      <c r="D48" s="1" t="s">
        <v>1714</v>
      </c>
      <c r="E48" s="1" t="s">
        <v>1715</v>
      </c>
      <c r="F48" s="1" t="s">
        <v>112</v>
      </c>
      <c r="G48" s="1">
        <v>36619</v>
      </c>
    </row>
    <row r="49" spans="1:10" x14ac:dyDescent="0.3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1716</v>
      </c>
      <c r="D49" s="1" t="s">
        <v>1717</v>
      </c>
      <c r="E49" s="1" t="s">
        <v>1718</v>
      </c>
      <c r="F49" s="1" t="s">
        <v>112</v>
      </c>
      <c r="G49" s="1">
        <v>178338</v>
      </c>
    </row>
    <row r="50" spans="1:10" x14ac:dyDescent="0.3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1719</v>
      </c>
      <c r="D50" s="1" t="s">
        <v>1720</v>
      </c>
      <c r="E50" s="1" t="s">
        <v>1721</v>
      </c>
      <c r="F50" s="1" t="s">
        <v>112</v>
      </c>
      <c r="G50" s="1">
        <v>41789</v>
      </c>
    </row>
    <row r="51" spans="1:10" x14ac:dyDescent="0.3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1722</v>
      </c>
      <c r="D51" s="1" t="s">
        <v>1723</v>
      </c>
      <c r="E51" s="1" t="s">
        <v>1724</v>
      </c>
      <c r="F51" s="1" t="s">
        <v>112</v>
      </c>
      <c r="G51" s="1">
        <v>149982</v>
      </c>
    </row>
    <row r="52" spans="1:10" x14ac:dyDescent="0.3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1725</v>
      </c>
      <c r="D52" s="1" t="s">
        <v>1607</v>
      </c>
      <c r="E52" s="1" t="s">
        <v>1726</v>
      </c>
      <c r="F52" s="1" t="s">
        <v>112</v>
      </c>
      <c r="G52" s="1">
        <v>6878</v>
      </c>
    </row>
    <row r="53" spans="1:10" x14ac:dyDescent="0.3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1727</v>
      </c>
      <c r="D53" s="1" t="s">
        <v>1728</v>
      </c>
      <c r="E53" s="1" t="s">
        <v>1729</v>
      </c>
      <c r="F53" s="1" t="s">
        <v>112</v>
      </c>
      <c r="G53" s="1">
        <v>54031</v>
      </c>
    </row>
    <row r="54" spans="1:10" x14ac:dyDescent="0.3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1730</v>
      </c>
      <c r="D54" s="1" t="s">
        <v>1731</v>
      </c>
      <c r="E54" s="1" t="s">
        <v>1732</v>
      </c>
      <c r="F54" s="1" t="s">
        <v>112</v>
      </c>
      <c r="G54" s="1">
        <v>20137</v>
      </c>
    </row>
    <row r="55" spans="1:10" x14ac:dyDescent="0.3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1733</v>
      </c>
      <c r="D55" s="1" t="s">
        <v>1734</v>
      </c>
      <c r="E55" s="1" t="s">
        <v>263</v>
      </c>
      <c r="F55" s="1" t="s">
        <v>112</v>
      </c>
      <c r="G55" s="1">
        <v>15163</v>
      </c>
    </row>
    <row r="56" spans="1:10" x14ac:dyDescent="0.3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1735</v>
      </c>
      <c r="D56" s="1" t="s">
        <v>1720</v>
      </c>
      <c r="E56" s="1" t="s">
        <v>1736</v>
      </c>
      <c r="F56" s="1" t="s">
        <v>112</v>
      </c>
      <c r="G56" s="1">
        <v>41508</v>
      </c>
    </row>
    <row r="57" spans="1:10" x14ac:dyDescent="0.3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1737</v>
      </c>
      <c r="D57" s="1" t="s">
        <v>1738</v>
      </c>
      <c r="E57" s="1" t="s">
        <v>1739</v>
      </c>
      <c r="F57" s="1" t="s">
        <v>112</v>
      </c>
      <c r="G57" s="1">
        <v>35841</v>
      </c>
    </row>
    <row r="58" spans="1:10" x14ac:dyDescent="0.3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1740</v>
      </c>
      <c r="D58" s="1" t="s">
        <v>1741</v>
      </c>
      <c r="E58" s="1" t="s">
        <v>1742</v>
      </c>
      <c r="F58" s="1" t="s">
        <v>112</v>
      </c>
      <c r="G58" s="1">
        <v>61472</v>
      </c>
    </row>
    <row r="59" spans="1:10"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227</v>
      </c>
      <c r="D60" s="1" t="s">
        <v>112</v>
      </c>
      <c r="E60" s="1" t="s">
        <v>228</v>
      </c>
      <c r="F60" s="1" t="s">
        <v>229</v>
      </c>
      <c r="G60" s="1" t="s">
        <v>230</v>
      </c>
      <c r="H60" s="1" t="s">
        <v>231</v>
      </c>
      <c r="I60" s="1" t="s">
        <v>232</v>
      </c>
      <c r="J60" s="1" t="s">
        <v>233</v>
      </c>
    </row>
    <row r="61" spans="1:10" x14ac:dyDescent="0.3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1743</v>
      </c>
      <c r="D61" s="1" t="s">
        <v>112</v>
      </c>
      <c r="E61" s="1" t="s">
        <v>1744</v>
      </c>
      <c r="F61" s="1" t="s">
        <v>1745</v>
      </c>
      <c r="G61" s="1" t="s">
        <v>1746</v>
      </c>
      <c r="H61" s="1" t="s">
        <v>1747</v>
      </c>
      <c r="I61" s="1">
        <v>24</v>
      </c>
      <c r="J61" s="1">
        <v>24</v>
      </c>
    </row>
    <row r="62" spans="1:10"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239</v>
      </c>
      <c r="D67" s="1" t="s">
        <v>110</v>
      </c>
      <c r="E67" s="1" t="s">
        <v>111</v>
      </c>
      <c r="F67" s="1" t="s">
        <v>112</v>
      </c>
      <c r="G67" s="1" t="s">
        <v>113</v>
      </c>
    </row>
    <row r="68" spans="1:7" x14ac:dyDescent="0.3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1748</v>
      </c>
      <c r="D68" s="1" t="s">
        <v>1749</v>
      </c>
      <c r="E68" s="1" t="s">
        <v>1750</v>
      </c>
      <c r="F68" s="1" t="s">
        <v>112</v>
      </c>
      <c r="G68" s="1">
        <v>395827</v>
      </c>
    </row>
    <row r="69" spans="1:7" x14ac:dyDescent="0.3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1751</v>
      </c>
      <c r="D69" s="1" t="s">
        <v>1752</v>
      </c>
      <c r="E69" s="1" t="s">
        <v>1753</v>
      </c>
      <c r="F69" s="1" t="s">
        <v>112</v>
      </c>
      <c r="G69" s="1">
        <v>347614</v>
      </c>
    </row>
    <row r="70" spans="1:7" x14ac:dyDescent="0.3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1754</v>
      </c>
      <c r="D70" s="1" t="s">
        <v>1755</v>
      </c>
      <c r="E70" s="1" t="s">
        <v>1756</v>
      </c>
      <c r="F70" s="1" t="s">
        <v>112</v>
      </c>
      <c r="G70" s="1">
        <v>325270</v>
      </c>
    </row>
    <row r="71" spans="1:7" x14ac:dyDescent="0.3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1757</v>
      </c>
      <c r="D71" s="1" t="s">
        <v>1640</v>
      </c>
      <c r="E71" s="1" t="s">
        <v>1758</v>
      </c>
      <c r="F71" s="1" t="s">
        <v>112</v>
      </c>
      <c r="G71" s="1">
        <v>111827</v>
      </c>
    </row>
    <row r="72" spans="1:7" x14ac:dyDescent="0.3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1759</v>
      </c>
      <c r="D72" s="1" t="s">
        <v>1760</v>
      </c>
      <c r="E72" s="1" t="s">
        <v>1761</v>
      </c>
      <c r="F72" s="1" t="s">
        <v>112</v>
      </c>
      <c r="G72" s="1">
        <v>109036</v>
      </c>
    </row>
    <row r="73" spans="1:7" x14ac:dyDescent="0.3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1762</v>
      </c>
      <c r="D73" s="1" t="s">
        <v>1763</v>
      </c>
      <c r="E73" s="1" t="s">
        <v>1764</v>
      </c>
      <c r="F73" s="1" t="s">
        <v>112</v>
      </c>
      <c r="G73" s="1">
        <v>197892</v>
      </c>
    </row>
    <row r="74" spans="1:7" x14ac:dyDescent="0.3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1765</v>
      </c>
      <c r="D74" s="1" t="s">
        <v>1766</v>
      </c>
      <c r="E74" s="1" t="s">
        <v>1767</v>
      </c>
      <c r="F74" s="1" t="s">
        <v>112</v>
      </c>
      <c r="G74" s="1">
        <v>56649</v>
      </c>
    </row>
    <row r="75" spans="1:7" x14ac:dyDescent="0.3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1768</v>
      </c>
      <c r="D75" s="1" t="s">
        <v>1720</v>
      </c>
      <c r="E75" s="1" t="s">
        <v>1769</v>
      </c>
      <c r="F75" s="1" t="s">
        <v>112</v>
      </c>
      <c r="G75" s="1">
        <v>40837</v>
      </c>
    </row>
    <row r="76" spans="1:7" x14ac:dyDescent="0.3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1770</v>
      </c>
      <c r="D76" s="1" t="s">
        <v>1771</v>
      </c>
      <c r="E76" s="1" t="s">
        <v>1772</v>
      </c>
      <c r="F76" s="1" t="s">
        <v>112</v>
      </c>
      <c r="G76" s="1">
        <v>89613</v>
      </c>
    </row>
    <row r="77" spans="1:7" x14ac:dyDescent="0.3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1773</v>
      </c>
      <c r="D77" s="1" t="s">
        <v>1766</v>
      </c>
      <c r="E77" s="1" t="s">
        <v>1774</v>
      </c>
      <c r="F77" s="1" t="s">
        <v>112</v>
      </c>
      <c r="G77" s="1">
        <v>56497</v>
      </c>
    </row>
    <row r="78" spans="1:7" x14ac:dyDescent="0.3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1775</v>
      </c>
      <c r="D78" s="1" t="s">
        <v>1741</v>
      </c>
      <c r="E78" s="1" t="s">
        <v>1776</v>
      </c>
      <c r="F78" s="1" t="s">
        <v>112</v>
      </c>
      <c r="G78" s="1">
        <v>61429</v>
      </c>
    </row>
    <row r="79" spans="1:7" x14ac:dyDescent="0.3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1777</v>
      </c>
      <c r="D79" s="1" t="s">
        <v>1778</v>
      </c>
      <c r="E79" s="1" t="s">
        <v>1779</v>
      </c>
      <c r="F79" s="1" t="s">
        <v>112</v>
      </c>
      <c r="G79" s="1">
        <v>177733</v>
      </c>
    </row>
    <row r="80" spans="1:7" x14ac:dyDescent="0.3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1780</v>
      </c>
      <c r="D80" s="1" t="s">
        <v>1703</v>
      </c>
      <c r="E80" s="1" t="s">
        <v>1781</v>
      </c>
      <c r="F80" s="1" t="s">
        <v>112</v>
      </c>
      <c r="G80" s="1">
        <v>33851</v>
      </c>
    </row>
    <row r="81" spans="1:10" x14ac:dyDescent="0.3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1782</v>
      </c>
      <c r="D81" s="1" t="s">
        <v>1783</v>
      </c>
      <c r="E81" s="1" t="s">
        <v>1784</v>
      </c>
      <c r="F81" s="1" t="s">
        <v>112</v>
      </c>
      <c r="G81" s="1">
        <v>28833</v>
      </c>
    </row>
    <row r="82" spans="1:10" x14ac:dyDescent="0.3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1785</v>
      </c>
      <c r="D82" s="1" t="s">
        <v>1670</v>
      </c>
      <c r="E82" s="1" t="s">
        <v>1786</v>
      </c>
      <c r="F82" s="1" t="s">
        <v>112</v>
      </c>
      <c r="G82" s="1">
        <v>32229</v>
      </c>
    </row>
    <row r="83" spans="1:10" x14ac:dyDescent="0.3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1787</v>
      </c>
      <c r="D83" s="1" t="s">
        <v>1700</v>
      </c>
      <c r="E83" s="1">
        <v>66</v>
      </c>
      <c r="F83" s="1" t="s">
        <v>112</v>
      </c>
      <c r="G83" s="1">
        <v>41400</v>
      </c>
    </row>
    <row r="84" spans="1:10" x14ac:dyDescent="0.3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1788</v>
      </c>
      <c r="D84" s="1" t="s">
        <v>1714</v>
      </c>
      <c r="E84" s="1" t="s">
        <v>1789</v>
      </c>
      <c r="F84" s="1" t="s">
        <v>112</v>
      </c>
      <c r="G84" s="1">
        <v>37052</v>
      </c>
    </row>
    <row r="85" spans="1:10" x14ac:dyDescent="0.3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1790</v>
      </c>
      <c r="D85" s="1" t="s">
        <v>1734</v>
      </c>
      <c r="E85" s="1" t="s">
        <v>1791</v>
      </c>
      <c r="F85" s="1" t="s">
        <v>112</v>
      </c>
      <c r="G85" s="1">
        <v>14795</v>
      </c>
    </row>
    <row r="86" spans="1:10" x14ac:dyDescent="0.3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1792</v>
      </c>
      <c r="D86" s="1" t="s">
        <v>1793</v>
      </c>
      <c r="E86" s="1" t="s">
        <v>1794</v>
      </c>
      <c r="F86" s="1" t="s">
        <v>112</v>
      </c>
      <c r="G86" s="1">
        <v>82367</v>
      </c>
    </row>
    <row r="87" spans="1:10" x14ac:dyDescent="0.3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1795</v>
      </c>
      <c r="D87" s="1" t="s">
        <v>1741</v>
      </c>
      <c r="E87" s="1" t="s">
        <v>1796</v>
      </c>
      <c r="F87" s="1" t="s">
        <v>112</v>
      </c>
      <c r="G87" s="1">
        <v>60845</v>
      </c>
    </row>
    <row r="88" spans="1:10" x14ac:dyDescent="0.3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1797</v>
      </c>
      <c r="D88" s="1" t="s">
        <v>1798</v>
      </c>
      <c r="E88" s="1" t="s">
        <v>1799</v>
      </c>
      <c r="F88" s="1" t="s">
        <v>112</v>
      </c>
      <c r="G88" s="1">
        <v>66620</v>
      </c>
    </row>
    <row r="89" spans="1:10" x14ac:dyDescent="0.3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1800</v>
      </c>
      <c r="D89" s="1" t="s">
        <v>1801</v>
      </c>
      <c r="E89" s="1" t="s">
        <v>1802</v>
      </c>
      <c r="F89" s="1" t="s">
        <v>112</v>
      </c>
      <c r="G89" s="1">
        <v>710391</v>
      </c>
    </row>
    <row r="90" spans="1:10" x14ac:dyDescent="0.3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1803</v>
      </c>
      <c r="D90" s="1" t="s">
        <v>1804</v>
      </c>
      <c r="E90" s="1" t="s">
        <v>1805</v>
      </c>
      <c r="F90" s="1" t="s">
        <v>112</v>
      </c>
      <c r="G90" s="1">
        <v>547993</v>
      </c>
    </row>
    <row r="91" spans="1:10" x14ac:dyDescent="0.3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1806</v>
      </c>
      <c r="D91" s="1" t="s">
        <v>1807</v>
      </c>
      <c r="E91" s="1" t="s">
        <v>1808</v>
      </c>
      <c r="F91" s="1" t="s">
        <v>112</v>
      </c>
      <c r="G91" s="1">
        <v>708639</v>
      </c>
    </row>
    <row r="92" spans="1:10"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227</v>
      </c>
      <c r="D93" s="1" t="s">
        <v>112</v>
      </c>
      <c r="E93" s="1" t="s">
        <v>228</v>
      </c>
      <c r="F93" s="1" t="s">
        <v>229</v>
      </c>
      <c r="G93" s="1" t="s">
        <v>230</v>
      </c>
      <c r="H93" s="1" t="s">
        <v>231</v>
      </c>
      <c r="I93" s="1" t="s">
        <v>232</v>
      </c>
      <c r="J93" s="1" t="s">
        <v>233</v>
      </c>
    </row>
    <row r="94" spans="1:10" x14ac:dyDescent="0.3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1809</v>
      </c>
      <c r="D94" s="1" t="s">
        <v>112</v>
      </c>
      <c r="E94" s="1" t="s">
        <v>1810</v>
      </c>
      <c r="F94" s="1" t="s">
        <v>1811</v>
      </c>
      <c r="G94" s="1" t="s">
        <v>1812</v>
      </c>
      <c r="H94" s="1" t="s">
        <v>1813</v>
      </c>
      <c r="I94" s="1">
        <v>24</v>
      </c>
      <c r="J94" s="1">
        <v>24</v>
      </c>
    </row>
    <row r="95" spans="1:10"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239</v>
      </c>
      <c r="D100" s="1" t="s">
        <v>110</v>
      </c>
      <c r="E100" s="1" t="s">
        <v>111</v>
      </c>
      <c r="F100" s="1" t="s">
        <v>112</v>
      </c>
      <c r="G100" s="1" t="s">
        <v>113</v>
      </c>
    </row>
    <row r="101" spans="1:7" x14ac:dyDescent="0.3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1814</v>
      </c>
      <c r="D101" s="1" t="s">
        <v>1763</v>
      </c>
      <c r="E101" s="1" t="s">
        <v>1815</v>
      </c>
      <c r="F101" s="1" t="s">
        <v>112</v>
      </c>
      <c r="G101" s="1">
        <v>191014</v>
      </c>
    </row>
    <row r="102" spans="1:7" x14ac:dyDescent="0.3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1816</v>
      </c>
      <c r="D102" s="1" t="s">
        <v>1817</v>
      </c>
      <c r="E102" s="1" t="s">
        <v>1818</v>
      </c>
      <c r="F102" s="1" t="s">
        <v>112</v>
      </c>
      <c r="G102" s="1">
        <v>171244</v>
      </c>
    </row>
    <row r="103" spans="1:7" x14ac:dyDescent="0.3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1819</v>
      </c>
      <c r="D103" s="1" t="s">
        <v>1820</v>
      </c>
      <c r="E103" s="1" t="s">
        <v>1821</v>
      </c>
      <c r="F103" s="1" t="s">
        <v>112</v>
      </c>
      <c r="G103" s="1">
        <v>234944</v>
      </c>
    </row>
    <row r="104" spans="1:7" x14ac:dyDescent="0.3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1822</v>
      </c>
      <c r="D104" s="1" t="s">
        <v>1823</v>
      </c>
      <c r="E104" s="1" t="s">
        <v>1824</v>
      </c>
      <c r="F104" s="1" t="s">
        <v>112</v>
      </c>
      <c r="G104" s="1">
        <v>809239</v>
      </c>
    </row>
    <row r="105" spans="1:7" x14ac:dyDescent="0.3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1825</v>
      </c>
      <c r="D105" s="1" t="s">
        <v>1826</v>
      </c>
      <c r="E105" s="1" t="s">
        <v>1827</v>
      </c>
      <c r="F105" s="1" t="s">
        <v>112</v>
      </c>
      <c r="G105" s="1">
        <v>592378</v>
      </c>
    </row>
    <row r="106" spans="1:7" x14ac:dyDescent="0.3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1828</v>
      </c>
      <c r="D106" s="1" t="s">
        <v>1829</v>
      </c>
      <c r="E106" s="1" t="s">
        <v>1830</v>
      </c>
      <c r="F106" s="1" t="s">
        <v>112</v>
      </c>
      <c r="G106" s="1">
        <v>734789</v>
      </c>
    </row>
    <row r="107" spans="1:7" x14ac:dyDescent="0.3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1831</v>
      </c>
    </row>
    <row r="108" spans="1:7" x14ac:dyDescent="0.3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1832</v>
      </c>
      <c r="D108" s="1" t="s">
        <v>1619</v>
      </c>
      <c r="E108" s="1" t="s">
        <v>1833</v>
      </c>
      <c r="F108" s="1" t="s">
        <v>112</v>
      </c>
      <c r="G108" s="1">
        <v>124783</v>
      </c>
    </row>
    <row r="109" spans="1:7" x14ac:dyDescent="0.3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1834</v>
      </c>
    </row>
    <row r="110" spans="1:7" x14ac:dyDescent="0.3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1835</v>
      </c>
      <c r="D110" s="1" t="s">
        <v>1836</v>
      </c>
      <c r="E110" s="1" t="s">
        <v>1837</v>
      </c>
      <c r="F110" s="1" t="s">
        <v>112</v>
      </c>
      <c r="G110" s="1">
        <v>802750</v>
      </c>
    </row>
    <row r="111" spans="1:7" x14ac:dyDescent="0.3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1838</v>
      </c>
      <c r="D111" s="1" t="s">
        <v>1839</v>
      </c>
      <c r="E111" s="1" t="s">
        <v>1840</v>
      </c>
      <c r="F111" s="1" t="s">
        <v>112</v>
      </c>
      <c r="G111" s="1">
        <v>766412</v>
      </c>
    </row>
    <row r="112" spans="1:7" x14ac:dyDescent="0.3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1841</v>
      </c>
      <c r="D112" s="1" t="s">
        <v>1842</v>
      </c>
      <c r="E112" s="1" t="s">
        <v>1843</v>
      </c>
      <c r="F112" s="1" t="s">
        <v>112</v>
      </c>
      <c r="G112" s="1">
        <v>638406</v>
      </c>
    </row>
    <row r="113" spans="1:10" x14ac:dyDescent="0.3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1844</v>
      </c>
      <c r="D113" s="1" t="s">
        <v>1845</v>
      </c>
      <c r="E113" s="1" t="s">
        <v>1846</v>
      </c>
      <c r="F113" s="1" t="s">
        <v>112</v>
      </c>
      <c r="G113" s="1">
        <v>112324</v>
      </c>
    </row>
    <row r="114" spans="1:10" x14ac:dyDescent="0.3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1847</v>
      </c>
      <c r="D114" s="1" t="s">
        <v>1616</v>
      </c>
      <c r="E114" s="1" t="s">
        <v>1848</v>
      </c>
      <c r="F114" s="1" t="s">
        <v>112</v>
      </c>
      <c r="G114" s="1">
        <v>265593</v>
      </c>
    </row>
    <row r="115" spans="1:10" x14ac:dyDescent="0.3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1849</v>
      </c>
      <c r="D115" s="1" t="s">
        <v>1697</v>
      </c>
      <c r="E115" s="1" t="s">
        <v>1850</v>
      </c>
      <c r="F115" s="1" t="s">
        <v>112</v>
      </c>
      <c r="G115" s="1">
        <v>276344</v>
      </c>
    </row>
    <row r="116" spans="1:10" x14ac:dyDescent="0.3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1851</v>
      </c>
      <c r="D116" s="1" t="s">
        <v>1852</v>
      </c>
      <c r="E116" s="1" t="s">
        <v>1853</v>
      </c>
      <c r="F116" s="1" t="s">
        <v>112</v>
      </c>
      <c r="G116" s="1">
        <v>508540</v>
      </c>
    </row>
    <row r="117" spans="1:10" x14ac:dyDescent="0.3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1854</v>
      </c>
      <c r="D117" s="1" t="s">
        <v>1855</v>
      </c>
      <c r="E117" s="1" t="s">
        <v>1856</v>
      </c>
      <c r="F117" s="1" t="s">
        <v>112</v>
      </c>
      <c r="G117" s="1">
        <v>585305</v>
      </c>
    </row>
    <row r="118" spans="1:10" x14ac:dyDescent="0.3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1857</v>
      </c>
      <c r="D118" s="1" t="s">
        <v>1858</v>
      </c>
      <c r="E118" s="1" t="s">
        <v>1859</v>
      </c>
      <c r="F118" s="1" t="s">
        <v>112</v>
      </c>
      <c r="G118" s="1">
        <v>428077</v>
      </c>
    </row>
    <row r="119" spans="1:10" x14ac:dyDescent="0.3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1860</v>
      </c>
      <c r="D119" s="1" t="s">
        <v>1861</v>
      </c>
      <c r="E119" s="1" t="s">
        <v>1862</v>
      </c>
      <c r="F119" s="1" t="s">
        <v>112</v>
      </c>
      <c r="G119" s="1">
        <v>460760</v>
      </c>
    </row>
    <row r="120" spans="1:10" x14ac:dyDescent="0.3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1863</v>
      </c>
      <c r="D120" s="1" t="s">
        <v>1864</v>
      </c>
      <c r="E120" s="1" t="s">
        <v>1865</v>
      </c>
      <c r="F120" s="1" t="s">
        <v>112</v>
      </c>
      <c r="G120" s="1">
        <v>229947</v>
      </c>
    </row>
    <row r="121" spans="1:10" x14ac:dyDescent="0.3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1866</v>
      </c>
      <c r="D121" s="1" t="s">
        <v>1867</v>
      </c>
      <c r="E121" s="1" t="s">
        <v>1868</v>
      </c>
      <c r="F121" s="1" t="s">
        <v>112</v>
      </c>
      <c r="G121" s="1">
        <v>278874</v>
      </c>
    </row>
    <row r="122" spans="1:10" x14ac:dyDescent="0.3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1869</v>
      </c>
      <c r="D122" s="1" t="s">
        <v>1870</v>
      </c>
      <c r="E122" s="1" t="s">
        <v>1871</v>
      </c>
      <c r="F122" s="1" t="s">
        <v>112</v>
      </c>
      <c r="G122" s="1">
        <v>204403</v>
      </c>
    </row>
    <row r="123" spans="1:10" x14ac:dyDescent="0.3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1872</v>
      </c>
      <c r="D123" s="1" t="s">
        <v>1873</v>
      </c>
      <c r="E123" s="1" t="s">
        <v>1874</v>
      </c>
      <c r="F123" s="1" t="s">
        <v>112</v>
      </c>
      <c r="G123" s="1">
        <v>137934</v>
      </c>
    </row>
    <row r="124" spans="1:10" x14ac:dyDescent="0.3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1875</v>
      </c>
      <c r="D124" s="1" t="s">
        <v>1876</v>
      </c>
      <c r="E124" s="1" t="s">
        <v>1877</v>
      </c>
      <c r="F124" s="1" t="s">
        <v>112</v>
      </c>
      <c r="G124" s="1">
        <v>250864</v>
      </c>
    </row>
    <row r="125" spans="1:10"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227</v>
      </c>
      <c r="D126" s="1" t="s">
        <v>112</v>
      </c>
      <c r="E126" s="1" t="s">
        <v>228</v>
      </c>
      <c r="F126" s="1" t="s">
        <v>229</v>
      </c>
      <c r="G126" s="1" t="s">
        <v>230</v>
      </c>
      <c r="H126" s="1" t="s">
        <v>231</v>
      </c>
      <c r="I126" s="1" t="s">
        <v>232</v>
      </c>
      <c r="J126" s="1" t="s">
        <v>233</v>
      </c>
    </row>
    <row r="127" spans="1:10" x14ac:dyDescent="0.3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1878</v>
      </c>
      <c r="D127" s="1" t="s">
        <v>112</v>
      </c>
      <c r="E127" s="1" t="s">
        <v>1879</v>
      </c>
      <c r="F127" s="1" t="s">
        <v>1880</v>
      </c>
      <c r="G127" s="1" t="s">
        <v>1881</v>
      </c>
      <c r="H127" s="1" t="s">
        <v>1882</v>
      </c>
      <c r="I127" s="1">
        <v>24</v>
      </c>
      <c r="J127" s="1">
        <v>24</v>
      </c>
    </row>
    <row r="128" spans="1:10"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239</v>
      </c>
      <c r="D133" s="1" t="s">
        <v>110</v>
      </c>
      <c r="E133" s="1" t="s">
        <v>111</v>
      </c>
      <c r="F133" s="1" t="s">
        <v>112</v>
      </c>
      <c r="G133" s="1" t="s">
        <v>113</v>
      </c>
    </row>
    <row r="134" spans="1:7" x14ac:dyDescent="0.3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1883</v>
      </c>
      <c r="D134" s="1" t="s">
        <v>1884</v>
      </c>
      <c r="E134" s="1" t="s">
        <v>1207</v>
      </c>
      <c r="F134" s="1" t="s">
        <v>112</v>
      </c>
      <c r="G134" s="1">
        <v>472505</v>
      </c>
    </row>
    <row r="135" spans="1:7" x14ac:dyDescent="0.3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1885</v>
      </c>
    </row>
    <row r="136" spans="1:7" x14ac:dyDescent="0.3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1886</v>
      </c>
      <c r="D136" s="1" t="s">
        <v>1887</v>
      </c>
      <c r="E136" s="1" t="s">
        <v>1888</v>
      </c>
      <c r="F136" s="1" t="s">
        <v>112</v>
      </c>
      <c r="G136" s="1">
        <v>503198</v>
      </c>
    </row>
    <row r="137" spans="1:7" x14ac:dyDescent="0.3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1889</v>
      </c>
      <c r="D137" s="1" t="s">
        <v>1890</v>
      </c>
      <c r="E137" s="1" t="s">
        <v>1891</v>
      </c>
      <c r="F137" s="1" t="s">
        <v>112</v>
      </c>
      <c r="G137" s="1">
        <v>3063355</v>
      </c>
    </row>
    <row r="138" spans="1:7" x14ac:dyDescent="0.3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1892</v>
      </c>
      <c r="D138" s="1" t="s">
        <v>1893</v>
      </c>
      <c r="E138" s="1" t="s">
        <v>1894</v>
      </c>
      <c r="F138" s="1" t="s">
        <v>112</v>
      </c>
      <c r="G138" s="1">
        <v>3099629</v>
      </c>
    </row>
    <row r="139" spans="1:7" x14ac:dyDescent="0.3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1895</v>
      </c>
      <c r="D139" s="1" t="s">
        <v>1896</v>
      </c>
      <c r="E139" s="1" t="s">
        <v>1897</v>
      </c>
      <c r="F139" s="1" t="s">
        <v>112</v>
      </c>
      <c r="G139" s="1">
        <v>2656194</v>
      </c>
    </row>
    <row r="140" spans="1:7" x14ac:dyDescent="0.3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1898</v>
      </c>
      <c r="D140" s="1" t="s">
        <v>1899</v>
      </c>
      <c r="E140" s="1" t="s">
        <v>1900</v>
      </c>
      <c r="F140" s="1" t="s">
        <v>112</v>
      </c>
      <c r="G140" s="1">
        <v>1438453</v>
      </c>
    </row>
    <row r="141" spans="1:7" x14ac:dyDescent="0.3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1901</v>
      </c>
      <c r="D141" s="1" t="s">
        <v>1902</v>
      </c>
      <c r="E141" s="1" t="s">
        <v>1903</v>
      </c>
      <c r="F141" s="1" t="s">
        <v>112</v>
      </c>
      <c r="G141" s="1">
        <v>1100983</v>
      </c>
    </row>
    <row r="142" spans="1:7" x14ac:dyDescent="0.3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1904</v>
      </c>
      <c r="D142" s="1" t="s">
        <v>1905</v>
      </c>
      <c r="E142" s="1" t="s">
        <v>1906</v>
      </c>
      <c r="F142" s="1" t="s">
        <v>112</v>
      </c>
      <c r="G142" s="1">
        <v>1336468</v>
      </c>
    </row>
    <row r="143" spans="1:7" x14ac:dyDescent="0.3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1907</v>
      </c>
      <c r="D143" s="1" t="s">
        <v>1908</v>
      </c>
      <c r="E143" s="1" t="s">
        <v>1909</v>
      </c>
      <c r="F143" s="1" t="s">
        <v>112</v>
      </c>
      <c r="G143" s="1">
        <v>699684</v>
      </c>
    </row>
    <row r="144" spans="1:7" x14ac:dyDescent="0.3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1910</v>
      </c>
      <c r="D144" s="1" t="s">
        <v>1842</v>
      </c>
      <c r="E144" s="1" t="s">
        <v>1911</v>
      </c>
      <c r="F144" s="1" t="s">
        <v>112</v>
      </c>
      <c r="G144" s="1">
        <v>644398</v>
      </c>
    </row>
    <row r="145" spans="1:10" x14ac:dyDescent="0.3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1912</v>
      </c>
      <c r="D145" s="1" t="s">
        <v>1913</v>
      </c>
      <c r="E145" s="1" t="s">
        <v>1914</v>
      </c>
      <c r="F145" s="1" t="s">
        <v>112</v>
      </c>
      <c r="G145" s="1">
        <v>629927</v>
      </c>
    </row>
    <row r="146" spans="1:10" x14ac:dyDescent="0.3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1915</v>
      </c>
      <c r="D146" s="1" t="s">
        <v>1916</v>
      </c>
      <c r="E146" s="1" t="s">
        <v>1917</v>
      </c>
      <c r="F146" s="1" t="s">
        <v>112</v>
      </c>
      <c r="G146" s="1">
        <v>1922270</v>
      </c>
    </row>
    <row r="147" spans="1:10" x14ac:dyDescent="0.3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1918</v>
      </c>
      <c r="D147" s="1" t="s">
        <v>1919</v>
      </c>
      <c r="E147" s="1" t="s">
        <v>1920</v>
      </c>
      <c r="F147" s="1" t="s">
        <v>112</v>
      </c>
      <c r="G147" s="1">
        <v>1629964</v>
      </c>
    </row>
    <row r="148" spans="1:10" x14ac:dyDescent="0.3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1921</v>
      </c>
      <c r="D148" s="1" t="s">
        <v>1922</v>
      </c>
      <c r="E148" s="1" t="s">
        <v>1923</v>
      </c>
      <c r="F148" s="1" t="s">
        <v>112</v>
      </c>
      <c r="G148" s="1">
        <v>1666324</v>
      </c>
    </row>
    <row r="149" spans="1:10" x14ac:dyDescent="0.3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1924</v>
      </c>
      <c r="D149" s="1" t="s">
        <v>1925</v>
      </c>
      <c r="E149" s="1" t="s">
        <v>1926</v>
      </c>
      <c r="F149" s="1" t="s">
        <v>112</v>
      </c>
      <c r="G149" s="1">
        <v>766282</v>
      </c>
    </row>
    <row r="150" spans="1:10" x14ac:dyDescent="0.3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1927</v>
      </c>
      <c r="D150" s="1" t="s">
        <v>1928</v>
      </c>
      <c r="E150" s="1" t="s">
        <v>1929</v>
      </c>
      <c r="F150" s="1" t="s">
        <v>112</v>
      </c>
      <c r="G150" s="1">
        <v>907158</v>
      </c>
    </row>
    <row r="151" spans="1:10" x14ac:dyDescent="0.3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1930</v>
      </c>
      <c r="D151" s="1" t="s">
        <v>1931</v>
      </c>
      <c r="E151" s="1" t="s">
        <v>1932</v>
      </c>
      <c r="F151" s="1" t="s">
        <v>112</v>
      </c>
      <c r="G151" s="1">
        <v>586624</v>
      </c>
    </row>
    <row r="152" spans="1:10" x14ac:dyDescent="0.3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1933</v>
      </c>
      <c r="D152" s="1" t="s">
        <v>1934</v>
      </c>
      <c r="E152" s="1" t="s">
        <v>1935</v>
      </c>
      <c r="F152" s="1" t="s">
        <v>112</v>
      </c>
      <c r="G152" s="1">
        <v>1462722</v>
      </c>
    </row>
    <row r="153" spans="1:10" x14ac:dyDescent="0.3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1936</v>
      </c>
      <c r="D153" s="1" t="s">
        <v>1937</v>
      </c>
      <c r="E153" s="1" t="s">
        <v>1938</v>
      </c>
      <c r="F153" s="1" t="s">
        <v>112</v>
      </c>
      <c r="G153" s="1">
        <v>1828007</v>
      </c>
    </row>
    <row r="154" spans="1:10" x14ac:dyDescent="0.3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1939</v>
      </c>
      <c r="D154" s="1" t="s">
        <v>1940</v>
      </c>
      <c r="E154" s="1" t="s">
        <v>1941</v>
      </c>
      <c r="F154" s="1" t="s">
        <v>112</v>
      </c>
      <c r="G154" s="1">
        <v>1508772</v>
      </c>
    </row>
    <row r="155" spans="1:10" x14ac:dyDescent="0.3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1942</v>
      </c>
      <c r="D155" s="1" t="s">
        <v>1943</v>
      </c>
      <c r="E155" s="1" t="s">
        <v>1944</v>
      </c>
      <c r="F155" s="1" t="s">
        <v>112</v>
      </c>
      <c r="G155" s="1">
        <v>2417725</v>
      </c>
    </row>
    <row r="156" spans="1:10" x14ac:dyDescent="0.3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1945</v>
      </c>
      <c r="D156" s="1" t="s">
        <v>1943</v>
      </c>
      <c r="E156" s="1" t="s">
        <v>1946</v>
      </c>
      <c r="F156" s="1" t="s">
        <v>112</v>
      </c>
      <c r="G156" s="1">
        <v>2334774</v>
      </c>
    </row>
    <row r="157" spans="1:10" x14ac:dyDescent="0.3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1947</v>
      </c>
      <c r="D157" s="1" t="s">
        <v>1948</v>
      </c>
      <c r="E157" s="1" t="s">
        <v>1949</v>
      </c>
      <c r="F157" s="1" t="s">
        <v>112</v>
      </c>
      <c r="G157" s="1">
        <v>2468555</v>
      </c>
    </row>
    <row r="158" spans="1:10"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227</v>
      </c>
      <c r="D159" s="1" t="s">
        <v>112</v>
      </c>
      <c r="E159" s="1" t="s">
        <v>228</v>
      </c>
      <c r="F159" s="1" t="s">
        <v>229</v>
      </c>
      <c r="G159" s="1" t="s">
        <v>230</v>
      </c>
      <c r="H159" s="1" t="s">
        <v>231</v>
      </c>
      <c r="I159" s="1" t="s">
        <v>232</v>
      </c>
      <c r="J159" s="1" t="s">
        <v>233</v>
      </c>
    </row>
    <row r="160" spans="1:10" x14ac:dyDescent="0.3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1950</v>
      </c>
      <c r="D160" s="1" t="s">
        <v>112</v>
      </c>
      <c r="E160" s="1" t="s">
        <v>1951</v>
      </c>
      <c r="F160" s="1" t="s">
        <v>1952</v>
      </c>
      <c r="G160" s="1" t="s">
        <v>1953</v>
      </c>
      <c r="H160" s="1" t="s">
        <v>1954</v>
      </c>
      <c r="I160" s="1">
        <v>24</v>
      </c>
      <c r="J160" s="1">
        <v>24</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239</v>
      </c>
      <c r="D166" s="1" t="s">
        <v>110</v>
      </c>
      <c r="E166" s="1" t="s">
        <v>111</v>
      </c>
      <c r="F166" s="1" t="s">
        <v>112</v>
      </c>
      <c r="G166" s="1" t="s">
        <v>113</v>
      </c>
    </row>
    <row r="167" spans="1:7" x14ac:dyDescent="0.3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1955</v>
      </c>
      <c r="D167" s="1" t="s">
        <v>1956</v>
      </c>
      <c r="E167" s="1" t="s">
        <v>1957</v>
      </c>
      <c r="F167" s="1" t="s">
        <v>112</v>
      </c>
      <c r="G167" s="1">
        <v>4780791</v>
      </c>
    </row>
    <row r="168" spans="1:7" x14ac:dyDescent="0.3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1958</v>
      </c>
      <c r="D168" s="1" t="s">
        <v>1959</v>
      </c>
      <c r="E168" s="1" t="s">
        <v>1960</v>
      </c>
      <c r="F168" s="1" t="s">
        <v>112</v>
      </c>
      <c r="G168" s="1">
        <v>4849228</v>
      </c>
    </row>
    <row r="169" spans="1:7" x14ac:dyDescent="0.3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1961</v>
      </c>
      <c r="D169" s="1" t="s">
        <v>1962</v>
      </c>
      <c r="E169" s="1" t="s">
        <v>1963</v>
      </c>
      <c r="F169" s="1" t="s">
        <v>112</v>
      </c>
      <c r="G169" s="1">
        <v>4798787</v>
      </c>
    </row>
    <row r="170" spans="1:7" x14ac:dyDescent="0.3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1964</v>
      </c>
      <c r="D170" s="1" t="s">
        <v>1965</v>
      </c>
      <c r="E170" s="1" t="s">
        <v>1966</v>
      </c>
      <c r="F170" s="1" t="s">
        <v>112</v>
      </c>
      <c r="G170" s="1">
        <v>1532067</v>
      </c>
    </row>
    <row r="171" spans="1:7" x14ac:dyDescent="0.3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1967</v>
      </c>
      <c r="D171" s="1" t="s">
        <v>1968</v>
      </c>
      <c r="E171" s="1" t="s">
        <v>1969</v>
      </c>
      <c r="F171" s="1" t="s">
        <v>112</v>
      </c>
      <c r="G171" s="1">
        <v>1236624</v>
      </c>
    </row>
    <row r="172" spans="1:7" x14ac:dyDescent="0.3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1970</v>
      </c>
      <c r="D172" s="1" t="s">
        <v>1971</v>
      </c>
      <c r="E172" s="1" t="s">
        <v>1972</v>
      </c>
      <c r="F172" s="1" t="s">
        <v>112</v>
      </c>
      <c r="G172" s="1">
        <v>1705777</v>
      </c>
    </row>
    <row r="173" spans="1:7" x14ac:dyDescent="0.3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1973</v>
      </c>
      <c r="D173" s="1" t="s">
        <v>1974</v>
      </c>
      <c r="E173" s="1" t="s">
        <v>1975</v>
      </c>
      <c r="F173" s="1" t="s">
        <v>112</v>
      </c>
      <c r="G173" s="1">
        <v>1989821</v>
      </c>
    </row>
    <row r="174" spans="1:7" x14ac:dyDescent="0.3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1976</v>
      </c>
      <c r="D174" s="1" t="s">
        <v>1977</v>
      </c>
      <c r="E174" s="1" t="s">
        <v>1978</v>
      </c>
      <c r="F174" s="1" t="s">
        <v>112</v>
      </c>
      <c r="G174" s="1">
        <v>1995271</v>
      </c>
    </row>
    <row r="175" spans="1:7" x14ac:dyDescent="0.3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1979</v>
      </c>
      <c r="D175" s="1" t="s">
        <v>1980</v>
      </c>
      <c r="E175" s="1" t="s">
        <v>1981</v>
      </c>
      <c r="F175" s="1" t="s">
        <v>112</v>
      </c>
      <c r="G175" s="1">
        <v>1733787</v>
      </c>
    </row>
    <row r="176" spans="1:7" x14ac:dyDescent="0.3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1982</v>
      </c>
      <c r="D176" s="1" t="s">
        <v>1983</v>
      </c>
      <c r="E176" s="1" t="s">
        <v>1984</v>
      </c>
      <c r="F176" s="1" t="s">
        <v>112</v>
      </c>
      <c r="G176" s="1">
        <v>3726831</v>
      </c>
    </row>
    <row r="177" spans="1:10" x14ac:dyDescent="0.3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1985</v>
      </c>
      <c r="D177" s="1" t="s">
        <v>1986</v>
      </c>
      <c r="E177" s="1" t="s">
        <v>1987</v>
      </c>
      <c r="F177" s="1" t="s">
        <v>112</v>
      </c>
      <c r="G177" s="1">
        <v>3147712</v>
      </c>
    </row>
    <row r="178" spans="1:10" x14ac:dyDescent="0.3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1988</v>
      </c>
      <c r="D178" s="1" t="s">
        <v>1989</v>
      </c>
      <c r="E178" s="1" t="s">
        <v>1990</v>
      </c>
      <c r="F178" s="1" t="s">
        <v>112</v>
      </c>
      <c r="G178" s="1">
        <v>3329511</v>
      </c>
    </row>
    <row r="179" spans="1:10" x14ac:dyDescent="0.3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1991</v>
      </c>
      <c r="D179" s="1" t="s">
        <v>1992</v>
      </c>
      <c r="E179" s="1" t="s">
        <v>1993</v>
      </c>
      <c r="F179" s="1" t="s">
        <v>112</v>
      </c>
      <c r="G179" s="1">
        <v>3843740</v>
      </c>
    </row>
    <row r="180" spans="1:10" x14ac:dyDescent="0.3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1994</v>
      </c>
      <c r="D180" s="1" t="s">
        <v>1995</v>
      </c>
      <c r="E180" s="1" t="s">
        <v>1996</v>
      </c>
      <c r="F180" s="1" t="s">
        <v>112</v>
      </c>
      <c r="G180" s="1">
        <v>3671155</v>
      </c>
    </row>
    <row r="181" spans="1:10" x14ac:dyDescent="0.3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1997</v>
      </c>
      <c r="D181" s="1" t="s">
        <v>1998</v>
      </c>
      <c r="E181" s="1" t="s">
        <v>1999</v>
      </c>
      <c r="F181" s="1" t="s">
        <v>112</v>
      </c>
      <c r="G181" s="1">
        <v>3564261</v>
      </c>
    </row>
    <row r="182" spans="1:10" x14ac:dyDescent="0.3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2000</v>
      </c>
      <c r="D182" s="1" t="s">
        <v>2001</v>
      </c>
      <c r="E182" s="1" t="s">
        <v>2002</v>
      </c>
      <c r="F182" s="1" t="s">
        <v>112</v>
      </c>
      <c r="G182" s="1">
        <v>4173142</v>
      </c>
    </row>
    <row r="183" spans="1:10" x14ac:dyDescent="0.3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2003</v>
      </c>
      <c r="D183" s="1" t="s">
        <v>2004</v>
      </c>
      <c r="E183" s="1" t="s">
        <v>2005</v>
      </c>
      <c r="F183" s="1" t="s">
        <v>112</v>
      </c>
      <c r="G183" s="1">
        <v>4433826</v>
      </c>
    </row>
    <row r="184" spans="1:10" x14ac:dyDescent="0.3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2006</v>
      </c>
      <c r="D184" s="1" t="s">
        <v>2007</v>
      </c>
      <c r="E184" s="1" t="s">
        <v>2008</v>
      </c>
      <c r="F184" s="1" t="s">
        <v>112</v>
      </c>
      <c r="G184" s="1">
        <v>4331257</v>
      </c>
    </row>
    <row r="185" spans="1:10" x14ac:dyDescent="0.3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2009</v>
      </c>
      <c r="D185" s="1" t="s">
        <v>2010</v>
      </c>
      <c r="E185" s="1" t="s">
        <v>2011</v>
      </c>
      <c r="F185" s="1" t="s">
        <v>112</v>
      </c>
      <c r="G185" s="1">
        <v>3676347</v>
      </c>
    </row>
    <row r="186" spans="1:10" x14ac:dyDescent="0.3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2012</v>
      </c>
      <c r="D186" s="1" t="s">
        <v>2013</v>
      </c>
      <c r="E186" s="1" t="s">
        <v>2014</v>
      </c>
      <c r="F186" s="1" t="s">
        <v>112</v>
      </c>
      <c r="G186" s="1">
        <v>2954622</v>
      </c>
    </row>
    <row r="187" spans="1:10" x14ac:dyDescent="0.3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2015</v>
      </c>
      <c r="D187" s="1" t="s">
        <v>2016</v>
      </c>
      <c r="E187" s="1" t="s">
        <v>2017</v>
      </c>
      <c r="F187" s="1" t="s">
        <v>112</v>
      </c>
      <c r="G187" s="1">
        <v>3426024</v>
      </c>
    </row>
    <row r="188" spans="1:10" x14ac:dyDescent="0.3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2018</v>
      </c>
      <c r="D188" s="1" t="s">
        <v>2019</v>
      </c>
      <c r="E188" s="1" t="s">
        <v>2020</v>
      </c>
      <c r="F188" s="1" t="s">
        <v>112</v>
      </c>
      <c r="G188" s="1">
        <v>4292474</v>
      </c>
    </row>
    <row r="189" spans="1:10" x14ac:dyDescent="0.3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2021</v>
      </c>
      <c r="D189" s="1" t="s">
        <v>2022</v>
      </c>
      <c r="E189" s="1" t="s">
        <v>2023</v>
      </c>
      <c r="F189" s="1" t="s">
        <v>112</v>
      </c>
      <c r="G189" s="1">
        <v>3599063</v>
      </c>
    </row>
    <row r="190" spans="1:10" x14ac:dyDescent="0.3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2024</v>
      </c>
      <c r="D190" s="1" t="s">
        <v>2025</v>
      </c>
      <c r="E190" s="1" t="s">
        <v>2026</v>
      </c>
      <c r="F190" s="1" t="s">
        <v>112</v>
      </c>
      <c r="G190" s="1">
        <v>4244067</v>
      </c>
    </row>
    <row r="191" spans="1:10"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227</v>
      </c>
      <c r="D192" s="1" t="s">
        <v>112</v>
      </c>
      <c r="E192" s="1" t="s">
        <v>228</v>
      </c>
      <c r="F192" s="1" t="s">
        <v>229</v>
      </c>
      <c r="G192" s="1" t="s">
        <v>230</v>
      </c>
      <c r="H192" s="1" t="s">
        <v>231</v>
      </c>
      <c r="I192" s="1" t="s">
        <v>232</v>
      </c>
      <c r="J192" s="1" t="s">
        <v>233</v>
      </c>
    </row>
    <row r="193" spans="1:10" x14ac:dyDescent="0.3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2027</v>
      </c>
      <c r="D193" s="1" t="s">
        <v>112</v>
      </c>
      <c r="E193" s="1" t="s">
        <v>2028</v>
      </c>
      <c r="F193" s="1" t="s">
        <v>2029</v>
      </c>
      <c r="G193" s="1" t="s">
        <v>2030</v>
      </c>
      <c r="H193" s="1" t="s">
        <v>2031</v>
      </c>
      <c r="I193" s="1">
        <v>24</v>
      </c>
      <c r="J193" s="1">
        <v>24</v>
      </c>
    </row>
    <row r="194" spans="1:10"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239</v>
      </c>
      <c r="D199" s="1" t="s">
        <v>110</v>
      </c>
      <c r="E199" s="1" t="s">
        <v>111</v>
      </c>
      <c r="F199" s="1" t="s">
        <v>112</v>
      </c>
      <c r="G199" s="1" t="s">
        <v>113</v>
      </c>
    </row>
    <row r="200" spans="1:10" x14ac:dyDescent="0.3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2032</v>
      </c>
      <c r="D200" s="1" t="s">
        <v>2033</v>
      </c>
      <c r="E200" s="1" t="s">
        <v>2034</v>
      </c>
      <c r="F200" s="1" t="s">
        <v>112</v>
      </c>
      <c r="G200" s="1">
        <v>4923332</v>
      </c>
    </row>
    <row r="201" spans="1:10" x14ac:dyDescent="0.3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2035</v>
      </c>
      <c r="D201" s="1" t="s">
        <v>2036</v>
      </c>
      <c r="E201" s="1" t="s">
        <v>2037</v>
      </c>
      <c r="F201" s="1" t="s">
        <v>112</v>
      </c>
      <c r="G201" s="1">
        <v>5760625</v>
      </c>
    </row>
    <row r="202" spans="1:10" x14ac:dyDescent="0.3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2038</v>
      </c>
      <c r="D202" s="1" t="s">
        <v>2039</v>
      </c>
      <c r="E202" s="1" t="s">
        <v>2040</v>
      </c>
      <c r="F202" s="1" t="s">
        <v>112</v>
      </c>
      <c r="G202" s="1">
        <v>5889691</v>
      </c>
    </row>
    <row r="203" spans="1:10" x14ac:dyDescent="0.3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2041</v>
      </c>
      <c r="D203" s="1" t="s">
        <v>2042</v>
      </c>
      <c r="E203" s="1" t="s">
        <v>2043</v>
      </c>
      <c r="F203" s="1" t="s">
        <v>112</v>
      </c>
      <c r="G203" s="1">
        <v>3270137</v>
      </c>
    </row>
    <row r="204" spans="1:10" x14ac:dyDescent="0.3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2044</v>
      </c>
      <c r="D204" s="1" t="s">
        <v>2045</v>
      </c>
      <c r="E204" s="1" t="s">
        <v>2046</v>
      </c>
      <c r="F204" s="1" t="s">
        <v>112</v>
      </c>
      <c r="G204" s="1">
        <v>3405519</v>
      </c>
    </row>
    <row r="205" spans="1:10" x14ac:dyDescent="0.3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2047</v>
      </c>
      <c r="D205" s="1" t="s">
        <v>2048</v>
      </c>
      <c r="E205" s="1" t="s">
        <v>2049</v>
      </c>
      <c r="F205" s="1" t="s">
        <v>112</v>
      </c>
      <c r="G205" s="1">
        <v>3487950</v>
      </c>
    </row>
    <row r="206" spans="1:10" x14ac:dyDescent="0.3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2050</v>
      </c>
      <c r="D206" s="1" t="s">
        <v>2051</v>
      </c>
      <c r="E206" s="1" t="s">
        <v>2052</v>
      </c>
      <c r="F206" s="1" t="s">
        <v>112</v>
      </c>
      <c r="G206" s="1">
        <v>2114733</v>
      </c>
    </row>
    <row r="207" spans="1:10" x14ac:dyDescent="0.3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2053</v>
      </c>
    </row>
    <row r="208" spans="1:10" x14ac:dyDescent="0.3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2054</v>
      </c>
      <c r="D208" s="1" t="s">
        <v>2055</v>
      </c>
      <c r="E208" s="1" t="s">
        <v>2056</v>
      </c>
      <c r="F208" s="1" t="s">
        <v>112</v>
      </c>
      <c r="G208" s="1">
        <v>2080753</v>
      </c>
    </row>
    <row r="209" spans="1:7" x14ac:dyDescent="0.3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2057</v>
      </c>
      <c r="D209" s="1" t="s">
        <v>2058</v>
      </c>
      <c r="E209" s="1" t="s">
        <v>2059</v>
      </c>
      <c r="F209" s="1" t="s">
        <v>112</v>
      </c>
      <c r="G209" s="1">
        <v>5759068</v>
      </c>
    </row>
    <row r="210" spans="1:7" x14ac:dyDescent="0.3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2060</v>
      </c>
      <c r="D210" s="1" t="s">
        <v>2061</v>
      </c>
      <c r="E210" s="1" t="s">
        <v>2062</v>
      </c>
      <c r="F210" s="1" t="s">
        <v>112</v>
      </c>
      <c r="G210" s="1">
        <v>5971754</v>
      </c>
    </row>
    <row r="211" spans="1:7" x14ac:dyDescent="0.3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2063</v>
      </c>
      <c r="D211" s="1" t="s">
        <v>2064</v>
      </c>
      <c r="E211" s="1" t="s">
        <v>2065</v>
      </c>
      <c r="F211" s="1" t="s">
        <v>112</v>
      </c>
      <c r="G211" s="1">
        <v>5631127</v>
      </c>
    </row>
    <row r="212" spans="1:7" x14ac:dyDescent="0.3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2066</v>
      </c>
      <c r="D212" s="1" t="s">
        <v>2067</v>
      </c>
      <c r="E212" s="1" t="s">
        <v>2068</v>
      </c>
      <c r="F212" s="1" t="s">
        <v>112</v>
      </c>
      <c r="G212" s="1">
        <v>3978603</v>
      </c>
    </row>
    <row r="213" spans="1:7" x14ac:dyDescent="0.3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2069</v>
      </c>
      <c r="D213" s="1" t="s">
        <v>2070</v>
      </c>
      <c r="E213" s="1" t="s">
        <v>2071</v>
      </c>
      <c r="F213" s="1" t="s">
        <v>112</v>
      </c>
      <c r="G213" s="1">
        <v>3748699</v>
      </c>
    </row>
    <row r="214" spans="1:7" x14ac:dyDescent="0.3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2072</v>
      </c>
      <c r="D214" s="1" t="s">
        <v>2073</v>
      </c>
      <c r="E214" s="1" t="s">
        <v>2074</v>
      </c>
      <c r="F214" s="1" t="s">
        <v>112</v>
      </c>
      <c r="G214" s="1">
        <v>3491173</v>
      </c>
    </row>
    <row r="215" spans="1:7" x14ac:dyDescent="0.3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2075</v>
      </c>
      <c r="D215" s="1" t="s">
        <v>2076</v>
      </c>
      <c r="E215" s="1" t="s">
        <v>2077</v>
      </c>
      <c r="F215" s="1" t="s">
        <v>112</v>
      </c>
      <c r="G215" s="1">
        <v>3705287</v>
      </c>
    </row>
    <row r="216" spans="1:7" x14ac:dyDescent="0.3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2078</v>
      </c>
      <c r="D216" s="1" t="s">
        <v>2079</v>
      </c>
      <c r="E216" s="1" t="s">
        <v>2080</v>
      </c>
      <c r="F216" s="1" t="s">
        <v>112</v>
      </c>
      <c r="G216" s="1">
        <v>3716362</v>
      </c>
    </row>
    <row r="217" spans="1:7" x14ac:dyDescent="0.3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2081</v>
      </c>
      <c r="D217" s="1" t="s">
        <v>2082</v>
      </c>
      <c r="E217" s="1" t="s">
        <v>2083</v>
      </c>
      <c r="F217" s="1" t="s">
        <v>112</v>
      </c>
      <c r="G217" s="1">
        <v>3682619</v>
      </c>
    </row>
    <row r="218" spans="1:7" x14ac:dyDescent="0.3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2084</v>
      </c>
      <c r="D218" s="1" t="s">
        <v>2079</v>
      </c>
      <c r="E218" s="1" t="s">
        <v>2085</v>
      </c>
      <c r="F218" s="1" t="s">
        <v>112</v>
      </c>
      <c r="G218" s="1">
        <v>4477215</v>
      </c>
    </row>
    <row r="219" spans="1:7" x14ac:dyDescent="0.3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2086</v>
      </c>
    </row>
    <row r="220" spans="1:7" x14ac:dyDescent="0.3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2087</v>
      </c>
      <c r="D220" s="1" t="s">
        <v>2088</v>
      </c>
      <c r="E220" s="1" t="s">
        <v>2089</v>
      </c>
      <c r="F220" s="1" t="s">
        <v>112</v>
      </c>
      <c r="G220" s="1">
        <v>4709369</v>
      </c>
    </row>
    <row r="221" spans="1:7" x14ac:dyDescent="0.3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2090</v>
      </c>
      <c r="D221" s="1" t="s">
        <v>2091</v>
      </c>
      <c r="E221" s="1" t="s">
        <v>2092</v>
      </c>
      <c r="F221" s="1" t="s">
        <v>112</v>
      </c>
      <c r="G221" s="1">
        <v>5750589</v>
      </c>
    </row>
    <row r="222" spans="1:7" x14ac:dyDescent="0.3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2093</v>
      </c>
      <c r="D222" s="1" t="s">
        <v>2094</v>
      </c>
      <c r="E222" s="1" t="s">
        <v>2095</v>
      </c>
      <c r="F222" s="1" t="s">
        <v>112</v>
      </c>
      <c r="G222" s="1">
        <v>5628618</v>
      </c>
    </row>
    <row r="223" spans="1:7" x14ac:dyDescent="0.3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2096</v>
      </c>
      <c r="D223" s="1" t="s">
        <v>2097</v>
      </c>
      <c r="E223" s="1" t="s">
        <v>2098</v>
      </c>
      <c r="F223" s="1" t="s">
        <v>112</v>
      </c>
      <c r="G223" s="1">
        <v>5528363</v>
      </c>
    </row>
    <row r="224" spans="1:7"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227</v>
      </c>
      <c r="D225" s="1" t="s">
        <v>112</v>
      </c>
      <c r="E225" s="1" t="s">
        <v>228</v>
      </c>
      <c r="F225" s="1" t="s">
        <v>229</v>
      </c>
      <c r="G225" s="1" t="s">
        <v>230</v>
      </c>
      <c r="H225" s="1" t="s">
        <v>231</v>
      </c>
      <c r="I225" s="1" t="s">
        <v>232</v>
      </c>
      <c r="J225" s="1" t="s">
        <v>233</v>
      </c>
    </row>
    <row r="226" spans="1:10" x14ac:dyDescent="0.3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2099</v>
      </c>
      <c r="D226" s="1" t="s">
        <v>112</v>
      </c>
      <c r="E226" s="1" t="s">
        <v>2100</v>
      </c>
      <c r="F226" s="1" t="s">
        <v>2101</v>
      </c>
      <c r="G226" s="1">
        <v>4238322</v>
      </c>
      <c r="H226" s="1" t="s">
        <v>2102</v>
      </c>
      <c r="I226" s="1">
        <v>24</v>
      </c>
      <c r="J226" s="1">
        <v>24</v>
      </c>
    </row>
    <row r="227" spans="1:10"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239</v>
      </c>
      <c r="D232" s="1" t="s">
        <v>110</v>
      </c>
      <c r="E232" s="1" t="s">
        <v>111</v>
      </c>
      <c r="F232" s="1" t="s">
        <v>112</v>
      </c>
      <c r="G232" s="1" t="s">
        <v>113</v>
      </c>
    </row>
    <row r="233" spans="1:10" x14ac:dyDescent="0.35">
      <c r="A233" s="1" t="str">
        <f t="shared" si="3"/>
        <v>08 Anastrozole 0.032 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2103</v>
      </c>
      <c r="D233" s="1" t="s">
        <v>2104</v>
      </c>
      <c r="E233" s="1" t="s">
        <v>2105</v>
      </c>
      <c r="F233" s="1" t="s">
        <v>112</v>
      </c>
      <c r="G233" s="1">
        <v>125973</v>
      </c>
    </row>
    <row r="234" spans="1:10" x14ac:dyDescent="0.35">
      <c r="A234" s="1" t="str">
        <f t="shared" si="3"/>
        <v>08 Anastrozole 0.032 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2106</v>
      </c>
      <c r="D234" s="1" t="s">
        <v>2107</v>
      </c>
      <c r="E234" s="1" t="s">
        <v>290</v>
      </c>
      <c r="F234" s="1" t="s">
        <v>112</v>
      </c>
      <c r="G234" s="1">
        <v>24334</v>
      </c>
    </row>
    <row r="235" spans="1:10" x14ac:dyDescent="0.35">
      <c r="A235" s="1" t="str">
        <f t="shared" si="3"/>
        <v>08 Anastrozole 0.032 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2108</v>
      </c>
      <c r="D235" s="1" t="s">
        <v>2109</v>
      </c>
      <c r="E235" s="1" t="s">
        <v>2110</v>
      </c>
      <c r="F235" s="1" t="s">
        <v>112</v>
      </c>
      <c r="G235" s="1">
        <v>79966</v>
      </c>
    </row>
    <row r="236" spans="1:10" x14ac:dyDescent="0.35">
      <c r="A236" s="1" t="str">
        <f t="shared" si="3"/>
        <v>08 Anastrozole 0.032 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2111</v>
      </c>
      <c r="D236" s="1" t="s">
        <v>1631</v>
      </c>
      <c r="E236" s="1" t="s">
        <v>2112</v>
      </c>
      <c r="F236" s="1" t="s">
        <v>112</v>
      </c>
      <c r="G236" s="1">
        <v>96837</v>
      </c>
    </row>
    <row r="237" spans="1:10" x14ac:dyDescent="0.35">
      <c r="A237" s="1" t="str">
        <f t="shared" si="3"/>
        <v>08 Anastrozole 0.032 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2113</v>
      </c>
      <c r="D237" s="1" t="s">
        <v>2114</v>
      </c>
      <c r="E237" s="1">
        <v>64</v>
      </c>
      <c r="F237" s="1" t="s">
        <v>112</v>
      </c>
      <c r="G237" s="1">
        <v>8306</v>
      </c>
    </row>
    <row r="238" spans="1:10" x14ac:dyDescent="0.35">
      <c r="A238" s="1" t="str">
        <f t="shared" si="3"/>
        <v>08 Anastrozole 0.032 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2115</v>
      </c>
      <c r="D238" s="1" t="s">
        <v>2116</v>
      </c>
      <c r="E238" s="1" t="s">
        <v>2117</v>
      </c>
      <c r="F238" s="1" t="s">
        <v>112</v>
      </c>
      <c r="G238" s="1">
        <v>22084</v>
      </c>
    </row>
    <row r="239" spans="1:10" x14ac:dyDescent="0.35">
      <c r="A239" s="1" t="str">
        <f t="shared" si="3"/>
        <v>08 Anastrozole 0.032 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2118</v>
      </c>
      <c r="D239" s="1" t="s">
        <v>1741</v>
      </c>
      <c r="E239" s="1" t="s">
        <v>2119</v>
      </c>
      <c r="F239" s="1" t="s">
        <v>112</v>
      </c>
      <c r="G239" s="1">
        <v>65041</v>
      </c>
    </row>
    <row r="240" spans="1:10" x14ac:dyDescent="0.35">
      <c r="A240" s="1" t="str">
        <f t="shared" si="3"/>
        <v>08 Anastrozole 0.032 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2120</v>
      </c>
      <c r="D240" s="1" t="s">
        <v>2107</v>
      </c>
      <c r="E240" s="1" t="s">
        <v>2121</v>
      </c>
      <c r="F240" s="1" t="s">
        <v>112</v>
      </c>
      <c r="G240" s="1">
        <v>25047</v>
      </c>
    </row>
    <row r="241" spans="1:7" x14ac:dyDescent="0.35">
      <c r="A241" s="1" t="str">
        <f t="shared" si="3"/>
        <v>08 Anastrozole 0.032 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2122</v>
      </c>
      <c r="D241" s="1" t="s">
        <v>2123</v>
      </c>
      <c r="E241" s="1" t="s">
        <v>2124</v>
      </c>
      <c r="F241" s="1" t="s">
        <v>112</v>
      </c>
      <c r="G241" s="1">
        <v>56605</v>
      </c>
    </row>
    <row r="242" spans="1:7" x14ac:dyDescent="0.35">
      <c r="A242" s="1" t="str">
        <f t="shared" si="3"/>
        <v>08 Anastrozole 0.032 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2125</v>
      </c>
      <c r="D242" s="1" t="s">
        <v>2126</v>
      </c>
      <c r="E242" s="1" t="s">
        <v>2127</v>
      </c>
      <c r="F242" s="1" t="s">
        <v>112</v>
      </c>
      <c r="G242" s="1">
        <v>193934</v>
      </c>
    </row>
    <row r="243" spans="1:7" x14ac:dyDescent="0.35">
      <c r="A243" s="1" t="str">
        <f t="shared" si="3"/>
        <v>08 Anastrozole 0.032 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2128</v>
      </c>
      <c r="D243" s="1" t="s">
        <v>1723</v>
      </c>
      <c r="E243" s="1" t="s">
        <v>2129</v>
      </c>
      <c r="F243" s="1" t="s">
        <v>112</v>
      </c>
      <c r="G243" s="1">
        <v>149268</v>
      </c>
    </row>
    <row r="244" spans="1:7" x14ac:dyDescent="0.35">
      <c r="A244" s="1" t="str">
        <f t="shared" si="3"/>
        <v>08 Anastrozole 0.032 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2130</v>
      </c>
      <c r="D244" s="1" t="s">
        <v>2131</v>
      </c>
      <c r="E244" s="1" t="s">
        <v>2132</v>
      </c>
      <c r="F244" s="1" t="s">
        <v>112</v>
      </c>
      <c r="G244" s="1">
        <v>44255</v>
      </c>
    </row>
    <row r="245" spans="1:7" x14ac:dyDescent="0.35">
      <c r="A245" s="1" t="str">
        <f t="shared" si="3"/>
        <v>08 Anastrozole 0.032 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2133</v>
      </c>
      <c r="D245" s="1" t="s">
        <v>1817</v>
      </c>
      <c r="E245" s="1" t="s">
        <v>2134</v>
      </c>
      <c r="F245" s="1" t="s">
        <v>112</v>
      </c>
      <c r="G245" s="1">
        <v>182362</v>
      </c>
    </row>
    <row r="246" spans="1:7" x14ac:dyDescent="0.35">
      <c r="A246" s="1" t="str">
        <f t="shared" si="3"/>
        <v>08 Anastrozole 0.032 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2135</v>
      </c>
      <c r="D246" s="1" t="s">
        <v>2136</v>
      </c>
      <c r="E246" s="1" t="s">
        <v>2137</v>
      </c>
      <c r="F246" s="1" t="s">
        <v>112</v>
      </c>
      <c r="G246" s="1">
        <v>164041</v>
      </c>
    </row>
    <row r="247" spans="1:7" x14ac:dyDescent="0.35">
      <c r="A247" s="1" t="str">
        <f t="shared" si="3"/>
        <v>08 Anastrozole 0.032 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2138</v>
      </c>
      <c r="D247" s="1" t="s">
        <v>2139</v>
      </c>
      <c r="E247" s="1" t="s">
        <v>2140</v>
      </c>
      <c r="F247" s="1" t="s">
        <v>112</v>
      </c>
      <c r="G247" s="1">
        <v>189737</v>
      </c>
    </row>
    <row r="248" spans="1:7" x14ac:dyDescent="0.35">
      <c r="A248" s="1" t="str">
        <f t="shared" si="3"/>
        <v>08 Anastrozole 0.032 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2141</v>
      </c>
      <c r="D248" s="1" t="s">
        <v>2142</v>
      </c>
      <c r="E248" s="1" t="s">
        <v>2143</v>
      </c>
      <c r="F248" s="1" t="s">
        <v>112</v>
      </c>
      <c r="G248" s="1">
        <v>301629</v>
      </c>
    </row>
    <row r="249" spans="1:7" x14ac:dyDescent="0.35">
      <c r="A249" s="1" t="str">
        <f t="shared" si="3"/>
        <v>08 Anastrozole 0.032 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2144</v>
      </c>
      <c r="D249" s="1" t="s">
        <v>1760</v>
      </c>
      <c r="E249" s="1" t="s">
        <v>2145</v>
      </c>
      <c r="F249" s="1" t="s">
        <v>112</v>
      </c>
      <c r="G249" s="1">
        <v>114227</v>
      </c>
    </row>
    <row r="250" spans="1:7" x14ac:dyDescent="0.35">
      <c r="A250" s="1" t="str">
        <f t="shared" si="3"/>
        <v>08 Anastrozole 0.032 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2146</v>
      </c>
      <c r="D250" s="1" t="s">
        <v>2147</v>
      </c>
      <c r="E250" s="1" t="s">
        <v>2148</v>
      </c>
      <c r="F250" s="1" t="s">
        <v>112</v>
      </c>
      <c r="G250" s="1">
        <v>13562</v>
      </c>
    </row>
    <row r="251" spans="1:7" x14ac:dyDescent="0.35">
      <c r="A251" s="1" t="str">
        <f t="shared" si="3"/>
        <v>08 Anastrozole 0.032 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2149</v>
      </c>
      <c r="D251" s="1" t="s">
        <v>2150</v>
      </c>
      <c r="E251" s="1" t="s">
        <v>743</v>
      </c>
      <c r="F251" s="1" t="s">
        <v>112</v>
      </c>
      <c r="G251" s="1">
        <v>117645</v>
      </c>
    </row>
    <row r="252" spans="1:7" x14ac:dyDescent="0.35">
      <c r="A252" s="1" t="str">
        <f t="shared" si="3"/>
        <v>08 Anastrozole 0.032 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2151</v>
      </c>
      <c r="D252" s="1" t="s">
        <v>1766</v>
      </c>
      <c r="E252" s="1" t="s">
        <v>2152</v>
      </c>
      <c r="F252" s="1" t="s">
        <v>112</v>
      </c>
      <c r="G252" s="1">
        <v>58076</v>
      </c>
    </row>
    <row r="253" spans="1:7" x14ac:dyDescent="0.35">
      <c r="A253" s="1" t="str">
        <f t="shared" si="3"/>
        <v>08 Anastrozole 0.032 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2153</v>
      </c>
      <c r="D253" s="1" t="s">
        <v>1631</v>
      </c>
      <c r="E253" s="1" t="s">
        <v>2154</v>
      </c>
      <c r="F253" s="1" t="s">
        <v>112</v>
      </c>
      <c r="G253" s="1">
        <v>96751</v>
      </c>
    </row>
    <row r="254" spans="1:7" x14ac:dyDescent="0.35">
      <c r="A254" s="1" t="str">
        <f t="shared" si="3"/>
        <v>08 Anastrozole 0.032 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2155</v>
      </c>
      <c r="D254" s="1" t="s">
        <v>2156</v>
      </c>
      <c r="E254" s="1" t="s">
        <v>2157</v>
      </c>
      <c r="F254" s="1" t="s">
        <v>112</v>
      </c>
      <c r="G254" s="1">
        <v>147278</v>
      </c>
    </row>
    <row r="255" spans="1:7" x14ac:dyDescent="0.35">
      <c r="A255" s="1" t="str">
        <f t="shared" si="3"/>
        <v>08 Anastrozole 0.032 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2158</v>
      </c>
      <c r="D255" s="1" t="s">
        <v>2159</v>
      </c>
      <c r="E255" s="1" t="s">
        <v>2160</v>
      </c>
      <c r="F255" s="1" t="s">
        <v>112</v>
      </c>
      <c r="G255" s="1">
        <v>154697</v>
      </c>
    </row>
    <row r="256" spans="1:7" x14ac:dyDescent="0.35">
      <c r="A256" s="1" t="str">
        <f t="shared" si="3"/>
        <v>08 Anastrozole 0.032 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2161</v>
      </c>
      <c r="D256" s="1" t="s">
        <v>2162</v>
      </c>
      <c r="E256" s="1" t="s">
        <v>2163</v>
      </c>
      <c r="F256" s="1" t="s">
        <v>112</v>
      </c>
      <c r="G256" s="1">
        <v>164777</v>
      </c>
    </row>
    <row r="257" spans="1:10"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227</v>
      </c>
      <c r="D258" s="1" t="s">
        <v>112</v>
      </c>
      <c r="E258" s="1" t="s">
        <v>228</v>
      </c>
      <c r="F258" s="1" t="s">
        <v>229</v>
      </c>
      <c r="G258" s="1" t="s">
        <v>230</v>
      </c>
      <c r="H258" s="1" t="s">
        <v>231</v>
      </c>
      <c r="I258" s="1" t="s">
        <v>232</v>
      </c>
      <c r="J258" s="1" t="s">
        <v>233</v>
      </c>
    </row>
    <row r="259" spans="1:10" x14ac:dyDescent="0.35">
      <c r="A259" s="1" t="str">
        <f t="shared" si="4"/>
        <v>08 Anastrozole 0.032 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2164</v>
      </c>
      <c r="D259" s="1" t="s">
        <v>112</v>
      </c>
      <c r="E259" s="1" t="s">
        <v>2165</v>
      </c>
      <c r="F259" s="1" t="s">
        <v>2166</v>
      </c>
      <c r="G259" s="1" t="s">
        <v>2167</v>
      </c>
      <c r="H259" s="1" t="s">
        <v>2168</v>
      </c>
      <c r="I259" s="1">
        <v>24</v>
      </c>
      <c r="J259" s="1">
        <v>24</v>
      </c>
    </row>
    <row r="260" spans="1:10"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239</v>
      </c>
      <c r="D265" s="1" t="s">
        <v>110</v>
      </c>
      <c r="E265" s="1" t="s">
        <v>111</v>
      </c>
      <c r="F265" s="1" t="s">
        <v>112</v>
      </c>
      <c r="G265" s="1" t="s">
        <v>113</v>
      </c>
    </row>
    <row r="266" spans="1:10" x14ac:dyDescent="0.35">
      <c r="A266" s="1" t="str">
        <f t="shared" si="4"/>
        <v>09 Anastrozole 0.16 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2169</v>
      </c>
      <c r="D266" s="1" t="s">
        <v>2170</v>
      </c>
      <c r="E266" s="1" t="s">
        <v>2171</v>
      </c>
      <c r="F266" s="1" t="s">
        <v>112</v>
      </c>
      <c r="G266" s="1">
        <v>94393</v>
      </c>
    </row>
    <row r="267" spans="1:10" x14ac:dyDescent="0.35">
      <c r="A267" s="1" t="str">
        <f t="shared" si="4"/>
        <v>09 Anastrozole 0.16 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2172</v>
      </c>
      <c r="D267" s="1" t="s">
        <v>2173</v>
      </c>
      <c r="E267" s="1" t="s">
        <v>2174</v>
      </c>
      <c r="F267" s="1" t="s">
        <v>112</v>
      </c>
      <c r="G267" s="1">
        <v>215477</v>
      </c>
    </row>
    <row r="268" spans="1:10" x14ac:dyDescent="0.35">
      <c r="A268" s="1" t="str">
        <f t="shared" si="4"/>
        <v>09 Anastrozole 0.16 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2175</v>
      </c>
      <c r="D268" s="1" t="s">
        <v>2176</v>
      </c>
      <c r="E268" s="1" t="s">
        <v>2177</v>
      </c>
      <c r="F268" s="1" t="s">
        <v>112</v>
      </c>
      <c r="G268" s="1">
        <v>125821</v>
      </c>
    </row>
    <row r="269" spans="1:10" x14ac:dyDescent="0.35">
      <c r="A269" s="1" t="str">
        <f t="shared" si="4"/>
        <v>09 Anastrozole 0.16 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2178</v>
      </c>
      <c r="D269" s="1" t="s">
        <v>2179</v>
      </c>
      <c r="E269" s="1" t="s">
        <v>2180</v>
      </c>
      <c r="F269" s="1" t="s">
        <v>112</v>
      </c>
      <c r="G269" s="1">
        <v>16309</v>
      </c>
    </row>
    <row r="270" spans="1:10" x14ac:dyDescent="0.35">
      <c r="A270" s="1" t="str">
        <f t="shared" si="4"/>
        <v>09 Anastrozole 0.16 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2181</v>
      </c>
      <c r="D270" s="1" t="s">
        <v>1798</v>
      </c>
      <c r="E270" s="1" t="s">
        <v>2182</v>
      </c>
      <c r="F270" s="1" t="s">
        <v>112</v>
      </c>
      <c r="G270" s="1">
        <v>70751</v>
      </c>
    </row>
    <row r="271" spans="1:10" x14ac:dyDescent="0.35">
      <c r="A271" s="1" t="str">
        <f t="shared" si="4"/>
        <v>09 Anastrozole 0.16 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2183</v>
      </c>
      <c r="D271" s="1" t="s">
        <v>1728</v>
      </c>
      <c r="E271" s="1" t="s">
        <v>2184</v>
      </c>
      <c r="F271" s="1" t="s">
        <v>112</v>
      </c>
      <c r="G271" s="1">
        <v>53534</v>
      </c>
    </row>
    <row r="272" spans="1:10" x14ac:dyDescent="0.35">
      <c r="A272" s="1" t="str">
        <f t="shared" si="4"/>
        <v>09 Anastrozole 0.16 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2185</v>
      </c>
      <c r="D272" s="1" t="s">
        <v>2186</v>
      </c>
      <c r="E272" s="1" t="s">
        <v>2187</v>
      </c>
      <c r="F272" s="1" t="s">
        <v>112</v>
      </c>
      <c r="G272" s="1">
        <v>66577</v>
      </c>
    </row>
    <row r="273" spans="1:7" x14ac:dyDescent="0.35">
      <c r="A273" s="1" t="str">
        <f t="shared" si="4"/>
        <v>09 Anastrozole 0.16 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2188</v>
      </c>
      <c r="D273" s="1" t="s">
        <v>2189</v>
      </c>
      <c r="E273" s="1" t="s">
        <v>2190</v>
      </c>
      <c r="F273" s="1" t="s">
        <v>112</v>
      </c>
      <c r="G273" s="1">
        <v>31580</v>
      </c>
    </row>
    <row r="274" spans="1:7" x14ac:dyDescent="0.35">
      <c r="A274" s="1" t="str">
        <f t="shared" si="4"/>
        <v>09 Anastrozole 0.16 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2191</v>
      </c>
      <c r="D274" s="1" t="s">
        <v>2192</v>
      </c>
      <c r="E274" s="1" t="s">
        <v>2193</v>
      </c>
      <c r="F274" s="1" t="s">
        <v>112</v>
      </c>
      <c r="G274" s="1">
        <v>87298</v>
      </c>
    </row>
    <row r="275" spans="1:7" x14ac:dyDescent="0.35">
      <c r="A275" s="1" t="str">
        <f t="shared" si="4"/>
        <v>09 Anastrozole 0.16 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2194</v>
      </c>
      <c r="D275" s="1" t="s">
        <v>1683</v>
      </c>
      <c r="E275" s="1" t="s">
        <v>2195</v>
      </c>
      <c r="F275" s="1" t="s">
        <v>112</v>
      </c>
      <c r="G275" s="1">
        <v>215888</v>
      </c>
    </row>
    <row r="276" spans="1:7" x14ac:dyDescent="0.35">
      <c r="A276" s="1" t="str">
        <f t="shared" si="4"/>
        <v>09 Anastrozole 0.16 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2196</v>
      </c>
      <c r="D276" s="1" t="s">
        <v>2197</v>
      </c>
      <c r="E276" s="1" t="s">
        <v>2198</v>
      </c>
      <c r="F276" s="1" t="s">
        <v>112</v>
      </c>
      <c r="G276" s="1">
        <v>184633</v>
      </c>
    </row>
    <row r="277" spans="1:7" x14ac:dyDescent="0.35">
      <c r="A277" s="1" t="str">
        <f t="shared" si="4"/>
        <v>09 Anastrozole 0.16 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2199</v>
      </c>
      <c r="D277" s="1" t="s">
        <v>2200</v>
      </c>
      <c r="E277" s="1" t="s">
        <v>2201</v>
      </c>
      <c r="F277" s="1" t="s">
        <v>112</v>
      </c>
      <c r="G277" s="1">
        <v>443975</v>
      </c>
    </row>
    <row r="278" spans="1:7" x14ac:dyDescent="0.35">
      <c r="A278" s="1" t="str">
        <f t="shared" si="4"/>
        <v>09 Anastrozole 0.16 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2202</v>
      </c>
      <c r="D278" s="1" t="s">
        <v>2203</v>
      </c>
      <c r="E278" s="1" t="s">
        <v>2204</v>
      </c>
      <c r="F278" s="1" t="s">
        <v>112</v>
      </c>
      <c r="G278" s="1">
        <v>71141</v>
      </c>
    </row>
    <row r="279" spans="1:7" x14ac:dyDescent="0.35">
      <c r="A279" s="1" t="str">
        <f t="shared" si="4"/>
        <v>09 Anastrozole 0.16 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2205</v>
      </c>
      <c r="D279" s="1" t="s">
        <v>2170</v>
      </c>
      <c r="E279" s="1" t="s">
        <v>2206</v>
      </c>
      <c r="F279" s="1" t="s">
        <v>112</v>
      </c>
      <c r="G279" s="1">
        <v>94004</v>
      </c>
    </row>
    <row r="280" spans="1:7" x14ac:dyDescent="0.35">
      <c r="A280" s="1" t="str">
        <f t="shared" si="4"/>
        <v>09 Anastrozole 0.16 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2207</v>
      </c>
      <c r="D280" s="1" t="s">
        <v>2208</v>
      </c>
      <c r="E280" s="1" t="s">
        <v>2209</v>
      </c>
      <c r="F280" s="1" t="s">
        <v>112</v>
      </c>
      <c r="G280" s="1">
        <v>73066</v>
      </c>
    </row>
    <row r="281" spans="1:7" x14ac:dyDescent="0.35">
      <c r="A281" s="1" t="str">
        <f t="shared" si="4"/>
        <v>09 Anastrozole 0.16 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2210</v>
      </c>
      <c r="D281" s="1" t="s">
        <v>2211</v>
      </c>
      <c r="E281" s="1" t="s">
        <v>2212</v>
      </c>
      <c r="F281" s="1" t="s">
        <v>112</v>
      </c>
      <c r="G281" s="1">
        <v>84854</v>
      </c>
    </row>
    <row r="282" spans="1:7" x14ac:dyDescent="0.35">
      <c r="A282" s="1" t="str">
        <f t="shared" si="4"/>
        <v>09 Anastrozole 0.16 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2213</v>
      </c>
      <c r="D282" s="1" t="s">
        <v>2214</v>
      </c>
      <c r="E282" s="1" t="s">
        <v>2215</v>
      </c>
      <c r="F282" s="1" t="s">
        <v>112</v>
      </c>
      <c r="G282" s="1">
        <v>141827</v>
      </c>
    </row>
    <row r="283" spans="1:7" x14ac:dyDescent="0.35">
      <c r="A283" s="1" t="str">
        <f t="shared" si="4"/>
        <v>09 Anastrozole 0.16 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2216</v>
      </c>
      <c r="D283" s="1" t="s">
        <v>2217</v>
      </c>
      <c r="E283" s="1" t="s">
        <v>2218</v>
      </c>
      <c r="F283" s="1" t="s">
        <v>112</v>
      </c>
      <c r="G283" s="1">
        <v>51241</v>
      </c>
    </row>
    <row r="284" spans="1:7" x14ac:dyDescent="0.35">
      <c r="A284" s="1" t="str">
        <f t="shared" si="4"/>
        <v>09 Anastrozole 0.16 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2219</v>
      </c>
      <c r="D284" s="1" t="s">
        <v>1763</v>
      </c>
      <c r="E284" s="1" t="s">
        <v>2220</v>
      </c>
      <c r="F284" s="1" t="s">
        <v>112</v>
      </c>
      <c r="G284" s="1">
        <v>194583</v>
      </c>
    </row>
    <row r="285" spans="1:7" x14ac:dyDescent="0.35">
      <c r="A285" s="1" t="str">
        <f t="shared" si="4"/>
        <v>09 Anastrozole 0.16 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2221</v>
      </c>
      <c r="D285" s="1" t="s">
        <v>1610</v>
      </c>
      <c r="E285" s="1" t="s">
        <v>2222</v>
      </c>
      <c r="F285" s="1" t="s">
        <v>112</v>
      </c>
      <c r="G285" s="1">
        <v>19251</v>
      </c>
    </row>
    <row r="286" spans="1:7" x14ac:dyDescent="0.35">
      <c r="A286" s="1" t="str">
        <f t="shared" si="4"/>
        <v>09 Anastrozole 0.16 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2223</v>
      </c>
      <c r="D286" s="1" t="s">
        <v>1793</v>
      </c>
      <c r="E286" s="1">
        <v>65</v>
      </c>
      <c r="F286" s="1" t="s">
        <v>112</v>
      </c>
      <c r="G286" s="1">
        <v>85763</v>
      </c>
    </row>
    <row r="287" spans="1:7" x14ac:dyDescent="0.35">
      <c r="A287" s="1" t="str">
        <f t="shared" si="4"/>
        <v>09 Anastrozole 0.16 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2224</v>
      </c>
      <c r="D287" s="1" t="s">
        <v>2225</v>
      </c>
      <c r="E287" s="1" t="s">
        <v>2226</v>
      </c>
      <c r="F287" s="1" t="s">
        <v>112</v>
      </c>
      <c r="G287" s="1">
        <v>225297</v>
      </c>
    </row>
    <row r="288" spans="1:7" x14ac:dyDescent="0.35">
      <c r="A288" s="1" t="str">
        <f t="shared" si="4"/>
        <v>09 Anastrozole 0.16 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2227</v>
      </c>
      <c r="D288" s="1" t="s">
        <v>2228</v>
      </c>
      <c r="E288" s="1" t="s">
        <v>2229</v>
      </c>
      <c r="F288" s="1" t="s">
        <v>112</v>
      </c>
      <c r="G288" s="1">
        <v>287872</v>
      </c>
    </row>
    <row r="289" spans="1:10" x14ac:dyDescent="0.35">
      <c r="A289" s="1" t="str">
        <f t="shared" si="4"/>
        <v>09 Anastrozole 0.16 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2230</v>
      </c>
      <c r="D289" s="1" t="s">
        <v>2231</v>
      </c>
      <c r="E289" s="1" t="s">
        <v>2232</v>
      </c>
      <c r="F289" s="1" t="s">
        <v>112</v>
      </c>
      <c r="G289" s="1">
        <v>240589</v>
      </c>
    </row>
    <row r="290" spans="1:10"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227</v>
      </c>
      <c r="D291" s="1" t="s">
        <v>112</v>
      </c>
      <c r="E291" s="1" t="s">
        <v>228</v>
      </c>
      <c r="F291" s="1" t="s">
        <v>229</v>
      </c>
      <c r="G291" s="1" t="s">
        <v>230</v>
      </c>
      <c r="H291" s="1" t="s">
        <v>231</v>
      </c>
      <c r="I291" s="1" t="s">
        <v>232</v>
      </c>
      <c r="J291" s="1" t="s">
        <v>233</v>
      </c>
    </row>
    <row r="292" spans="1:10" x14ac:dyDescent="0.35">
      <c r="A292" s="1" t="str">
        <f t="shared" si="4"/>
        <v>09 Anastrozole 0.16 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2233</v>
      </c>
      <c r="D292" s="1" t="s">
        <v>112</v>
      </c>
      <c r="E292" s="1" t="s">
        <v>2234</v>
      </c>
      <c r="F292" s="1" t="s">
        <v>2235</v>
      </c>
      <c r="G292" s="1" t="s">
        <v>2236</v>
      </c>
      <c r="H292" s="1" t="s">
        <v>2237</v>
      </c>
      <c r="I292" s="1">
        <v>24</v>
      </c>
      <c r="J292" s="1">
        <v>24</v>
      </c>
    </row>
    <row r="293" spans="1:10"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239</v>
      </c>
      <c r="D298" s="1" t="s">
        <v>110</v>
      </c>
      <c r="E298" s="1" t="s">
        <v>111</v>
      </c>
      <c r="F298" s="1" t="s">
        <v>112</v>
      </c>
      <c r="G298" s="1" t="s">
        <v>113</v>
      </c>
    </row>
    <row r="299" spans="1:10" x14ac:dyDescent="0.35">
      <c r="A299" s="1" t="str">
        <f t="shared" si="4"/>
        <v>10 Anastrozole 0.8 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2238</v>
      </c>
      <c r="D299" s="1" t="s">
        <v>2239</v>
      </c>
      <c r="E299" s="1" t="s">
        <v>2240</v>
      </c>
      <c r="F299" s="1" t="s">
        <v>112</v>
      </c>
      <c r="G299" s="1">
        <v>460327</v>
      </c>
    </row>
    <row r="300" spans="1:10" x14ac:dyDescent="0.35">
      <c r="A300" s="1" t="str">
        <f t="shared" si="4"/>
        <v>10 Anastrozole 0.8 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2241</v>
      </c>
      <c r="D300" s="1" t="s">
        <v>2242</v>
      </c>
      <c r="E300" s="1" t="s">
        <v>2243</v>
      </c>
      <c r="F300" s="1" t="s">
        <v>112</v>
      </c>
      <c r="G300" s="1">
        <v>396281</v>
      </c>
    </row>
    <row r="301" spans="1:10" x14ac:dyDescent="0.35">
      <c r="A301" s="1" t="str">
        <f t="shared" si="4"/>
        <v>10 Anastrozole 0.8 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2244</v>
      </c>
      <c r="D301" s="1" t="s">
        <v>1861</v>
      </c>
      <c r="E301" s="1" t="s">
        <v>2245</v>
      </c>
      <c r="F301" s="1" t="s">
        <v>112</v>
      </c>
      <c r="G301" s="1">
        <v>438957</v>
      </c>
    </row>
    <row r="302" spans="1:10" x14ac:dyDescent="0.35">
      <c r="A302" s="1" t="str">
        <f t="shared" si="4"/>
        <v>10 Anastrozole 0.8 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2246</v>
      </c>
      <c r="D302" s="1" t="s">
        <v>2247</v>
      </c>
      <c r="E302" s="1" t="s">
        <v>2248</v>
      </c>
      <c r="F302" s="1" t="s">
        <v>112</v>
      </c>
      <c r="G302" s="1">
        <v>76462</v>
      </c>
    </row>
    <row r="303" spans="1:10" x14ac:dyDescent="0.35">
      <c r="A303" s="1" t="str">
        <f t="shared" si="4"/>
        <v>10 Anastrozole 0.8 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2249</v>
      </c>
      <c r="D303" s="1" t="s">
        <v>2211</v>
      </c>
      <c r="E303" s="1" t="s">
        <v>2250</v>
      </c>
      <c r="F303" s="1" t="s">
        <v>112</v>
      </c>
      <c r="G303" s="1">
        <v>82345</v>
      </c>
    </row>
    <row r="304" spans="1:10" x14ac:dyDescent="0.35">
      <c r="A304" s="1" t="str">
        <f t="shared" si="4"/>
        <v>10 Anastrozole 0.8 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2251</v>
      </c>
    </row>
    <row r="305" spans="1:7" x14ac:dyDescent="0.35">
      <c r="A305" s="1" t="str">
        <f t="shared" si="4"/>
        <v>10 Anastrozole 0.8 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2252</v>
      </c>
      <c r="D305" s="1" t="s">
        <v>2253</v>
      </c>
      <c r="E305" s="1" t="s">
        <v>2254</v>
      </c>
      <c r="F305" s="1" t="s">
        <v>112</v>
      </c>
      <c r="G305" s="1">
        <v>430846</v>
      </c>
    </row>
    <row r="306" spans="1:7" x14ac:dyDescent="0.35">
      <c r="A306" s="1" t="str">
        <f t="shared" si="4"/>
        <v>10 Anastrozole 0.8 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2255</v>
      </c>
      <c r="D306" s="1" t="s">
        <v>2256</v>
      </c>
      <c r="E306" s="1" t="s">
        <v>2257</v>
      </c>
      <c r="F306" s="1" t="s">
        <v>112</v>
      </c>
      <c r="G306" s="1">
        <v>262825</v>
      </c>
    </row>
    <row r="307" spans="1:7" x14ac:dyDescent="0.35">
      <c r="A307" s="1" t="str">
        <f t="shared" si="4"/>
        <v>10 Anastrozole 0.8 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2258</v>
      </c>
      <c r="D307" s="1" t="s">
        <v>2259</v>
      </c>
      <c r="E307" s="1" t="s">
        <v>2260</v>
      </c>
      <c r="F307" s="1" t="s">
        <v>112</v>
      </c>
      <c r="G307" s="1">
        <v>301932</v>
      </c>
    </row>
    <row r="308" spans="1:7" x14ac:dyDescent="0.35">
      <c r="A308" s="1" t="str">
        <f t="shared" si="4"/>
        <v>10 Anastrozole 0.8 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2261</v>
      </c>
      <c r="D308" s="1" t="s">
        <v>2262</v>
      </c>
      <c r="E308" s="1" t="s">
        <v>2263</v>
      </c>
      <c r="F308" s="1" t="s">
        <v>112</v>
      </c>
      <c r="G308" s="1">
        <v>100428</v>
      </c>
    </row>
    <row r="309" spans="1:7" x14ac:dyDescent="0.35">
      <c r="A309" s="1" t="str">
        <f t="shared" si="4"/>
        <v>10 Anastrozole 0.8 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2264</v>
      </c>
      <c r="D309" s="1" t="s">
        <v>2265</v>
      </c>
      <c r="E309" s="1" t="s">
        <v>2266</v>
      </c>
      <c r="F309" s="1" t="s">
        <v>112</v>
      </c>
      <c r="G309" s="1">
        <v>164647</v>
      </c>
    </row>
    <row r="310" spans="1:7" x14ac:dyDescent="0.35">
      <c r="A310" s="1" t="str">
        <f t="shared" si="4"/>
        <v>10 Anastrozole 0.8 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2267</v>
      </c>
      <c r="D310" s="1" t="s">
        <v>2268</v>
      </c>
      <c r="E310" s="1" t="s">
        <v>2269</v>
      </c>
      <c r="F310" s="1" t="s">
        <v>112</v>
      </c>
      <c r="G310" s="1">
        <v>44882</v>
      </c>
    </row>
    <row r="311" spans="1:7" x14ac:dyDescent="0.35">
      <c r="A311" s="1" t="str">
        <f t="shared" si="4"/>
        <v>10 Anastrozole 0.8 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2270</v>
      </c>
      <c r="D311" s="1" t="s">
        <v>2271</v>
      </c>
      <c r="E311" s="1" t="s">
        <v>2272</v>
      </c>
      <c r="F311" s="1" t="s">
        <v>112</v>
      </c>
      <c r="G311" s="1">
        <v>673620</v>
      </c>
    </row>
    <row r="312" spans="1:7" x14ac:dyDescent="0.35">
      <c r="A312" s="1" t="str">
        <f t="shared" si="4"/>
        <v>10 Anastrozole 0.8 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2273</v>
      </c>
      <c r="D312" s="1" t="s">
        <v>2274</v>
      </c>
      <c r="E312" s="1" t="s">
        <v>2275</v>
      </c>
      <c r="F312" s="1" t="s">
        <v>112</v>
      </c>
      <c r="G312" s="1">
        <v>425611</v>
      </c>
    </row>
    <row r="313" spans="1:7" x14ac:dyDescent="0.35">
      <c r="A313" s="1" t="str">
        <f t="shared" si="4"/>
        <v>10 Anastrozole 0.8 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2276</v>
      </c>
      <c r="D313" s="1" t="s">
        <v>2277</v>
      </c>
      <c r="E313" s="1" t="s">
        <v>2278</v>
      </c>
      <c r="F313" s="1" t="s">
        <v>112</v>
      </c>
      <c r="G313" s="1">
        <v>422605</v>
      </c>
    </row>
    <row r="314" spans="1:7" x14ac:dyDescent="0.35">
      <c r="A314" s="1" t="str">
        <f t="shared" si="4"/>
        <v>10 Anastrozole 0.8 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2279</v>
      </c>
    </row>
    <row r="315" spans="1:7" x14ac:dyDescent="0.35">
      <c r="A315" s="1" t="str">
        <f t="shared" si="4"/>
        <v>10 Anastrozole 0.8 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2280</v>
      </c>
      <c r="D315" s="1" t="s">
        <v>2197</v>
      </c>
      <c r="E315" s="1" t="s">
        <v>2281</v>
      </c>
      <c r="F315" s="1" t="s">
        <v>112</v>
      </c>
      <c r="G315" s="1">
        <v>188807</v>
      </c>
    </row>
    <row r="316" spans="1:7" x14ac:dyDescent="0.35">
      <c r="A316" s="1" t="str">
        <f t="shared" si="4"/>
        <v>10 Anastrozole 0.8 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2282</v>
      </c>
      <c r="D316" s="1" t="s">
        <v>2283</v>
      </c>
      <c r="E316" s="1" t="s">
        <v>2187</v>
      </c>
      <c r="F316" s="1" t="s">
        <v>112</v>
      </c>
      <c r="G316" s="1">
        <v>55481</v>
      </c>
    </row>
    <row r="317" spans="1:7" x14ac:dyDescent="0.35">
      <c r="A317" s="1" t="str">
        <f t="shared" si="4"/>
        <v>10 Anastrozole 0.8 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2284</v>
      </c>
    </row>
    <row r="318" spans="1:7" x14ac:dyDescent="0.35">
      <c r="A318" s="1" t="str">
        <f t="shared" si="4"/>
        <v>10 Anastrozole 0.8 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2285</v>
      </c>
    </row>
    <row r="319" spans="1:7" x14ac:dyDescent="0.35">
      <c r="A319" s="1" t="str">
        <f t="shared" si="4"/>
        <v>10 Anastrozole 0.8 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2286</v>
      </c>
    </row>
    <row r="320" spans="1:7" x14ac:dyDescent="0.35">
      <c r="A320" s="1" t="str">
        <f t="shared" si="4"/>
        <v>10 Anastrozole 0.8 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2287</v>
      </c>
      <c r="D320" s="1" t="s">
        <v>2288</v>
      </c>
      <c r="E320" s="1" t="s">
        <v>2289</v>
      </c>
      <c r="F320" s="1" t="s">
        <v>112</v>
      </c>
      <c r="G320" s="1">
        <v>166009</v>
      </c>
    </row>
    <row r="321" spans="1:10" x14ac:dyDescent="0.35">
      <c r="A321" s="1" t="str">
        <f t="shared" si="4"/>
        <v>10 Anastrozole 0.8 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2290</v>
      </c>
      <c r="D321" s="1" t="s">
        <v>2291</v>
      </c>
      <c r="E321" s="1" t="s">
        <v>2292</v>
      </c>
      <c r="F321" s="1" t="s">
        <v>112</v>
      </c>
      <c r="G321" s="1">
        <v>212665</v>
      </c>
    </row>
    <row r="322" spans="1:10" x14ac:dyDescent="0.35">
      <c r="A322" s="1" t="str">
        <f t="shared" ref="A322:A385" si="5">IFERROR(LEFT(RIGHT(C322,LEN(C322)-SEARCH("@",C322)),SEARCH("/",RIGHT(C322,LEN(C322)-SEARCH("@",C322)-1))),"")</f>
        <v>10 Anastrozole 0.8 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2293</v>
      </c>
      <c r="D322" s="1" t="s">
        <v>2268</v>
      </c>
      <c r="E322" s="1" t="s">
        <v>2294</v>
      </c>
      <c r="F322" s="1" t="s">
        <v>112</v>
      </c>
      <c r="G322" s="1">
        <v>44536</v>
      </c>
    </row>
    <row r="323" spans="1:10"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227</v>
      </c>
      <c r="D324" s="1" t="s">
        <v>112</v>
      </c>
      <c r="E324" s="1" t="s">
        <v>228</v>
      </c>
      <c r="F324" s="1" t="s">
        <v>229</v>
      </c>
      <c r="G324" s="1" t="s">
        <v>230</v>
      </c>
      <c r="H324" s="1" t="s">
        <v>231</v>
      </c>
      <c r="I324" s="1" t="s">
        <v>232</v>
      </c>
      <c r="J324" s="1" t="s">
        <v>233</v>
      </c>
    </row>
    <row r="325" spans="1:10" x14ac:dyDescent="0.35">
      <c r="A325" s="1" t="str">
        <f t="shared" si="5"/>
        <v>10 Anastrozole 0.8 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2295</v>
      </c>
      <c r="D325" s="1" t="s">
        <v>112</v>
      </c>
      <c r="E325" s="1" t="s">
        <v>2296</v>
      </c>
      <c r="F325" s="1" t="s">
        <v>2297</v>
      </c>
      <c r="G325" s="1" t="s">
        <v>2298</v>
      </c>
      <c r="H325" s="1" t="s">
        <v>2299</v>
      </c>
      <c r="I325" s="1">
        <v>24</v>
      </c>
      <c r="J325" s="1">
        <v>24</v>
      </c>
    </row>
    <row r="326" spans="1:10"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239</v>
      </c>
      <c r="D331" s="1" t="s">
        <v>110</v>
      </c>
      <c r="E331" s="1" t="s">
        <v>111</v>
      </c>
      <c r="F331" s="1" t="s">
        <v>112</v>
      </c>
      <c r="G331" s="1" t="s">
        <v>113</v>
      </c>
    </row>
    <row r="332" spans="1:10" x14ac:dyDescent="0.35">
      <c r="A332" s="1" t="str">
        <f t="shared" si="5"/>
        <v>11 Anastrozole 4µg_L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2300</v>
      </c>
      <c r="D332" s="1" t="s">
        <v>2176</v>
      </c>
      <c r="E332" s="1" t="s">
        <v>2301</v>
      </c>
      <c r="F332" s="1" t="s">
        <v>112</v>
      </c>
      <c r="G332" s="1">
        <v>126751</v>
      </c>
    </row>
    <row r="333" spans="1:10" x14ac:dyDescent="0.35">
      <c r="A333" s="1" t="str">
        <f t="shared" si="5"/>
        <v>11 Anastrozole 4µg_L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2302</v>
      </c>
      <c r="D333" s="1" t="s">
        <v>2179</v>
      </c>
      <c r="E333" s="1" t="s">
        <v>2303</v>
      </c>
      <c r="F333" s="1" t="s">
        <v>112</v>
      </c>
      <c r="G333" s="1">
        <v>16136</v>
      </c>
    </row>
    <row r="334" spans="1:10" x14ac:dyDescent="0.35">
      <c r="A334" s="1" t="str">
        <f t="shared" si="5"/>
        <v>11 Anastrozole 4µg_L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2304</v>
      </c>
      <c r="D334" s="1" t="s">
        <v>2305</v>
      </c>
      <c r="E334" s="1" t="s">
        <v>2306</v>
      </c>
      <c r="F334" s="1" t="s">
        <v>112</v>
      </c>
      <c r="G334" s="1">
        <v>101596</v>
      </c>
    </row>
    <row r="335" spans="1:10" x14ac:dyDescent="0.35">
      <c r="A335" s="1" t="str">
        <f t="shared" si="5"/>
        <v>11 Anastrozole 4µg_L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2307</v>
      </c>
      <c r="D335" s="1" t="s">
        <v>2256</v>
      </c>
      <c r="E335" s="1" t="s">
        <v>2308</v>
      </c>
      <c r="F335" s="1" t="s">
        <v>112</v>
      </c>
      <c r="G335" s="1">
        <v>254389</v>
      </c>
    </row>
    <row r="336" spans="1:10" x14ac:dyDescent="0.35">
      <c r="A336" s="1" t="str">
        <f t="shared" si="5"/>
        <v>11 Anastrozole 4µg_L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2309</v>
      </c>
      <c r="D336" s="1" t="s">
        <v>2310</v>
      </c>
      <c r="E336" s="1" t="s">
        <v>2311</v>
      </c>
      <c r="F336" s="1" t="s">
        <v>112</v>
      </c>
      <c r="G336" s="1">
        <v>162722</v>
      </c>
    </row>
    <row r="337" spans="1:7" x14ac:dyDescent="0.35">
      <c r="A337" s="1" t="str">
        <f t="shared" si="5"/>
        <v>11 Anastrozole 4µg_L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2312</v>
      </c>
      <c r="D337" s="1" t="s">
        <v>2313</v>
      </c>
      <c r="E337" s="1" t="s">
        <v>2314</v>
      </c>
      <c r="F337" s="1" t="s">
        <v>112</v>
      </c>
      <c r="G337" s="1">
        <v>112151</v>
      </c>
    </row>
    <row r="338" spans="1:7" x14ac:dyDescent="0.35">
      <c r="A338" s="1" t="str">
        <f t="shared" si="5"/>
        <v>11 Anastrozole 4µg_L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2315</v>
      </c>
      <c r="D338" s="1" t="s">
        <v>2316</v>
      </c>
      <c r="E338" s="1" t="s">
        <v>2317</v>
      </c>
      <c r="F338" s="1" t="s">
        <v>112</v>
      </c>
      <c r="G338" s="1">
        <v>155541</v>
      </c>
    </row>
    <row r="339" spans="1:7" x14ac:dyDescent="0.35">
      <c r="A339" s="1" t="str">
        <f t="shared" si="5"/>
        <v>11 Anastrozole 4µg_L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2318</v>
      </c>
      <c r="D339" s="1" t="s">
        <v>2319</v>
      </c>
      <c r="E339" s="1" t="s">
        <v>2320</v>
      </c>
      <c r="F339" s="1" t="s">
        <v>112</v>
      </c>
      <c r="G339" s="1">
        <v>60996</v>
      </c>
    </row>
    <row r="340" spans="1:7" x14ac:dyDescent="0.35">
      <c r="A340" s="1" t="str">
        <f t="shared" si="5"/>
        <v>11 Anastrozole 4µg_L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2321</v>
      </c>
      <c r="D340" s="1" t="s">
        <v>1817</v>
      </c>
      <c r="E340" s="1" t="s">
        <v>2322</v>
      </c>
      <c r="F340" s="1" t="s">
        <v>112</v>
      </c>
      <c r="G340" s="1">
        <v>171828</v>
      </c>
    </row>
    <row r="341" spans="1:7" x14ac:dyDescent="0.35">
      <c r="A341" s="1" t="str">
        <f t="shared" si="5"/>
        <v>11 Anastrozole 4µg_L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2323</v>
      </c>
      <c r="D341" s="1" t="s">
        <v>2324</v>
      </c>
      <c r="E341" s="1" t="s">
        <v>2325</v>
      </c>
      <c r="F341" s="1" t="s">
        <v>112</v>
      </c>
      <c r="G341" s="1">
        <v>98286</v>
      </c>
    </row>
    <row r="342" spans="1:7" x14ac:dyDescent="0.35">
      <c r="A342" s="1" t="str">
        <f t="shared" si="5"/>
        <v>11 Anastrozole 4µg_L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2326</v>
      </c>
      <c r="D342" s="1" t="s">
        <v>1731</v>
      </c>
      <c r="E342" s="1" t="s">
        <v>293</v>
      </c>
      <c r="F342" s="1" t="s">
        <v>112</v>
      </c>
      <c r="G342" s="1">
        <v>20657</v>
      </c>
    </row>
    <row r="343" spans="1:7" x14ac:dyDescent="0.35">
      <c r="A343" s="1" t="str">
        <f t="shared" si="5"/>
        <v>11 Anastrozole 4µg_L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2327</v>
      </c>
      <c r="D343" s="1" t="s">
        <v>2328</v>
      </c>
      <c r="E343" s="1" t="s">
        <v>2329</v>
      </c>
      <c r="F343" s="1" t="s">
        <v>112</v>
      </c>
      <c r="G343" s="1">
        <v>106484</v>
      </c>
    </row>
    <row r="344" spans="1:7" x14ac:dyDescent="0.35">
      <c r="A344" s="1" t="str">
        <f t="shared" si="5"/>
        <v>11 Anastrozole 4µg_L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2330</v>
      </c>
      <c r="D344" s="1" t="s">
        <v>2262</v>
      </c>
      <c r="E344" s="1" t="s">
        <v>2331</v>
      </c>
      <c r="F344" s="1" t="s">
        <v>112</v>
      </c>
      <c r="G344" s="1">
        <v>103607</v>
      </c>
    </row>
    <row r="345" spans="1:7" x14ac:dyDescent="0.35">
      <c r="A345" s="1" t="str">
        <f t="shared" si="5"/>
        <v>11 Anastrozole 4µg_L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2332</v>
      </c>
      <c r="D345" s="1" t="s">
        <v>1798</v>
      </c>
      <c r="E345" s="1" t="s">
        <v>2333</v>
      </c>
      <c r="F345" s="1" t="s">
        <v>112</v>
      </c>
      <c r="G345" s="1">
        <v>68113</v>
      </c>
    </row>
    <row r="346" spans="1:7" x14ac:dyDescent="0.35">
      <c r="A346" s="1" t="str">
        <f t="shared" si="5"/>
        <v>11 Anastrozole 4µg_L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2334</v>
      </c>
      <c r="D346" s="1" t="s">
        <v>1652</v>
      </c>
      <c r="E346" s="1" t="s">
        <v>2335</v>
      </c>
      <c r="F346" s="1" t="s">
        <v>112</v>
      </c>
      <c r="G346" s="1">
        <v>50571</v>
      </c>
    </row>
    <row r="347" spans="1:7" x14ac:dyDescent="0.35">
      <c r="A347" s="1" t="str">
        <f t="shared" si="5"/>
        <v>11 Anastrozole 4µg_L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2336</v>
      </c>
      <c r="D347" s="1" t="s">
        <v>2337</v>
      </c>
      <c r="E347" s="1" t="s">
        <v>2338</v>
      </c>
      <c r="F347" s="1" t="s">
        <v>112</v>
      </c>
      <c r="G347" s="1">
        <v>139534</v>
      </c>
    </row>
    <row r="348" spans="1:7" x14ac:dyDescent="0.35">
      <c r="A348" s="1" t="str">
        <f t="shared" si="5"/>
        <v>11 Anastrozole 4µg_L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2339</v>
      </c>
      <c r="D348" s="1" t="s">
        <v>2340</v>
      </c>
      <c r="E348" s="1" t="s">
        <v>2341</v>
      </c>
      <c r="F348" s="1" t="s">
        <v>112</v>
      </c>
      <c r="G348" s="1">
        <v>191662</v>
      </c>
    </row>
    <row r="349" spans="1:7" x14ac:dyDescent="0.35">
      <c r="A349" s="1" t="str">
        <f t="shared" si="5"/>
        <v>11 Anastrozole 4µg_L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2342</v>
      </c>
      <c r="D349" s="1" t="s">
        <v>2343</v>
      </c>
      <c r="E349" s="1" t="s">
        <v>2344</v>
      </c>
      <c r="F349" s="1" t="s">
        <v>112</v>
      </c>
      <c r="G349" s="1">
        <v>129412</v>
      </c>
    </row>
    <row r="350" spans="1:7" x14ac:dyDescent="0.35">
      <c r="A350" s="1" t="str">
        <f t="shared" si="5"/>
        <v>11 Anastrozole 4µg_L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2345</v>
      </c>
    </row>
    <row r="351" spans="1:7" x14ac:dyDescent="0.35">
      <c r="A351" s="1" t="str">
        <f t="shared" si="5"/>
        <v>11 Anastrozole 4µg_L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2346</v>
      </c>
    </row>
    <row r="352" spans="1:7" x14ac:dyDescent="0.35">
      <c r="A352" s="1" t="str">
        <f t="shared" si="5"/>
        <v>11 Anastrozole 4µg_L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2347</v>
      </c>
    </row>
    <row r="353" spans="1:10" x14ac:dyDescent="0.35">
      <c r="A353" s="1" t="str">
        <f t="shared" si="5"/>
        <v>11 Anastrozole 4µg_L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2348</v>
      </c>
      <c r="D353" s="1" t="s">
        <v>2349</v>
      </c>
      <c r="E353" s="1" t="s">
        <v>2350</v>
      </c>
      <c r="F353" s="1" t="s">
        <v>112</v>
      </c>
      <c r="G353" s="1">
        <v>10966</v>
      </c>
    </row>
    <row r="354" spans="1:10" x14ac:dyDescent="0.35">
      <c r="A354" s="1" t="str">
        <f t="shared" si="5"/>
        <v>11 Anastrozole 4µg_L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2351</v>
      </c>
      <c r="D354" s="1" t="s">
        <v>1652</v>
      </c>
      <c r="E354" s="1" t="s">
        <v>2352</v>
      </c>
      <c r="F354" s="1" t="s">
        <v>112</v>
      </c>
      <c r="G354" s="1">
        <v>47932</v>
      </c>
    </row>
    <row r="355" spans="1:10" x14ac:dyDescent="0.35">
      <c r="A355" s="1" t="str">
        <f t="shared" si="5"/>
        <v>11 Anastrozole 4µg_L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2353</v>
      </c>
      <c r="D355" s="1" t="s">
        <v>1738</v>
      </c>
      <c r="E355" s="1" t="s">
        <v>2354</v>
      </c>
      <c r="F355" s="1" t="s">
        <v>112</v>
      </c>
      <c r="G355" s="1">
        <v>36446</v>
      </c>
    </row>
    <row r="356" spans="1:10"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227</v>
      </c>
      <c r="D357" s="1" t="s">
        <v>112</v>
      </c>
      <c r="E357" s="1" t="s">
        <v>228</v>
      </c>
      <c r="F357" s="1" t="s">
        <v>229</v>
      </c>
      <c r="G357" s="1" t="s">
        <v>230</v>
      </c>
      <c r="H357" s="1" t="s">
        <v>231</v>
      </c>
      <c r="I357" s="1" t="s">
        <v>232</v>
      </c>
      <c r="J357" s="1" t="s">
        <v>233</v>
      </c>
    </row>
    <row r="358" spans="1:10" x14ac:dyDescent="0.35">
      <c r="A358" s="1" t="str">
        <f t="shared" si="5"/>
        <v>11 Anastrozole 4µg_L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2355</v>
      </c>
      <c r="D358" s="1" t="s">
        <v>112</v>
      </c>
      <c r="E358" s="1" t="s">
        <v>2356</v>
      </c>
      <c r="F358" s="1" t="s">
        <v>2357</v>
      </c>
      <c r="G358" s="1" t="s">
        <v>2358</v>
      </c>
      <c r="H358" s="1" t="s">
        <v>2359</v>
      </c>
      <c r="I358" s="1">
        <v>24</v>
      </c>
      <c r="J358" s="1">
        <v>24</v>
      </c>
    </row>
    <row r="359" spans="1:10"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239</v>
      </c>
      <c r="D364" s="1" t="s">
        <v>110</v>
      </c>
      <c r="E364" s="1" t="s">
        <v>111</v>
      </c>
      <c r="F364" s="1" t="s">
        <v>112</v>
      </c>
      <c r="G364" s="1" t="s">
        <v>113</v>
      </c>
    </row>
    <row r="365" spans="1:10" x14ac:dyDescent="0.35">
      <c r="A365" s="1" t="str">
        <f t="shared" si="5"/>
        <v>12 Anastrozole 20 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2360</v>
      </c>
      <c r="D365" s="1" t="s">
        <v>2107</v>
      </c>
      <c r="E365" s="1" t="s">
        <v>2361</v>
      </c>
      <c r="F365" s="1" t="s">
        <v>112</v>
      </c>
      <c r="G365" s="1">
        <v>24593</v>
      </c>
    </row>
    <row r="366" spans="1:10" x14ac:dyDescent="0.35">
      <c r="A366" s="1" t="str">
        <f t="shared" si="5"/>
        <v>12 Anastrozole 20 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2362</v>
      </c>
      <c r="D366" s="1" t="s">
        <v>2349</v>
      </c>
      <c r="E366" s="1" t="s">
        <v>2363</v>
      </c>
      <c r="F366" s="1" t="s">
        <v>112</v>
      </c>
      <c r="G366" s="1">
        <v>11053</v>
      </c>
    </row>
    <row r="367" spans="1:10" x14ac:dyDescent="0.35">
      <c r="A367" s="1" t="str">
        <f t="shared" si="5"/>
        <v>12 Anastrozole 20 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2364</v>
      </c>
      <c r="D367" s="1" t="s">
        <v>1652</v>
      </c>
      <c r="E367" s="1" t="s">
        <v>1726</v>
      </c>
      <c r="F367" s="1" t="s">
        <v>112</v>
      </c>
      <c r="G367" s="1">
        <v>48148</v>
      </c>
    </row>
    <row r="368" spans="1:10" x14ac:dyDescent="0.35">
      <c r="A368" s="1" t="str">
        <f t="shared" si="5"/>
        <v>12 Anastrozole 20 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2365</v>
      </c>
      <c r="D368" s="1" t="s">
        <v>2366</v>
      </c>
      <c r="E368" s="1" t="s">
        <v>2367</v>
      </c>
      <c r="F368" s="1" t="s">
        <v>112</v>
      </c>
      <c r="G368" s="1">
        <v>206565</v>
      </c>
    </row>
    <row r="369" spans="1:7" x14ac:dyDescent="0.35">
      <c r="A369" s="1" t="str">
        <f t="shared" si="5"/>
        <v>12 Anastrozole 20 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2368</v>
      </c>
      <c r="D369" s="1" t="s">
        <v>1640</v>
      </c>
      <c r="E369" s="1" t="s">
        <v>2369</v>
      </c>
      <c r="F369" s="1" t="s">
        <v>112</v>
      </c>
      <c r="G369" s="1">
        <v>112886</v>
      </c>
    </row>
    <row r="370" spans="1:7" x14ac:dyDescent="0.35">
      <c r="A370" s="1" t="str">
        <f t="shared" si="5"/>
        <v>12 Anastrozole 20 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2370</v>
      </c>
      <c r="D370" s="1" t="s">
        <v>2371</v>
      </c>
      <c r="E370" s="1" t="s">
        <v>2372</v>
      </c>
      <c r="F370" s="1" t="s">
        <v>112</v>
      </c>
      <c r="G370" s="1">
        <v>138085</v>
      </c>
    </row>
    <row r="371" spans="1:7" x14ac:dyDescent="0.35">
      <c r="A371" s="1" t="str">
        <f t="shared" si="5"/>
        <v>12 Anastrozole 20 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2373</v>
      </c>
      <c r="D371" s="1" t="s">
        <v>2374</v>
      </c>
      <c r="E371" s="1" t="s">
        <v>2375</v>
      </c>
      <c r="F371" s="1" t="s">
        <v>112</v>
      </c>
      <c r="G371" s="1">
        <v>23858</v>
      </c>
    </row>
    <row r="372" spans="1:7" x14ac:dyDescent="0.35">
      <c r="A372" s="1" t="str">
        <f t="shared" si="5"/>
        <v>12 Anastrozole 20 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2376</v>
      </c>
      <c r="D372" s="1" t="s">
        <v>2377</v>
      </c>
      <c r="E372" s="1" t="s">
        <v>2378</v>
      </c>
      <c r="F372" s="1" t="s">
        <v>112</v>
      </c>
      <c r="G372" s="1">
        <v>33180</v>
      </c>
    </row>
    <row r="373" spans="1:7" x14ac:dyDescent="0.35">
      <c r="A373" s="1" t="str">
        <f t="shared" si="5"/>
        <v>12 Anastrozole 20 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2379</v>
      </c>
      <c r="D373" s="1" t="s">
        <v>1610</v>
      </c>
      <c r="E373" s="1" t="s">
        <v>2380</v>
      </c>
      <c r="F373" s="1" t="s">
        <v>112</v>
      </c>
      <c r="G373" s="1">
        <v>19467</v>
      </c>
    </row>
    <row r="374" spans="1:7" x14ac:dyDescent="0.35">
      <c r="A374" s="1" t="str">
        <f t="shared" si="5"/>
        <v>12 Anastrozole 20 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2381</v>
      </c>
      <c r="D374" s="1" t="s">
        <v>2343</v>
      </c>
      <c r="E374" s="1" t="s">
        <v>2382</v>
      </c>
      <c r="F374" s="1" t="s">
        <v>112</v>
      </c>
      <c r="G374" s="1">
        <v>138950</v>
      </c>
    </row>
    <row r="375" spans="1:7" x14ac:dyDescent="0.35">
      <c r="A375" s="1" t="str">
        <f t="shared" si="5"/>
        <v>12 Anastrozole 20 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2383</v>
      </c>
      <c r="D375" s="1" t="s">
        <v>2197</v>
      </c>
      <c r="E375" s="1" t="s">
        <v>2384</v>
      </c>
      <c r="F375" s="1" t="s">
        <v>112</v>
      </c>
      <c r="G375" s="1">
        <v>182080</v>
      </c>
    </row>
    <row r="376" spans="1:7" x14ac:dyDescent="0.35">
      <c r="A376" s="1" t="str">
        <f t="shared" si="5"/>
        <v>12 Anastrozole 20 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2385</v>
      </c>
      <c r="D376" s="1" t="s">
        <v>2386</v>
      </c>
      <c r="E376" s="1" t="s">
        <v>2387</v>
      </c>
      <c r="F376" s="1" t="s">
        <v>112</v>
      </c>
      <c r="G376" s="1">
        <v>123983</v>
      </c>
    </row>
    <row r="377" spans="1:7" x14ac:dyDescent="0.35">
      <c r="A377" s="1" t="str">
        <f t="shared" si="5"/>
        <v>12 Anastrozole 20 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2388</v>
      </c>
      <c r="D377" s="1" t="s">
        <v>1637</v>
      </c>
      <c r="E377" s="1" t="s">
        <v>2389</v>
      </c>
      <c r="F377" s="1" t="s">
        <v>112</v>
      </c>
      <c r="G377" s="1">
        <v>127184</v>
      </c>
    </row>
    <row r="378" spans="1:7" x14ac:dyDescent="0.35">
      <c r="A378" s="1" t="str">
        <f t="shared" si="5"/>
        <v>12 Anastrozole 20 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2390</v>
      </c>
      <c r="D378" s="1" t="s">
        <v>2265</v>
      </c>
      <c r="E378" s="1" t="s">
        <v>2391</v>
      </c>
      <c r="F378" s="1" t="s">
        <v>112</v>
      </c>
      <c r="G378" s="1">
        <v>156947</v>
      </c>
    </row>
    <row r="379" spans="1:7" x14ac:dyDescent="0.35">
      <c r="A379" s="1" t="str">
        <f t="shared" si="5"/>
        <v>12 Anastrozole 20 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2392</v>
      </c>
      <c r="D379" s="1" t="s">
        <v>1728</v>
      </c>
      <c r="E379" s="1" t="s">
        <v>2393</v>
      </c>
      <c r="F379" s="1" t="s">
        <v>112</v>
      </c>
      <c r="G379" s="1">
        <v>52366</v>
      </c>
    </row>
    <row r="380" spans="1:7" x14ac:dyDescent="0.35">
      <c r="A380" s="1" t="str">
        <f t="shared" si="5"/>
        <v>12 Anastrozole 20 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2394</v>
      </c>
      <c r="D380" s="1" t="s">
        <v>1625</v>
      </c>
      <c r="E380" s="1" t="s">
        <v>2395</v>
      </c>
      <c r="F380" s="1" t="s">
        <v>112</v>
      </c>
      <c r="G380" s="1">
        <v>93160</v>
      </c>
    </row>
    <row r="381" spans="1:7" x14ac:dyDescent="0.35">
      <c r="A381" s="1" t="str">
        <f t="shared" si="5"/>
        <v>12 Anastrozole 20 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2396</v>
      </c>
      <c r="D381" s="1" t="s">
        <v>2126</v>
      </c>
      <c r="E381" s="1" t="s">
        <v>2397</v>
      </c>
      <c r="F381" s="1" t="s">
        <v>112</v>
      </c>
      <c r="G381" s="1">
        <v>192441</v>
      </c>
    </row>
    <row r="382" spans="1:7" x14ac:dyDescent="0.35">
      <c r="A382" s="1" t="str">
        <f t="shared" si="5"/>
        <v>12 Anastrozole 20 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2398</v>
      </c>
      <c r="D382" s="1" t="s">
        <v>2399</v>
      </c>
      <c r="E382" s="1" t="s">
        <v>2400</v>
      </c>
      <c r="F382" s="1" t="s">
        <v>112</v>
      </c>
      <c r="G382" s="1">
        <v>303727</v>
      </c>
    </row>
    <row r="383" spans="1:7" x14ac:dyDescent="0.35">
      <c r="A383" s="1" t="str">
        <f t="shared" si="5"/>
        <v>12 Anastrozole 20 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2401</v>
      </c>
    </row>
    <row r="384" spans="1:7" x14ac:dyDescent="0.35">
      <c r="A384" s="1" t="str">
        <f t="shared" si="5"/>
        <v>12 Anastrozole 20 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2402</v>
      </c>
    </row>
    <row r="385" spans="1:10" x14ac:dyDescent="0.35">
      <c r="A385" s="1" t="str">
        <f t="shared" si="5"/>
        <v>12 Anastrozole 20 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2403</v>
      </c>
    </row>
    <row r="386" spans="1:10" x14ac:dyDescent="0.35">
      <c r="A386" s="1" t="str">
        <f t="shared" ref="A386:A449" si="6">IFERROR(LEFT(RIGHT(C386,LEN(C386)-SEARCH("@",C386)),SEARCH("/",RIGHT(C386,LEN(C386)-SEARCH("@",C386)-1))),"")</f>
        <v>12 Anastrozole 20 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2404</v>
      </c>
      <c r="D386" s="1" t="s">
        <v>1646</v>
      </c>
      <c r="E386" s="1" t="s">
        <v>2405</v>
      </c>
      <c r="F386" s="1" t="s">
        <v>112</v>
      </c>
      <c r="G386" s="1">
        <v>26388</v>
      </c>
    </row>
    <row r="387" spans="1:10" x14ac:dyDescent="0.35">
      <c r="A387" s="1" t="str">
        <f t="shared" si="6"/>
        <v>12 Anastrozole 20 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2406</v>
      </c>
      <c r="D387" s="1" t="s">
        <v>2217</v>
      </c>
      <c r="E387" s="1" t="s">
        <v>2407</v>
      </c>
      <c r="F387" s="1" t="s">
        <v>112</v>
      </c>
      <c r="G387" s="1">
        <v>50917</v>
      </c>
    </row>
    <row r="388" spans="1:10" x14ac:dyDescent="0.35">
      <c r="A388" s="1" t="str">
        <f t="shared" si="6"/>
        <v>12 Anastrozole 20 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2408</v>
      </c>
      <c r="D388" s="1" t="s">
        <v>2116</v>
      </c>
      <c r="E388" s="1" t="s">
        <v>271</v>
      </c>
      <c r="F388" s="1" t="s">
        <v>112</v>
      </c>
      <c r="G388" s="1">
        <v>21976</v>
      </c>
    </row>
    <row r="389" spans="1:10"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227</v>
      </c>
      <c r="D390" s="1" t="s">
        <v>112</v>
      </c>
      <c r="E390" s="1" t="s">
        <v>228</v>
      </c>
      <c r="F390" s="1" t="s">
        <v>229</v>
      </c>
      <c r="G390" s="1" t="s">
        <v>230</v>
      </c>
      <c r="H390" s="1" t="s">
        <v>231</v>
      </c>
      <c r="I390" s="1" t="s">
        <v>232</v>
      </c>
      <c r="J390" s="1" t="s">
        <v>233</v>
      </c>
    </row>
    <row r="391" spans="1:10" x14ac:dyDescent="0.35">
      <c r="A391" s="1" t="str">
        <f t="shared" si="6"/>
        <v>12 Anastrozole 20 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2409</v>
      </c>
      <c r="D391" s="1" t="s">
        <v>112</v>
      </c>
      <c r="E391" s="1" t="s">
        <v>2410</v>
      </c>
      <c r="F391" s="1" t="s">
        <v>2411</v>
      </c>
      <c r="G391" s="1" t="s">
        <v>2412</v>
      </c>
      <c r="H391" s="1" t="s">
        <v>2413</v>
      </c>
      <c r="I391" s="1">
        <v>24</v>
      </c>
      <c r="J391" s="1">
        <v>24</v>
      </c>
    </row>
    <row r="392" spans="1:10"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239</v>
      </c>
      <c r="D397" s="1" t="s">
        <v>110</v>
      </c>
      <c r="E397" s="1" t="s">
        <v>111</v>
      </c>
      <c r="F397" s="1" t="s">
        <v>112</v>
      </c>
      <c r="G397" s="1" t="s">
        <v>113</v>
      </c>
    </row>
    <row r="398" spans="1:10" x14ac:dyDescent="0.3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2414</v>
      </c>
      <c r="D398" s="1" t="s">
        <v>1634</v>
      </c>
      <c r="E398" s="1" t="s">
        <v>2415</v>
      </c>
      <c r="F398" s="1" t="s">
        <v>112</v>
      </c>
      <c r="G398" s="1">
        <v>184481</v>
      </c>
    </row>
    <row r="399" spans="1:10" x14ac:dyDescent="0.3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2416</v>
      </c>
      <c r="D399" s="1" t="s">
        <v>2417</v>
      </c>
      <c r="E399" s="1" t="s">
        <v>2418</v>
      </c>
      <c r="F399" s="1" t="s">
        <v>112</v>
      </c>
      <c r="G399" s="1">
        <v>485959</v>
      </c>
    </row>
    <row r="400" spans="1:10" x14ac:dyDescent="0.3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2419</v>
      </c>
      <c r="D400" s="1" t="s">
        <v>2420</v>
      </c>
      <c r="E400" s="1" t="s">
        <v>2421</v>
      </c>
      <c r="F400" s="1" t="s">
        <v>112</v>
      </c>
      <c r="G400" s="1">
        <v>221815</v>
      </c>
    </row>
    <row r="401" spans="1:7" x14ac:dyDescent="0.3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2422</v>
      </c>
      <c r="D401" s="1" t="s">
        <v>2283</v>
      </c>
      <c r="E401" s="1" t="s">
        <v>2423</v>
      </c>
      <c r="F401" s="1" t="s">
        <v>112</v>
      </c>
      <c r="G401" s="1">
        <v>55892</v>
      </c>
    </row>
    <row r="402" spans="1:7" x14ac:dyDescent="0.3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2424</v>
      </c>
      <c r="D402" s="1" t="s">
        <v>2349</v>
      </c>
      <c r="E402" s="1" t="s">
        <v>2425</v>
      </c>
      <c r="F402" s="1" t="s">
        <v>112</v>
      </c>
      <c r="G402" s="1">
        <v>11269</v>
      </c>
    </row>
    <row r="403" spans="1:7" x14ac:dyDescent="0.3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2426</v>
      </c>
      <c r="D403" s="1" t="s">
        <v>2214</v>
      </c>
      <c r="E403" s="1" t="s">
        <v>2427</v>
      </c>
      <c r="F403" s="1" t="s">
        <v>112</v>
      </c>
      <c r="G403" s="1">
        <v>135468</v>
      </c>
    </row>
    <row r="404" spans="1:7" x14ac:dyDescent="0.3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2428</v>
      </c>
      <c r="D404" s="1" t="s">
        <v>2429</v>
      </c>
      <c r="E404" s="1" t="s">
        <v>2430</v>
      </c>
      <c r="F404" s="1" t="s">
        <v>112</v>
      </c>
      <c r="G404" s="1">
        <v>2666166</v>
      </c>
    </row>
    <row r="405" spans="1:7" x14ac:dyDescent="0.3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2431</v>
      </c>
      <c r="D405" s="1" t="s">
        <v>2432</v>
      </c>
      <c r="E405" s="1" t="s">
        <v>2433</v>
      </c>
      <c r="F405" s="1" t="s">
        <v>112</v>
      </c>
      <c r="G405" s="1">
        <v>2373232</v>
      </c>
    </row>
    <row r="406" spans="1:7" x14ac:dyDescent="0.3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2434</v>
      </c>
      <c r="D406" s="1" t="s">
        <v>2435</v>
      </c>
      <c r="E406" s="1" t="s">
        <v>2436</v>
      </c>
      <c r="F406" s="1" t="s">
        <v>112</v>
      </c>
      <c r="G406" s="1">
        <v>2484453</v>
      </c>
    </row>
    <row r="407" spans="1:7" x14ac:dyDescent="0.3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2437</v>
      </c>
      <c r="D407" s="1" t="s">
        <v>2438</v>
      </c>
      <c r="E407" s="1" t="s">
        <v>2439</v>
      </c>
      <c r="F407" s="1" t="s">
        <v>112</v>
      </c>
      <c r="G407" s="1">
        <v>3718374</v>
      </c>
    </row>
    <row r="408" spans="1:7" x14ac:dyDescent="0.3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2440</v>
      </c>
      <c r="D408" s="1" t="s">
        <v>2441</v>
      </c>
      <c r="E408" s="1" t="s">
        <v>2442</v>
      </c>
      <c r="F408" s="1" t="s">
        <v>112</v>
      </c>
      <c r="G408" s="1">
        <v>3675633</v>
      </c>
    </row>
    <row r="409" spans="1:7" x14ac:dyDescent="0.3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2443</v>
      </c>
      <c r="D409" s="1" t="s">
        <v>2444</v>
      </c>
      <c r="E409" s="1" t="s">
        <v>2445</v>
      </c>
      <c r="F409" s="1" t="s">
        <v>112</v>
      </c>
      <c r="G409" s="1">
        <v>3449125</v>
      </c>
    </row>
    <row r="410" spans="1:7" x14ac:dyDescent="0.3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2446</v>
      </c>
      <c r="D410" s="1" t="s">
        <v>2447</v>
      </c>
      <c r="E410" s="1" t="s">
        <v>2448</v>
      </c>
      <c r="F410" s="1" t="s">
        <v>112</v>
      </c>
      <c r="G410" s="1">
        <v>3809262</v>
      </c>
    </row>
    <row r="411" spans="1:7" x14ac:dyDescent="0.3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2449</v>
      </c>
      <c r="D411" s="1" t="s">
        <v>2450</v>
      </c>
      <c r="E411" s="1" t="s">
        <v>2451</v>
      </c>
      <c r="F411" s="1" t="s">
        <v>112</v>
      </c>
      <c r="G411" s="1">
        <v>3462297</v>
      </c>
    </row>
    <row r="412" spans="1:7" x14ac:dyDescent="0.3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2452</v>
      </c>
      <c r="D412" s="1" t="s">
        <v>2453</v>
      </c>
      <c r="E412" s="1" t="s">
        <v>2454</v>
      </c>
      <c r="F412" s="1" t="s">
        <v>112</v>
      </c>
      <c r="G412" s="1">
        <v>3007356</v>
      </c>
    </row>
    <row r="413" spans="1:7" x14ac:dyDescent="0.3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2455</v>
      </c>
      <c r="D413" s="1" t="s">
        <v>2456</v>
      </c>
      <c r="E413" s="1" t="s">
        <v>2457</v>
      </c>
      <c r="F413" s="1" t="s">
        <v>112</v>
      </c>
      <c r="G413" s="1">
        <v>1837373</v>
      </c>
    </row>
    <row r="414" spans="1:7" x14ac:dyDescent="0.3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2458</v>
      </c>
      <c r="D414" s="1" t="s">
        <v>2459</v>
      </c>
      <c r="E414" s="1" t="s">
        <v>2460</v>
      </c>
      <c r="F414" s="1" t="s">
        <v>112</v>
      </c>
      <c r="G414" s="1">
        <v>1702900</v>
      </c>
    </row>
    <row r="415" spans="1:7" x14ac:dyDescent="0.3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2461</v>
      </c>
      <c r="D415" s="1" t="s">
        <v>2462</v>
      </c>
      <c r="E415" s="1" t="s">
        <v>2463</v>
      </c>
      <c r="F415" s="1" t="s">
        <v>112</v>
      </c>
      <c r="G415" s="1">
        <v>1421517</v>
      </c>
    </row>
    <row r="416" spans="1:7" x14ac:dyDescent="0.3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2464</v>
      </c>
      <c r="D416" s="1" t="s">
        <v>2465</v>
      </c>
      <c r="E416" s="1" t="s">
        <v>2466</v>
      </c>
      <c r="F416" s="1" t="s">
        <v>112</v>
      </c>
      <c r="G416" s="1">
        <v>1172470</v>
      </c>
    </row>
    <row r="417" spans="1:10" x14ac:dyDescent="0.3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2467</v>
      </c>
      <c r="D417" s="1" t="s">
        <v>2468</v>
      </c>
      <c r="E417" s="1" t="s">
        <v>2469</v>
      </c>
      <c r="F417" s="1" t="s">
        <v>112</v>
      </c>
      <c r="G417" s="1">
        <v>2424517</v>
      </c>
    </row>
    <row r="418" spans="1:10" x14ac:dyDescent="0.3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2470</v>
      </c>
      <c r="D418" s="1" t="s">
        <v>2471</v>
      </c>
      <c r="E418" s="1" t="s">
        <v>2472</v>
      </c>
      <c r="F418" s="1" t="s">
        <v>112</v>
      </c>
      <c r="G418" s="1">
        <v>571743</v>
      </c>
    </row>
    <row r="419" spans="1:10" x14ac:dyDescent="0.3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2473</v>
      </c>
      <c r="D419" s="1" t="s">
        <v>2474</v>
      </c>
      <c r="E419" s="1" t="s">
        <v>2475</v>
      </c>
      <c r="F419" s="1" t="s">
        <v>112</v>
      </c>
      <c r="G419" s="1">
        <v>4582509</v>
      </c>
    </row>
    <row r="420" spans="1:10" x14ac:dyDescent="0.3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2476</v>
      </c>
      <c r="D420" s="1" t="s">
        <v>2477</v>
      </c>
      <c r="E420" s="1" t="s">
        <v>2478</v>
      </c>
      <c r="F420" s="1" t="s">
        <v>112</v>
      </c>
      <c r="G420" s="1">
        <v>3488621</v>
      </c>
    </row>
    <row r="421" spans="1:10" x14ac:dyDescent="0.3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2479</v>
      </c>
      <c r="D421" s="1" t="s">
        <v>2480</v>
      </c>
      <c r="E421" s="1" t="s">
        <v>2481</v>
      </c>
      <c r="F421" s="1" t="s">
        <v>112</v>
      </c>
      <c r="G421" s="1">
        <v>3883799</v>
      </c>
    </row>
    <row r="422" spans="1:10"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227</v>
      </c>
      <c r="D423" s="1" t="s">
        <v>112</v>
      </c>
      <c r="E423" s="1" t="s">
        <v>228</v>
      </c>
      <c r="F423" s="1" t="s">
        <v>229</v>
      </c>
      <c r="G423" s="1" t="s">
        <v>230</v>
      </c>
      <c r="H423" s="1" t="s">
        <v>231</v>
      </c>
      <c r="I423" s="1" t="s">
        <v>232</v>
      </c>
      <c r="J423" s="1" t="s">
        <v>233</v>
      </c>
    </row>
    <row r="424" spans="1:10" x14ac:dyDescent="0.3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2482</v>
      </c>
      <c r="D424" s="1" t="s">
        <v>112</v>
      </c>
      <c r="E424" s="1" t="s">
        <v>2483</v>
      </c>
      <c r="F424" s="1" t="s">
        <v>2484</v>
      </c>
      <c r="G424" s="1" t="s">
        <v>2485</v>
      </c>
      <c r="H424" s="1" t="s">
        <v>2486</v>
      </c>
      <c r="I424" s="1">
        <v>24</v>
      </c>
      <c r="J424" s="1">
        <v>24</v>
      </c>
    </row>
    <row r="425" spans="1:10"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239</v>
      </c>
      <c r="D430" s="1" t="s">
        <v>110</v>
      </c>
      <c r="E430" s="1" t="s">
        <v>111</v>
      </c>
      <c r="F430" s="1" t="s">
        <v>112</v>
      </c>
      <c r="G430" s="1" t="s">
        <v>113</v>
      </c>
    </row>
    <row r="431" spans="1:10" x14ac:dyDescent="0.3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2487</v>
      </c>
      <c r="D431" s="1" t="s">
        <v>2488</v>
      </c>
      <c r="E431" s="1" t="s">
        <v>2489</v>
      </c>
      <c r="F431" s="1" t="s">
        <v>112</v>
      </c>
      <c r="G431" s="1">
        <v>3023967</v>
      </c>
    </row>
    <row r="432" spans="1:10" x14ac:dyDescent="0.3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2490</v>
      </c>
      <c r="D432" s="1" t="s">
        <v>2491</v>
      </c>
      <c r="E432" s="1" t="s">
        <v>2492</v>
      </c>
      <c r="F432" s="1" t="s">
        <v>112</v>
      </c>
      <c r="G432" s="1">
        <v>3269012</v>
      </c>
    </row>
    <row r="433" spans="1:7" x14ac:dyDescent="0.3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2493</v>
      </c>
      <c r="D433" s="1" t="s">
        <v>2494</v>
      </c>
      <c r="E433" s="1" t="s">
        <v>2495</v>
      </c>
      <c r="F433" s="1" t="s">
        <v>112</v>
      </c>
      <c r="G433" s="1">
        <v>2966454</v>
      </c>
    </row>
    <row r="434" spans="1:7" x14ac:dyDescent="0.3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2496</v>
      </c>
      <c r="D434" s="1" t="s">
        <v>2497</v>
      </c>
      <c r="E434" s="1" t="s">
        <v>2498</v>
      </c>
      <c r="F434" s="1" t="s">
        <v>112</v>
      </c>
      <c r="G434" s="1">
        <v>1255313</v>
      </c>
    </row>
    <row r="435" spans="1:7" x14ac:dyDescent="0.3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2499</v>
      </c>
      <c r="D435" s="1" t="s">
        <v>2500</v>
      </c>
      <c r="E435" s="1" t="s">
        <v>2501</v>
      </c>
      <c r="F435" s="1" t="s">
        <v>112</v>
      </c>
      <c r="G435" s="1">
        <v>1010224</v>
      </c>
    </row>
    <row r="436" spans="1:7" x14ac:dyDescent="0.3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2502</v>
      </c>
      <c r="D436" s="1" t="s">
        <v>2503</v>
      </c>
      <c r="E436" s="1" t="s">
        <v>2504</v>
      </c>
      <c r="F436" s="1" t="s">
        <v>112</v>
      </c>
      <c r="G436" s="1">
        <v>965710</v>
      </c>
    </row>
    <row r="437" spans="1:7" x14ac:dyDescent="0.3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2505</v>
      </c>
      <c r="D437" s="1" t="s">
        <v>2506</v>
      </c>
      <c r="E437" s="1" t="s">
        <v>2507</v>
      </c>
      <c r="F437" s="1" t="s">
        <v>112</v>
      </c>
      <c r="G437" s="1">
        <v>963720</v>
      </c>
    </row>
    <row r="438" spans="1:7" x14ac:dyDescent="0.3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2508</v>
      </c>
      <c r="D438" s="1" t="s">
        <v>2509</v>
      </c>
      <c r="E438" s="1" t="s">
        <v>2510</v>
      </c>
      <c r="F438" s="1" t="s">
        <v>112</v>
      </c>
      <c r="G438" s="1">
        <v>1051191</v>
      </c>
    </row>
    <row r="439" spans="1:7" x14ac:dyDescent="0.3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2511</v>
      </c>
      <c r="D439" s="1" t="s">
        <v>2512</v>
      </c>
      <c r="E439" s="1" t="s">
        <v>2513</v>
      </c>
      <c r="F439" s="1" t="s">
        <v>112</v>
      </c>
      <c r="G439" s="1">
        <v>838721</v>
      </c>
    </row>
    <row r="440" spans="1:7" x14ac:dyDescent="0.3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2514</v>
      </c>
      <c r="D440" s="1" t="s">
        <v>2515</v>
      </c>
      <c r="E440" s="1" t="s">
        <v>2516</v>
      </c>
      <c r="F440" s="1" t="s">
        <v>112</v>
      </c>
      <c r="G440" s="1">
        <v>2823350</v>
      </c>
    </row>
    <row r="441" spans="1:7" x14ac:dyDescent="0.3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2517</v>
      </c>
      <c r="D441" s="1" t="s">
        <v>2518</v>
      </c>
      <c r="E441" s="1" t="s">
        <v>2519</v>
      </c>
      <c r="F441" s="1" t="s">
        <v>112</v>
      </c>
      <c r="G441" s="1">
        <v>2745093</v>
      </c>
    </row>
    <row r="442" spans="1:7" x14ac:dyDescent="0.3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2520</v>
      </c>
      <c r="D442" s="1" t="s">
        <v>2521</v>
      </c>
      <c r="E442" s="1" t="s">
        <v>2522</v>
      </c>
      <c r="F442" s="1" t="s">
        <v>112</v>
      </c>
      <c r="G442" s="1">
        <v>2844742</v>
      </c>
    </row>
    <row r="443" spans="1:7" x14ac:dyDescent="0.3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2523</v>
      </c>
      <c r="D443" s="1" t="s">
        <v>2524</v>
      </c>
      <c r="E443" s="1" t="s">
        <v>2525</v>
      </c>
      <c r="F443" s="1" t="s">
        <v>112</v>
      </c>
      <c r="G443" s="1">
        <v>2323613</v>
      </c>
    </row>
    <row r="444" spans="1:7" x14ac:dyDescent="0.3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2526</v>
      </c>
      <c r="D444" s="1" t="s">
        <v>2527</v>
      </c>
      <c r="E444" s="1" t="s">
        <v>2528</v>
      </c>
      <c r="F444" s="1" t="s">
        <v>112</v>
      </c>
      <c r="G444" s="1">
        <v>2427220</v>
      </c>
    </row>
    <row r="445" spans="1:7" x14ac:dyDescent="0.3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2529</v>
      </c>
      <c r="D445" s="1" t="s">
        <v>2530</v>
      </c>
      <c r="E445" s="1" t="s">
        <v>2531</v>
      </c>
      <c r="F445" s="1" t="s">
        <v>112</v>
      </c>
      <c r="G445" s="1">
        <v>2075259</v>
      </c>
    </row>
    <row r="446" spans="1:7" x14ac:dyDescent="0.3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2532</v>
      </c>
      <c r="D446" s="1" t="s">
        <v>2533</v>
      </c>
      <c r="E446" s="1" t="s">
        <v>2534</v>
      </c>
      <c r="F446" s="1" t="s">
        <v>112</v>
      </c>
      <c r="G446" s="1">
        <v>2787055</v>
      </c>
    </row>
    <row r="447" spans="1:7" x14ac:dyDescent="0.3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2535</v>
      </c>
      <c r="D447" s="1" t="s">
        <v>2536</v>
      </c>
      <c r="E447" s="1" t="s">
        <v>2537</v>
      </c>
      <c r="F447" s="1" t="s">
        <v>112</v>
      </c>
      <c r="G447" s="1">
        <v>2657622</v>
      </c>
    </row>
    <row r="448" spans="1:7" x14ac:dyDescent="0.3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2538</v>
      </c>
    </row>
    <row r="449" spans="1:10" x14ac:dyDescent="0.3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2539</v>
      </c>
      <c r="D449" s="1" t="s">
        <v>2540</v>
      </c>
      <c r="E449" s="1" t="s">
        <v>2541</v>
      </c>
      <c r="F449" s="1" t="s">
        <v>112</v>
      </c>
      <c r="G449" s="1">
        <v>3492211</v>
      </c>
    </row>
    <row r="450" spans="1:10" x14ac:dyDescent="0.3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2542</v>
      </c>
      <c r="D450" s="1" t="s">
        <v>2543</v>
      </c>
      <c r="E450" s="1" t="s">
        <v>2544</v>
      </c>
      <c r="F450" s="1" t="s">
        <v>112</v>
      </c>
      <c r="G450" s="1">
        <v>4038539</v>
      </c>
    </row>
    <row r="451" spans="1:10" x14ac:dyDescent="0.3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2545</v>
      </c>
      <c r="D451" s="1" t="s">
        <v>2546</v>
      </c>
      <c r="E451" s="1" t="s">
        <v>2547</v>
      </c>
      <c r="F451" s="1" t="s">
        <v>112</v>
      </c>
      <c r="G451" s="1">
        <v>3587340</v>
      </c>
    </row>
    <row r="452" spans="1:10" x14ac:dyDescent="0.3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2548</v>
      </c>
      <c r="D452" s="1" t="s">
        <v>2549</v>
      </c>
      <c r="E452" s="1" t="s">
        <v>2550</v>
      </c>
      <c r="F452" s="1" t="s">
        <v>112</v>
      </c>
      <c r="G452" s="1">
        <v>3864008</v>
      </c>
    </row>
    <row r="453" spans="1:10" x14ac:dyDescent="0.3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2551</v>
      </c>
      <c r="D453" s="1" t="s">
        <v>2552</v>
      </c>
      <c r="E453" s="1" t="s">
        <v>2553</v>
      </c>
      <c r="F453" s="1" t="s">
        <v>112</v>
      </c>
      <c r="G453" s="1">
        <v>3637413</v>
      </c>
    </row>
    <row r="454" spans="1:10" x14ac:dyDescent="0.3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2554</v>
      </c>
      <c r="D454" s="1" t="s">
        <v>2555</v>
      </c>
      <c r="E454" s="1" t="s">
        <v>2556</v>
      </c>
      <c r="F454" s="1" t="s">
        <v>112</v>
      </c>
      <c r="G454" s="1">
        <v>3601832</v>
      </c>
    </row>
    <row r="455" spans="1:10"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227</v>
      </c>
      <c r="D456" s="1" t="s">
        <v>112</v>
      </c>
      <c r="E456" s="1" t="s">
        <v>228</v>
      </c>
      <c r="F456" s="1" t="s">
        <v>229</v>
      </c>
      <c r="G456" s="1" t="s">
        <v>230</v>
      </c>
      <c r="H456" s="1" t="s">
        <v>231</v>
      </c>
      <c r="I456" s="1" t="s">
        <v>232</v>
      </c>
      <c r="J456" s="1" t="s">
        <v>233</v>
      </c>
    </row>
    <row r="457" spans="1:10" x14ac:dyDescent="0.3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2557</v>
      </c>
      <c r="D457" s="1" t="s">
        <v>112</v>
      </c>
      <c r="E457" s="1" t="s">
        <v>2558</v>
      </c>
      <c r="F457" s="1" t="s">
        <v>2559</v>
      </c>
      <c r="G457" s="1" t="s">
        <v>2560</v>
      </c>
      <c r="H457" s="1" t="s">
        <v>2561</v>
      </c>
      <c r="I457" s="1">
        <v>24</v>
      </c>
      <c r="J457" s="1">
        <v>24</v>
      </c>
    </row>
    <row r="458" spans="1:10"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239</v>
      </c>
      <c r="D463" s="1" t="s">
        <v>110</v>
      </c>
      <c r="E463" s="1" t="s">
        <v>111</v>
      </c>
      <c r="F463" s="1" t="s">
        <v>112</v>
      </c>
      <c r="G463" s="1" t="s">
        <v>113</v>
      </c>
    </row>
    <row r="464" spans="1:10" x14ac:dyDescent="0.3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2562</v>
      </c>
      <c r="D464" s="1" t="s">
        <v>2563</v>
      </c>
      <c r="E464" s="1" t="s">
        <v>2564</v>
      </c>
      <c r="F464" s="1" t="s">
        <v>112</v>
      </c>
      <c r="G464" s="1">
        <v>3988964</v>
      </c>
    </row>
    <row r="465" spans="1:7" x14ac:dyDescent="0.3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2565</v>
      </c>
      <c r="D465" s="1" t="s">
        <v>2566</v>
      </c>
      <c r="E465" s="1" t="s">
        <v>2567</v>
      </c>
      <c r="F465" s="1" t="s">
        <v>112</v>
      </c>
      <c r="G465" s="1">
        <v>4321393</v>
      </c>
    </row>
    <row r="466" spans="1:7" x14ac:dyDescent="0.3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2568</v>
      </c>
      <c r="D466" s="1" t="s">
        <v>2569</v>
      </c>
      <c r="E466" s="1" t="s">
        <v>2570</v>
      </c>
      <c r="F466" s="1" t="s">
        <v>112</v>
      </c>
      <c r="G466" s="1">
        <v>4321437</v>
      </c>
    </row>
    <row r="467" spans="1:7" x14ac:dyDescent="0.3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2571</v>
      </c>
      <c r="D467" s="1" t="s">
        <v>2572</v>
      </c>
      <c r="E467" s="1" t="s">
        <v>2573</v>
      </c>
      <c r="F467" s="1" t="s">
        <v>112</v>
      </c>
      <c r="G467" s="1">
        <v>3058121</v>
      </c>
    </row>
    <row r="468" spans="1:7" x14ac:dyDescent="0.3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2574</v>
      </c>
      <c r="D468" s="1" t="s">
        <v>2575</v>
      </c>
      <c r="E468" s="1" t="s">
        <v>2576</v>
      </c>
      <c r="F468" s="1" t="s">
        <v>112</v>
      </c>
      <c r="G468" s="1">
        <v>2693138</v>
      </c>
    </row>
    <row r="469" spans="1:7" x14ac:dyDescent="0.3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2577</v>
      </c>
      <c r="D469" s="1" t="s">
        <v>2578</v>
      </c>
      <c r="E469" s="1" t="s">
        <v>2579</v>
      </c>
      <c r="F469" s="1" t="s">
        <v>112</v>
      </c>
      <c r="G469" s="1">
        <v>3268969</v>
      </c>
    </row>
    <row r="470" spans="1:7" x14ac:dyDescent="0.3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2580</v>
      </c>
      <c r="D470" s="1" t="s">
        <v>2581</v>
      </c>
      <c r="E470" s="1" t="s">
        <v>2582</v>
      </c>
      <c r="F470" s="1" t="s">
        <v>112</v>
      </c>
      <c r="G470" s="1">
        <v>2844288</v>
      </c>
    </row>
    <row r="471" spans="1:7" x14ac:dyDescent="0.3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2583</v>
      </c>
      <c r="D471" s="1" t="s">
        <v>2584</v>
      </c>
      <c r="E471" s="1" t="s">
        <v>2585</v>
      </c>
      <c r="F471" s="1" t="s">
        <v>112</v>
      </c>
      <c r="G471" s="1">
        <v>3428555</v>
      </c>
    </row>
    <row r="472" spans="1:7" x14ac:dyDescent="0.3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2586</v>
      </c>
      <c r="D472" s="1" t="s">
        <v>2587</v>
      </c>
      <c r="E472" s="1" t="s">
        <v>2588</v>
      </c>
      <c r="F472" s="1" t="s">
        <v>112</v>
      </c>
      <c r="G472" s="1">
        <v>3842854</v>
      </c>
    </row>
    <row r="473" spans="1:7" x14ac:dyDescent="0.3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2589</v>
      </c>
      <c r="D473" s="1" t="s">
        <v>2477</v>
      </c>
      <c r="E473" s="1" t="s">
        <v>2590</v>
      </c>
      <c r="F473" s="1" t="s">
        <v>112</v>
      </c>
      <c r="G473" s="1">
        <v>3520265</v>
      </c>
    </row>
    <row r="474" spans="1:7" x14ac:dyDescent="0.3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2591</v>
      </c>
      <c r="D474" s="1" t="s">
        <v>2592</v>
      </c>
      <c r="E474" s="1" t="s">
        <v>2593</v>
      </c>
      <c r="F474" s="1" t="s">
        <v>112</v>
      </c>
      <c r="G474" s="1">
        <v>3193935</v>
      </c>
    </row>
    <row r="475" spans="1:7" x14ac:dyDescent="0.3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2594</v>
      </c>
      <c r="D475" s="1" t="s">
        <v>2595</v>
      </c>
      <c r="E475" s="1" t="s">
        <v>2596</v>
      </c>
      <c r="F475" s="1" t="s">
        <v>112</v>
      </c>
      <c r="G475" s="1">
        <v>3512673</v>
      </c>
    </row>
    <row r="476" spans="1:7" x14ac:dyDescent="0.3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2597</v>
      </c>
      <c r="D476" s="1" t="s">
        <v>2598</v>
      </c>
      <c r="E476" s="1" t="s">
        <v>2599</v>
      </c>
      <c r="F476" s="1" t="s">
        <v>112</v>
      </c>
      <c r="G476" s="1">
        <v>1175390</v>
      </c>
    </row>
    <row r="477" spans="1:7" x14ac:dyDescent="0.3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2600</v>
      </c>
      <c r="D477" s="1" t="s">
        <v>2601</v>
      </c>
      <c r="E477" s="1" t="s">
        <v>2602</v>
      </c>
      <c r="F477" s="1" t="s">
        <v>112</v>
      </c>
      <c r="G477" s="1">
        <v>1003476</v>
      </c>
    </row>
    <row r="478" spans="1:7" x14ac:dyDescent="0.3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2603</v>
      </c>
      <c r="D478" s="1" t="s">
        <v>2604</v>
      </c>
      <c r="E478" s="1" t="s">
        <v>2605</v>
      </c>
      <c r="F478" s="1" t="s">
        <v>112</v>
      </c>
      <c r="G478" s="1">
        <v>1371487</v>
      </c>
    </row>
    <row r="479" spans="1:7" x14ac:dyDescent="0.3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2606</v>
      </c>
      <c r="D479" s="1" t="s">
        <v>2607</v>
      </c>
      <c r="E479" s="1" t="s">
        <v>2608</v>
      </c>
      <c r="F479" s="1" t="s">
        <v>112</v>
      </c>
      <c r="G479" s="1">
        <v>1780659</v>
      </c>
    </row>
    <row r="480" spans="1:7" x14ac:dyDescent="0.3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2609</v>
      </c>
      <c r="D480" s="1" t="s">
        <v>2610</v>
      </c>
      <c r="E480" s="1" t="s">
        <v>2611</v>
      </c>
      <c r="F480" s="1" t="s">
        <v>112</v>
      </c>
      <c r="G480" s="1">
        <v>1775425</v>
      </c>
    </row>
    <row r="481" spans="1:10" x14ac:dyDescent="0.3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2612</v>
      </c>
      <c r="D481" s="1" t="s">
        <v>2613</v>
      </c>
      <c r="E481" s="1" t="s">
        <v>2614</v>
      </c>
      <c r="F481" s="1" t="s">
        <v>112</v>
      </c>
      <c r="G481" s="1">
        <v>1865384</v>
      </c>
    </row>
    <row r="482" spans="1:10" x14ac:dyDescent="0.3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2615</v>
      </c>
      <c r="D482" s="1" t="s">
        <v>2616</v>
      </c>
      <c r="E482" s="1" t="s">
        <v>2617</v>
      </c>
      <c r="F482" s="1" t="s">
        <v>112</v>
      </c>
      <c r="G482" s="1">
        <v>4615344</v>
      </c>
    </row>
    <row r="483" spans="1:10" x14ac:dyDescent="0.3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2618</v>
      </c>
      <c r="D483" s="1" t="s">
        <v>2619</v>
      </c>
      <c r="E483" s="1" t="s">
        <v>2620</v>
      </c>
      <c r="F483" s="1" t="s">
        <v>112</v>
      </c>
      <c r="G483" s="1">
        <v>4693644</v>
      </c>
    </row>
    <row r="484" spans="1:10" x14ac:dyDescent="0.3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2621</v>
      </c>
      <c r="D484" s="1" t="s">
        <v>2622</v>
      </c>
      <c r="E484" s="1" t="s">
        <v>2623</v>
      </c>
      <c r="F484" s="1" t="s">
        <v>112</v>
      </c>
      <c r="G484" s="1">
        <v>4287088</v>
      </c>
    </row>
    <row r="485" spans="1:10" x14ac:dyDescent="0.3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2624</v>
      </c>
      <c r="D485" s="1" t="s">
        <v>2625</v>
      </c>
      <c r="E485" s="1" t="s">
        <v>2626</v>
      </c>
      <c r="F485" s="1" t="s">
        <v>112</v>
      </c>
      <c r="G485" s="1">
        <v>5020363</v>
      </c>
    </row>
    <row r="486" spans="1:10" x14ac:dyDescent="0.3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2627</v>
      </c>
      <c r="D486" s="1" t="s">
        <v>2628</v>
      </c>
      <c r="E486" s="1" t="s">
        <v>2629</v>
      </c>
      <c r="F486" s="1" t="s">
        <v>112</v>
      </c>
      <c r="G486" s="1">
        <v>4491275</v>
      </c>
    </row>
    <row r="487" spans="1:10" x14ac:dyDescent="0.3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2630</v>
      </c>
      <c r="D487" s="1" t="s">
        <v>2631</v>
      </c>
      <c r="E487" s="1" t="s">
        <v>2632</v>
      </c>
      <c r="F487" s="1" t="s">
        <v>112</v>
      </c>
      <c r="G487" s="1">
        <v>4555277</v>
      </c>
    </row>
    <row r="488" spans="1:10"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227</v>
      </c>
      <c r="D489" s="1" t="s">
        <v>112</v>
      </c>
      <c r="E489" s="1" t="s">
        <v>228</v>
      </c>
      <c r="F489" s="1" t="s">
        <v>229</v>
      </c>
      <c r="G489" s="1" t="s">
        <v>230</v>
      </c>
      <c r="H489" s="1" t="s">
        <v>231</v>
      </c>
      <c r="I489" s="1" t="s">
        <v>232</v>
      </c>
      <c r="J489" s="1" t="s">
        <v>233</v>
      </c>
    </row>
    <row r="490" spans="1:10" x14ac:dyDescent="0.3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2633</v>
      </c>
      <c r="D490" s="1" t="s">
        <v>112</v>
      </c>
      <c r="E490" s="1" t="s">
        <v>2634</v>
      </c>
      <c r="F490" s="1" t="s">
        <v>2635</v>
      </c>
      <c r="G490" s="1" t="s">
        <v>2636</v>
      </c>
      <c r="H490" s="1" t="s">
        <v>2637</v>
      </c>
      <c r="I490" s="1">
        <v>24</v>
      </c>
      <c r="J490" s="1">
        <v>24</v>
      </c>
    </row>
    <row r="491" spans="1:10"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239</v>
      </c>
      <c r="D496" s="1" t="s">
        <v>110</v>
      </c>
      <c r="E496" s="1" t="s">
        <v>111</v>
      </c>
      <c r="F496" s="1" t="s">
        <v>112</v>
      </c>
      <c r="G496" s="1" t="s">
        <v>113</v>
      </c>
    </row>
    <row r="497" spans="1:7" x14ac:dyDescent="0.3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2638</v>
      </c>
      <c r="D497" s="1" t="s">
        <v>2639</v>
      </c>
      <c r="E497" s="1" t="s">
        <v>2640</v>
      </c>
      <c r="F497" s="1" t="s">
        <v>112</v>
      </c>
      <c r="G497" s="1">
        <v>359878</v>
      </c>
    </row>
    <row r="498" spans="1:7" x14ac:dyDescent="0.3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2641</v>
      </c>
    </row>
    <row r="499" spans="1:7" x14ac:dyDescent="0.3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2642</v>
      </c>
      <c r="D499" s="1" t="s">
        <v>2386</v>
      </c>
      <c r="E499" s="1" t="s">
        <v>2643</v>
      </c>
      <c r="F499" s="1" t="s">
        <v>112</v>
      </c>
      <c r="G499" s="1">
        <v>132007</v>
      </c>
    </row>
    <row r="500" spans="1:7" x14ac:dyDescent="0.3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2644</v>
      </c>
      <c r="D500" s="1" t="s">
        <v>2645</v>
      </c>
      <c r="E500" s="1" t="s">
        <v>2646</v>
      </c>
      <c r="F500" s="1" t="s">
        <v>112</v>
      </c>
      <c r="G500" s="1">
        <v>181994</v>
      </c>
    </row>
    <row r="501" spans="1:7" x14ac:dyDescent="0.3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2647</v>
      </c>
      <c r="D501" s="1" t="s">
        <v>1749</v>
      </c>
      <c r="E501" s="1" t="s">
        <v>2648</v>
      </c>
      <c r="F501" s="1" t="s">
        <v>112</v>
      </c>
      <c r="G501" s="1">
        <v>367816</v>
      </c>
    </row>
    <row r="502" spans="1:7" x14ac:dyDescent="0.3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2649</v>
      </c>
      <c r="D502" s="1" t="s">
        <v>2650</v>
      </c>
      <c r="E502" s="1" t="s">
        <v>2651</v>
      </c>
      <c r="F502" s="1" t="s">
        <v>112</v>
      </c>
      <c r="G502" s="1">
        <v>276279</v>
      </c>
    </row>
    <row r="503" spans="1:7" x14ac:dyDescent="0.3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2652</v>
      </c>
      <c r="D503" s="1" t="s">
        <v>2653</v>
      </c>
      <c r="E503" s="1" t="s">
        <v>2654</v>
      </c>
      <c r="F503" s="1" t="s">
        <v>112</v>
      </c>
      <c r="G503" s="1">
        <v>421805</v>
      </c>
    </row>
    <row r="504" spans="1:7" x14ac:dyDescent="0.3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2655</v>
      </c>
      <c r="D504" s="1" t="s">
        <v>2656</v>
      </c>
      <c r="E504" s="1" t="s">
        <v>2657</v>
      </c>
      <c r="F504" s="1" t="s">
        <v>112</v>
      </c>
      <c r="G504" s="1">
        <v>448712</v>
      </c>
    </row>
    <row r="505" spans="1:7" x14ac:dyDescent="0.3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2658</v>
      </c>
      <c r="D505" s="1" t="s">
        <v>2659</v>
      </c>
      <c r="E505" s="1" t="s">
        <v>2660</v>
      </c>
      <c r="F505" s="1" t="s">
        <v>112</v>
      </c>
      <c r="G505" s="1">
        <v>509427</v>
      </c>
    </row>
    <row r="506" spans="1:7" x14ac:dyDescent="0.3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2661</v>
      </c>
      <c r="D506" s="1" t="s">
        <v>1631</v>
      </c>
      <c r="E506" s="1" t="s">
        <v>2662</v>
      </c>
      <c r="F506" s="1" t="s">
        <v>112</v>
      </c>
      <c r="G506" s="1">
        <v>96469</v>
      </c>
    </row>
    <row r="507" spans="1:7" x14ac:dyDescent="0.3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2663</v>
      </c>
      <c r="D507" s="1" t="s">
        <v>2319</v>
      </c>
      <c r="E507" s="1" t="s">
        <v>2664</v>
      </c>
      <c r="F507" s="1" t="s">
        <v>112</v>
      </c>
      <c r="G507" s="1">
        <v>62900</v>
      </c>
    </row>
    <row r="508" spans="1:7" x14ac:dyDescent="0.3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2665</v>
      </c>
      <c r="D508" s="1" t="s">
        <v>2666</v>
      </c>
      <c r="E508" s="1" t="s">
        <v>2667</v>
      </c>
      <c r="F508" s="1" t="s">
        <v>112</v>
      </c>
      <c r="G508" s="1">
        <v>294426</v>
      </c>
    </row>
    <row r="509" spans="1:7" x14ac:dyDescent="0.3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2668</v>
      </c>
      <c r="D509" s="1" t="s">
        <v>1884</v>
      </c>
      <c r="E509" s="1" t="s">
        <v>2669</v>
      </c>
      <c r="F509" s="1" t="s">
        <v>112</v>
      </c>
      <c r="G509" s="1">
        <v>530105</v>
      </c>
    </row>
    <row r="510" spans="1:7" x14ac:dyDescent="0.3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2670</v>
      </c>
      <c r="D510" s="1" t="s">
        <v>2671</v>
      </c>
      <c r="E510" s="1" t="s">
        <v>2672</v>
      </c>
      <c r="F510" s="1" t="s">
        <v>112</v>
      </c>
      <c r="G510" s="1">
        <v>448020</v>
      </c>
    </row>
    <row r="511" spans="1:7" x14ac:dyDescent="0.3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2673</v>
      </c>
      <c r="D511" s="1" t="s">
        <v>2674</v>
      </c>
      <c r="E511" s="1" t="s">
        <v>2675</v>
      </c>
      <c r="F511" s="1" t="s">
        <v>112</v>
      </c>
      <c r="G511" s="1">
        <v>177495</v>
      </c>
    </row>
    <row r="512" spans="1:7" x14ac:dyDescent="0.3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2676</v>
      </c>
      <c r="D512" s="1" t="s">
        <v>2116</v>
      </c>
      <c r="E512" s="1" t="s">
        <v>1187</v>
      </c>
      <c r="F512" s="1" t="s">
        <v>112</v>
      </c>
      <c r="G512" s="1">
        <v>22062</v>
      </c>
    </row>
    <row r="513" spans="1:10" x14ac:dyDescent="0.3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2677</v>
      </c>
      <c r="D513" s="1" t="s">
        <v>1604</v>
      </c>
      <c r="E513" s="1" t="s">
        <v>2678</v>
      </c>
      <c r="F513" s="1" t="s">
        <v>112</v>
      </c>
      <c r="G513" s="1">
        <v>48343</v>
      </c>
    </row>
    <row r="514" spans="1:10" x14ac:dyDescent="0.3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2679</v>
      </c>
      <c r="D514" s="1" t="s">
        <v>2680</v>
      </c>
      <c r="E514" s="1" t="s">
        <v>2681</v>
      </c>
      <c r="F514" s="1" t="s">
        <v>112</v>
      </c>
      <c r="G514" s="1">
        <v>59201</v>
      </c>
    </row>
    <row r="515" spans="1:10" x14ac:dyDescent="0.3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2682</v>
      </c>
      <c r="D515" s="1" t="s">
        <v>2683</v>
      </c>
      <c r="E515" s="1" t="s">
        <v>2684</v>
      </c>
      <c r="F515" s="1" t="s">
        <v>112</v>
      </c>
      <c r="G515" s="1">
        <v>791503</v>
      </c>
    </row>
    <row r="516" spans="1:10" x14ac:dyDescent="0.3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2685</v>
      </c>
      <c r="D516" s="1" t="s">
        <v>2256</v>
      </c>
      <c r="E516" s="1" t="s">
        <v>2686</v>
      </c>
      <c r="F516" s="1" t="s">
        <v>112</v>
      </c>
      <c r="G516" s="1">
        <v>268297</v>
      </c>
    </row>
    <row r="517" spans="1:10" x14ac:dyDescent="0.3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2687</v>
      </c>
      <c r="D517" s="1" t="s">
        <v>2179</v>
      </c>
      <c r="E517" s="1" t="s">
        <v>293</v>
      </c>
      <c r="F517" s="1" t="s">
        <v>112</v>
      </c>
      <c r="G517" s="1">
        <v>16525</v>
      </c>
    </row>
    <row r="518" spans="1:10" x14ac:dyDescent="0.3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2688</v>
      </c>
      <c r="D518" s="1" t="s">
        <v>2689</v>
      </c>
      <c r="E518" s="1" t="s">
        <v>293</v>
      </c>
      <c r="F518" s="1" t="s">
        <v>112</v>
      </c>
      <c r="G518" s="1">
        <v>12394</v>
      </c>
    </row>
    <row r="519" spans="1:10" x14ac:dyDescent="0.3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2690</v>
      </c>
      <c r="D519" s="1" t="s">
        <v>2305</v>
      </c>
      <c r="E519" s="1" t="s">
        <v>2691</v>
      </c>
      <c r="F519" s="1" t="s">
        <v>112</v>
      </c>
      <c r="G519" s="1">
        <v>102699</v>
      </c>
    </row>
    <row r="520" spans="1:10" x14ac:dyDescent="0.3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2692</v>
      </c>
      <c r="D520" s="1" t="s">
        <v>2114</v>
      </c>
      <c r="E520" s="1" t="s">
        <v>2693</v>
      </c>
      <c r="F520" s="1" t="s">
        <v>112</v>
      </c>
      <c r="G520" s="1">
        <v>8025</v>
      </c>
    </row>
    <row r="521" spans="1:10"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227</v>
      </c>
      <c r="D522" s="1" t="s">
        <v>112</v>
      </c>
      <c r="E522" s="1" t="s">
        <v>228</v>
      </c>
      <c r="F522" s="1" t="s">
        <v>229</v>
      </c>
      <c r="G522" s="1" t="s">
        <v>230</v>
      </c>
      <c r="H522" s="1" t="s">
        <v>231</v>
      </c>
      <c r="I522" s="1" t="s">
        <v>232</v>
      </c>
      <c r="J522" s="1" t="s">
        <v>233</v>
      </c>
    </row>
    <row r="523" spans="1:10" x14ac:dyDescent="0.3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2694</v>
      </c>
      <c r="D523" s="1" t="s">
        <v>112</v>
      </c>
      <c r="E523" s="1" t="s">
        <v>2695</v>
      </c>
      <c r="F523" s="1" t="s">
        <v>2696</v>
      </c>
      <c r="G523" s="1" t="s">
        <v>2697</v>
      </c>
      <c r="H523" s="1" t="s">
        <v>2698</v>
      </c>
      <c r="I523" s="1">
        <v>24</v>
      </c>
      <c r="J523" s="1">
        <v>24</v>
      </c>
    </row>
    <row r="524" spans="1:10"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239</v>
      </c>
      <c r="D529" s="1" t="s">
        <v>110</v>
      </c>
      <c r="E529" s="1" t="s">
        <v>111</v>
      </c>
      <c r="F529" s="1" t="s">
        <v>112</v>
      </c>
      <c r="G529" s="1" t="s">
        <v>113</v>
      </c>
    </row>
    <row r="530" spans="1:7" x14ac:dyDescent="0.35">
      <c r="A530" s="1" t="str">
        <f t="shared" si="8"/>
        <v>05 Anastrozole 0.032 µg_L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2699</v>
      </c>
      <c r="D530" s="1" t="s">
        <v>2700</v>
      </c>
      <c r="E530" s="1" t="s">
        <v>2701</v>
      </c>
      <c r="F530" s="1" t="s">
        <v>112</v>
      </c>
      <c r="G530" s="1">
        <v>1766600</v>
      </c>
    </row>
    <row r="531" spans="1:7" x14ac:dyDescent="0.35">
      <c r="A531" s="1" t="str">
        <f t="shared" si="8"/>
        <v>05 Anastrozole 0.032 µg_L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2702</v>
      </c>
      <c r="D531" s="1" t="s">
        <v>2703</v>
      </c>
      <c r="E531" s="1" t="s">
        <v>2704</v>
      </c>
      <c r="F531" s="1" t="s">
        <v>112</v>
      </c>
      <c r="G531" s="1">
        <v>1874165</v>
      </c>
    </row>
    <row r="532" spans="1:7" x14ac:dyDescent="0.35">
      <c r="A532" s="1" t="str">
        <f t="shared" si="8"/>
        <v>05 Anastrozole 0.032 µg_L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2705</v>
      </c>
      <c r="D532" s="1" t="s">
        <v>2706</v>
      </c>
      <c r="E532" s="1" t="s">
        <v>2707</v>
      </c>
      <c r="F532" s="1" t="s">
        <v>112</v>
      </c>
      <c r="G532" s="1">
        <v>1795844</v>
      </c>
    </row>
    <row r="533" spans="1:7" x14ac:dyDescent="0.35">
      <c r="A533" s="1" t="str">
        <f t="shared" si="8"/>
        <v>05 Anastrozole 0.032 µg_L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2708</v>
      </c>
      <c r="D533" s="1" t="s">
        <v>2709</v>
      </c>
      <c r="E533" s="1" t="s">
        <v>2710</v>
      </c>
      <c r="F533" s="1" t="s">
        <v>112</v>
      </c>
      <c r="G533" s="1">
        <v>2427155</v>
      </c>
    </row>
    <row r="534" spans="1:7" x14ac:dyDescent="0.35">
      <c r="A534" s="1" t="str">
        <f t="shared" si="8"/>
        <v>05 Anastrozole 0.032 µg_L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2711</v>
      </c>
    </row>
    <row r="535" spans="1:7" x14ac:dyDescent="0.35">
      <c r="A535" s="1" t="str">
        <f t="shared" si="8"/>
        <v>05 Anastrozole 0.032 µg_L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2712</v>
      </c>
      <c r="D535" s="1" t="s">
        <v>2713</v>
      </c>
      <c r="E535" s="1" t="s">
        <v>2714</v>
      </c>
      <c r="F535" s="1" t="s">
        <v>112</v>
      </c>
      <c r="G535" s="1">
        <v>1864497</v>
      </c>
    </row>
    <row r="536" spans="1:7" x14ac:dyDescent="0.35">
      <c r="A536" s="1" t="str">
        <f t="shared" si="8"/>
        <v>05 Anastrozole 0.032 µg_L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2715</v>
      </c>
      <c r="D536" s="1" t="s">
        <v>2716</v>
      </c>
      <c r="E536" s="1" t="s">
        <v>2717</v>
      </c>
      <c r="F536" s="1" t="s">
        <v>112</v>
      </c>
      <c r="G536" s="1">
        <v>1996612</v>
      </c>
    </row>
    <row r="537" spans="1:7" x14ac:dyDescent="0.35">
      <c r="A537" s="1" t="str">
        <f t="shared" si="8"/>
        <v>05 Anastrozole 0.032 µg_L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2718</v>
      </c>
      <c r="D537" s="1" t="s">
        <v>2719</v>
      </c>
      <c r="E537" s="1" t="s">
        <v>2720</v>
      </c>
      <c r="F537" s="1" t="s">
        <v>112</v>
      </c>
      <c r="G537" s="1">
        <v>1820480</v>
      </c>
    </row>
    <row r="538" spans="1:7" x14ac:dyDescent="0.35">
      <c r="A538" s="1" t="str">
        <f t="shared" si="8"/>
        <v>05 Anastrozole 0.032 µg_L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2721</v>
      </c>
      <c r="D538" s="1" t="s">
        <v>2722</v>
      </c>
      <c r="E538" s="1" t="s">
        <v>2723</v>
      </c>
      <c r="F538" s="1" t="s">
        <v>112</v>
      </c>
      <c r="G538" s="1">
        <v>1551988</v>
      </c>
    </row>
    <row r="539" spans="1:7" x14ac:dyDescent="0.35">
      <c r="A539" s="1" t="str">
        <f t="shared" si="8"/>
        <v>05 Anastrozole 0.032 µg_L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2724</v>
      </c>
      <c r="D539" s="1" t="s">
        <v>2725</v>
      </c>
      <c r="E539" s="1" t="s">
        <v>2726</v>
      </c>
      <c r="F539" s="1" t="s">
        <v>112</v>
      </c>
      <c r="G539" s="1">
        <v>670830</v>
      </c>
    </row>
    <row r="540" spans="1:7" x14ac:dyDescent="0.35">
      <c r="A540" s="1" t="str">
        <f t="shared" si="8"/>
        <v>05 Anastrozole 0.032 µg_L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2727</v>
      </c>
      <c r="D540" s="1" t="s">
        <v>2728</v>
      </c>
      <c r="E540" s="1" t="s">
        <v>2729</v>
      </c>
      <c r="F540" s="1" t="s">
        <v>112</v>
      </c>
      <c r="G540" s="1">
        <v>489939</v>
      </c>
    </row>
    <row r="541" spans="1:7" x14ac:dyDescent="0.35">
      <c r="A541" s="1" t="str">
        <f t="shared" si="8"/>
        <v>05 Anastrozole 0.032 µg_L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2730</v>
      </c>
      <c r="D541" s="1" t="s">
        <v>2731</v>
      </c>
      <c r="E541" s="1" t="s">
        <v>2732</v>
      </c>
      <c r="F541" s="1" t="s">
        <v>112</v>
      </c>
      <c r="G541" s="1">
        <v>533415</v>
      </c>
    </row>
    <row r="542" spans="1:7" x14ac:dyDescent="0.35">
      <c r="A542" s="1" t="str">
        <f t="shared" si="8"/>
        <v>05 Anastrozole 0.032 µg_L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2733</v>
      </c>
      <c r="D542" s="1" t="s">
        <v>2734</v>
      </c>
      <c r="E542" s="1" t="s">
        <v>2735</v>
      </c>
      <c r="F542" s="1" t="s">
        <v>112</v>
      </c>
      <c r="G542" s="1">
        <v>2610685</v>
      </c>
    </row>
    <row r="543" spans="1:7" x14ac:dyDescent="0.35">
      <c r="A543" s="1" t="str">
        <f t="shared" si="8"/>
        <v>05 Anastrozole 0.032 µg_L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2736</v>
      </c>
      <c r="D543" s="1" t="s">
        <v>2737</v>
      </c>
      <c r="E543" s="1" t="s">
        <v>2738</v>
      </c>
      <c r="F543" s="1" t="s">
        <v>112</v>
      </c>
      <c r="G543" s="1">
        <v>2531260</v>
      </c>
    </row>
    <row r="544" spans="1:7" x14ac:dyDescent="0.35">
      <c r="A544" s="1" t="str">
        <f t="shared" si="8"/>
        <v>05 Anastrozole 0.032 µg_L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2739</v>
      </c>
      <c r="D544" s="1" t="s">
        <v>2740</v>
      </c>
      <c r="E544" s="1" t="s">
        <v>2741</v>
      </c>
      <c r="F544" s="1" t="s">
        <v>112</v>
      </c>
      <c r="G544" s="1">
        <v>2427285</v>
      </c>
    </row>
    <row r="545" spans="1:10" x14ac:dyDescent="0.35">
      <c r="A545" s="1" t="str">
        <f t="shared" si="8"/>
        <v>05 Anastrozole 0.032 µg_L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2742</v>
      </c>
      <c r="D545" s="1" t="s">
        <v>2743</v>
      </c>
      <c r="E545" s="1" t="s">
        <v>2744</v>
      </c>
      <c r="F545" s="1" t="s">
        <v>112</v>
      </c>
      <c r="G545" s="1">
        <v>261505</v>
      </c>
    </row>
    <row r="546" spans="1:10" x14ac:dyDescent="0.35">
      <c r="A546" s="1" t="str">
        <f t="shared" si="8"/>
        <v>05 Anastrozole 0.032 µg_L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2745</v>
      </c>
    </row>
    <row r="547" spans="1:10" x14ac:dyDescent="0.35">
      <c r="A547" s="1" t="str">
        <f t="shared" si="8"/>
        <v>05 Anastrozole 0.032 µg_L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2746</v>
      </c>
      <c r="D547" s="1" t="s">
        <v>2747</v>
      </c>
      <c r="E547" s="1" t="s">
        <v>2748</v>
      </c>
      <c r="F547" s="1" t="s">
        <v>112</v>
      </c>
      <c r="G547" s="1">
        <v>218895</v>
      </c>
    </row>
    <row r="548" spans="1:10" x14ac:dyDescent="0.35">
      <c r="A548" s="1" t="str">
        <f t="shared" si="8"/>
        <v>05 Anastrozole 0.032 µg_L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2749</v>
      </c>
      <c r="D548" s="1" t="s">
        <v>2750</v>
      </c>
      <c r="E548" s="1" t="s">
        <v>2751</v>
      </c>
      <c r="F548" s="1" t="s">
        <v>112</v>
      </c>
      <c r="G548" s="1">
        <v>670786</v>
      </c>
    </row>
    <row r="549" spans="1:10" x14ac:dyDescent="0.35">
      <c r="A549" s="1" t="str">
        <f t="shared" si="8"/>
        <v>05 Anastrozole 0.032 µg_L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2752</v>
      </c>
      <c r="D549" s="1" t="s">
        <v>2753</v>
      </c>
      <c r="E549" s="1" t="s">
        <v>2754</v>
      </c>
      <c r="F549" s="1" t="s">
        <v>112</v>
      </c>
      <c r="G549" s="1">
        <v>512650</v>
      </c>
    </row>
    <row r="550" spans="1:10" x14ac:dyDescent="0.35">
      <c r="A550" s="1" t="str">
        <f t="shared" si="8"/>
        <v>05 Anastrozole 0.032 µg_L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2755</v>
      </c>
      <c r="D550" s="1" t="s">
        <v>2756</v>
      </c>
      <c r="E550" s="1" t="s">
        <v>2757</v>
      </c>
      <c r="F550" s="1" t="s">
        <v>112</v>
      </c>
      <c r="G550" s="1">
        <v>627418</v>
      </c>
    </row>
    <row r="551" spans="1:10" x14ac:dyDescent="0.35">
      <c r="A551" s="1" t="str">
        <f t="shared" si="8"/>
        <v>05 Anastrozole 0.032 µg_L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2758</v>
      </c>
      <c r="D551" s="1" t="s">
        <v>2759</v>
      </c>
      <c r="E551" s="1" t="s">
        <v>2760</v>
      </c>
      <c r="F551" s="1" t="s">
        <v>112</v>
      </c>
      <c r="G551" s="1">
        <v>2805549</v>
      </c>
    </row>
    <row r="552" spans="1:10" x14ac:dyDescent="0.35">
      <c r="A552" s="1" t="str">
        <f t="shared" si="8"/>
        <v>05 Anastrozole 0.032 µg_L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2761</v>
      </c>
      <c r="D552" s="1" t="s">
        <v>2762</v>
      </c>
      <c r="E552" s="1" t="s">
        <v>2763</v>
      </c>
      <c r="F552" s="1" t="s">
        <v>112</v>
      </c>
      <c r="G552" s="1">
        <v>3765094</v>
      </c>
    </row>
    <row r="553" spans="1:10" x14ac:dyDescent="0.35">
      <c r="A553" s="1" t="str">
        <f t="shared" si="8"/>
        <v>05 Anastrozole 0.032 µg_L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2764</v>
      </c>
      <c r="D553" s="1" t="s">
        <v>2765</v>
      </c>
      <c r="E553" s="1" t="s">
        <v>2766</v>
      </c>
      <c r="F553" s="1" t="s">
        <v>112</v>
      </c>
      <c r="G553" s="1">
        <v>1939336</v>
      </c>
    </row>
    <row r="554" spans="1:10"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227</v>
      </c>
      <c r="D555" s="1" t="s">
        <v>112</v>
      </c>
      <c r="E555" s="1" t="s">
        <v>228</v>
      </c>
      <c r="F555" s="1" t="s">
        <v>229</v>
      </c>
      <c r="G555" s="1" t="s">
        <v>230</v>
      </c>
      <c r="H555" s="1" t="s">
        <v>231</v>
      </c>
      <c r="I555" s="1" t="s">
        <v>232</v>
      </c>
      <c r="J555" s="1" t="s">
        <v>233</v>
      </c>
    </row>
    <row r="556" spans="1:10" x14ac:dyDescent="0.35">
      <c r="A556" s="1" t="str">
        <f t="shared" si="8"/>
        <v>05 Anastrozole 0.032 µg_L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2767</v>
      </c>
      <c r="D556" s="1" t="s">
        <v>112</v>
      </c>
      <c r="E556" s="1" t="s">
        <v>2768</v>
      </c>
      <c r="F556" s="1" t="s">
        <v>2769</v>
      </c>
      <c r="G556" s="1" t="s">
        <v>2770</v>
      </c>
      <c r="H556" s="1" t="s">
        <v>2771</v>
      </c>
      <c r="I556" s="1">
        <v>24</v>
      </c>
      <c r="J556" s="1">
        <v>24</v>
      </c>
    </row>
    <row r="557" spans="1:10"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239</v>
      </c>
      <c r="D562" s="1" t="s">
        <v>110</v>
      </c>
      <c r="E562" s="1" t="s">
        <v>111</v>
      </c>
      <c r="F562" s="1" t="s">
        <v>112</v>
      </c>
      <c r="G562" s="1" t="s">
        <v>113</v>
      </c>
    </row>
    <row r="563" spans="1:7" x14ac:dyDescent="0.35">
      <c r="A563" s="1" t="str">
        <f t="shared" si="8"/>
        <v>06 Anastrozole 0.16 µg_L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2772</v>
      </c>
      <c r="D563" s="1" t="s">
        <v>2773</v>
      </c>
      <c r="E563" s="1" t="s">
        <v>2774</v>
      </c>
      <c r="F563" s="1" t="s">
        <v>112</v>
      </c>
      <c r="G563" s="1">
        <v>2264261</v>
      </c>
    </row>
    <row r="564" spans="1:7" x14ac:dyDescent="0.35">
      <c r="A564" s="1" t="str">
        <f t="shared" si="8"/>
        <v>06 Anastrozole 0.16 µg_L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2775</v>
      </c>
      <c r="D564" s="1" t="s">
        <v>2776</v>
      </c>
      <c r="E564" s="1" t="s">
        <v>2777</v>
      </c>
      <c r="F564" s="1" t="s">
        <v>112</v>
      </c>
      <c r="G564" s="1">
        <v>2513567</v>
      </c>
    </row>
    <row r="565" spans="1:7" x14ac:dyDescent="0.35">
      <c r="A565" s="1" t="str">
        <f t="shared" si="8"/>
        <v>06 Anastrozole 0.16 µg_L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2778</v>
      </c>
      <c r="D565" s="1" t="s">
        <v>2779</v>
      </c>
      <c r="E565" s="1" t="s">
        <v>2780</v>
      </c>
      <c r="F565" s="1" t="s">
        <v>112</v>
      </c>
      <c r="G565" s="1">
        <v>2328912</v>
      </c>
    </row>
    <row r="566" spans="1:7" x14ac:dyDescent="0.35">
      <c r="A566" s="1" t="str">
        <f t="shared" si="8"/>
        <v>06 Anastrozole 0.16 µg_L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2781</v>
      </c>
      <c r="D566" s="1" t="s">
        <v>1731</v>
      </c>
      <c r="E566" s="1" t="s">
        <v>2782</v>
      </c>
      <c r="F566" s="1" t="s">
        <v>112</v>
      </c>
      <c r="G566" s="1">
        <v>20678</v>
      </c>
    </row>
    <row r="567" spans="1:7" x14ac:dyDescent="0.35">
      <c r="A567" s="1" t="str">
        <f t="shared" si="8"/>
        <v>06 Anastrozole 0.16 µg_L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2783</v>
      </c>
      <c r="D567" s="1" t="s">
        <v>2374</v>
      </c>
      <c r="E567" s="1" t="s">
        <v>2784</v>
      </c>
      <c r="F567" s="1" t="s">
        <v>112</v>
      </c>
      <c r="G567" s="1">
        <v>23944</v>
      </c>
    </row>
    <row r="568" spans="1:7" x14ac:dyDescent="0.35">
      <c r="A568" s="1" t="str">
        <f t="shared" si="8"/>
        <v>06 Anastrozole 0.16 µg_L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2785</v>
      </c>
      <c r="D568" s="1" t="s">
        <v>1706</v>
      </c>
      <c r="E568" s="1" t="s">
        <v>419</v>
      </c>
      <c r="F568" s="1" t="s">
        <v>112</v>
      </c>
      <c r="G568" s="1">
        <v>17672</v>
      </c>
    </row>
    <row r="569" spans="1:7" x14ac:dyDescent="0.35">
      <c r="A569" s="1" t="str">
        <f t="shared" si="8"/>
        <v>06 Anastrozole 0.16 µg_L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2786</v>
      </c>
      <c r="D569" s="1" t="s">
        <v>2787</v>
      </c>
      <c r="E569" s="1" t="s">
        <v>2788</v>
      </c>
      <c r="F569" s="1" t="s">
        <v>112</v>
      </c>
      <c r="G569" s="1">
        <v>1636064</v>
      </c>
    </row>
    <row r="570" spans="1:7" x14ac:dyDescent="0.35">
      <c r="A570" s="1" t="str">
        <f t="shared" si="8"/>
        <v>06 Anastrozole 0.16 µg_L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2789</v>
      </c>
      <c r="D570" s="1" t="s">
        <v>2790</v>
      </c>
      <c r="E570" s="1" t="s">
        <v>2791</v>
      </c>
      <c r="F570" s="1" t="s">
        <v>112</v>
      </c>
      <c r="G570" s="1">
        <v>1345531</v>
      </c>
    </row>
    <row r="571" spans="1:7" x14ac:dyDescent="0.35">
      <c r="A571" s="1" t="str">
        <f t="shared" si="8"/>
        <v>06 Anastrozole 0.16 µg_L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2792</v>
      </c>
      <c r="D571" s="1" t="s">
        <v>2793</v>
      </c>
      <c r="E571" s="1" t="s">
        <v>2794</v>
      </c>
      <c r="F571" s="1" t="s">
        <v>112</v>
      </c>
      <c r="G571" s="1">
        <v>1376570</v>
      </c>
    </row>
    <row r="572" spans="1:7" x14ac:dyDescent="0.35">
      <c r="A572" s="1" t="str">
        <f t="shared" si="8"/>
        <v>06 Anastrozole 0.16 µg_L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2795</v>
      </c>
      <c r="D572" s="1" t="s">
        <v>2116</v>
      </c>
      <c r="E572" s="1" t="s">
        <v>2796</v>
      </c>
      <c r="F572" s="1" t="s">
        <v>112</v>
      </c>
      <c r="G572" s="1">
        <v>21500</v>
      </c>
    </row>
    <row r="573" spans="1:7" x14ac:dyDescent="0.35">
      <c r="A573" s="1" t="str">
        <f t="shared" si="8"/>
        <v>06 Anastrozole 0.16 µg_L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2797</v>
      </c>
    </row>
    <row r="574" spans="1:7" x14ac:dyDescent="0.35">
      <c r="A574" s="1" t="str">
        <f t="shared" si="8"/>
        <v>06 Anastrozole 0.16 µg_L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2798</v>
      </c>
      <c r="D574" s="1" t="s">
        <v>1731</v>
      </c>
      <c r="E574" s="1" t="s">
        <v>293</v>
      </c>
      <c r="F574" s="1" t="s">
        <v>112</v>
      </c>
      <c r="G574" s="1">
        <v>20657</v>
      </c>
    </row>
    <row r="575" spans="1:7" x14ac:dyDescent="0.35">
      <c r="A575" s="1" t="str">
        <f t="shared" si="8"/>
        <v>06 Anastrozole 0.16 µg_L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2799</v>
      </c>
      <c r="D575" s="1" t="s">
        <v>2800</v>
      </c>
      <c r="E575" s="1" t="s">
        <v>2801</v>
      </c>
      <c r="F575" s="1" t="s">
        <v>112</v>
      </c>
      <c r="G575" s="1">
        <v>920179</v>
      </c>
    </row>
    <row r="576" spans="1:7" x14ac:dyDescent="0.35">
      <c r="A576" s="1" t="str">
        <f t="shared" si="8"/>
        <v>06 Anastrozole 0.16 µg_L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2802</v>
      </c>
      <c r="D576" s="1" t="s">
        <v>2803</v>
      </c>
      <c r="E576" s="1" t="s">
        <v>2804</v>
      </c>
      <c r="F576" s="1" t="s">
        <v>112</v>
      </c>
      <c r="G576" s="1">
        <v>757803</v>
      </c>
    </row>
    <row r="577" spans="1:10" x14ac:dyDescent="0.35">
      <c r="A577" s="1" t="str">
        <f t="shared" si="8"/>
        <v>06 Anastrozole 0.16 µg_L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2805</v>
      </c>
      <c r="D577" s="1" t="s">
        <v>1836</v>
      </c>
      <c r="E577" s="1" t="s">
        <v>2806</v>
      </c>
      <c r="F577" s="1" t="s">
        <v>112</v>
      </c>
      <c r="G577" s="1">
        <v>810861</v>
      </c>
    </row>
    <row r="578" spans="1:10" x14ac:dyDescent="0.35">
      <c r="A578" s="1" t="str">
        <f t="shared" ref="A578:A641" si="9">IFERROR(LEFT(RIGHT(C578,LEN(C578)-SEARCH("@",C578)),SEARCH("/",RIGHT(C578,LEN(C578)-SEARCH("@",C578)-1))),"")</f>
        <v>06 Anastrozole 0.16 µg_L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2807</v>
      </c>
      <c r="D578" s="1" t="s">
        <v>2808</v>
      </c>
      <c r="E578" s="1" t="s">
        <v>2809</v>
      </c>
      <c r="F578" s="1" t="s">
        <v>112</v>
      </c>
      <c r="G578" s="1">
        <v>1971846</v>
      </c>
    </row>
    <row r="579" spans="1:10" x14ac:dyDescent="0.35">
      <c r="A579" s="1" t="str">
        <f t="shared" si="9"/>
        <v>06 Anastrozole 0.16 µg_L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2810</v>
      </c>
      <c r="D579" s="1" t="s">
        <v>2811</v>
      </c>
      <c r="E579" s="1" t="s">
        <v>2812</v>
      </c>
      <c r="F579" s="1" t="s">
        <v>112</v>
      </c>
      <c r="G579" s="1">
        <v>1525535</v>
      </c>
    </row>
    <row r="580" spans="1:10" x14ac:dyDescent="0.35">
      <c r="A580" s="1" t="str">
        <f t="shared" si="9"/>
        <v>06 Anastrozole 0.16 µg_L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2813</v>
      </c>
      <c r="D580" s="1" t="s">
        <v>2765</v>
      </c>
      <c r="E580" s="1" t="s">
        <v>2814</v>
      </c>
      <c r="F580" s="1" t="s">
        <v>112</v>
      </c>
      <c r="G580" s="1">
        <v>1874079</v>
      </c>
    </row>
    <row r="581" spans="1:10" x14ac:dyDescent="0.35">
      <c r="A581" s="1" t="str">
        <f t="shared" si="9"/>
        <v>06 Anastrozole 0.16 µg_L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2815</v>
      </c>
      <c r="D581" s="1" t="s">
        <v>2816</v>
      </c>
      <c r="E581" s="1" t="s">
        <v>2817</v>
      </c>
      <c r="F581" s="1" t="s">
        <v>112</v>
      </c>
      <c r="G581" s="1">
        <v>2439917</v>
      </c>
    </row>
    <row r="582" spans="1:10" x14ac:dyDescent="0.35">
      <c r="A582" s="1" t="str">
        <f t="shared" si="9"/>
        <v>06 Anastrozole 0.16 µg_L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2818</v>
      </c>
      <c r="D582" s="1" t="s">
        <v>2819</v>
      </c>
      <c r="E582" s="1" t="s">
        <v>2820</v>
      </c>
      <c r="F582" s="1" t="s">
        <v>112</v>
      </c>
      <c r="G582" s="1">
        <v>2375676</v>
      </c>
    </row>
    <row r="583" spans="1:10" x14ac:dyDescent="0.35">
      <c r="A583" s="1" t="str">
        <f t="shared" si="9"/>
        <v>06 Anastrozole 0.16 µg_L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2821</v>
      </c>
      <c r="D583" s="1" t="s">
        <v>2822</v>
      </c>
      <c r="E583" s="1" t="s">
        <v>2823</v>
      </c>
      <c r="F583" s="1" t="s">
        <v>112</v>
      </c>
      <c r="G583" s="1">
        <v>2417941</v>
      </c>
    </row>
    <row r="584" spans="1:10" x14ac:dyDescent="0.35">
      <c r="A584" s="1" t="str">
        <f t="shared" si="9"/>
        <v>06 Anastrozole 0.16 µg_L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2824</v>
      </c>
      <c r="D584" s="1" t="s">
        <v>1845</v>
      </c>
      <c r="E584" s="1" t="s">
        <v>2825</v>
      </c>
      <c r="F584" s="1" t="s">
        <v>112</v>
      </c>
      <c r="G584" s="1">
        <v>110248</v>
      </c>
    </row>
    <row r="585" spans="1:10" x14ac:dyDescent="0.35">
      <c r="A585" s="1" t="str">
        <f t="shared" si="9"/>
        <v>06 Anastrozole 0.16 µg_L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2826</v>
      </c>
      <c r="D585" s="1" t="s">
        <v>2262</v>
      </c>
      <c r="E585" s="1" t="s">
        <v>2827</v>
      </c>
      <c r="F585" s="1" t="s">
        <v>112</v>
      </c>
      <c r="G585" s="1">
        <v>97897</v>
      </c>
    </row>
    <row r="586" spans="1:10" x14ac:dyDescent="0.35">
      <c r="A586" s="1" t="str">
        <f t="shared" si="9"/>
        <v>06 Anastrozole 0.16 µg_L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2828</v>
      </c>
      <c r="D586" s="1" t="s">
        <v>2324</v>
      </c>
      <c r="E586" s="1" t="s">
        <v>2829</v>
      </c>
      <c r="F586" s="1" t="s">
        <v>112</v>
      </c>
      <c r="G586" s="1">
        <v>93917</v>
      </c>
    </row>
    <row r="587" spans="1:10"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227</v>
      </c>
      <c r="D588" s="1" t="s">
        <v>112</v>
      </c>
      <c r="E588" s="1" t="s">
        <v>228</v>
      </c>
      <c r="F588" s="1" t="s">
        <v>229</v>
      </c>
      <c r="G588" s="1" t="s">
        <v>230</v>
      </c>
      <c r="H588" s="1" t="s">
        <v>231</v>
      </c>
      <c r="I588" s="1" t="s">
        <v>232</v>
      </c>
      <c r="J588" s="1" t="s">
        <v>233</v>
      </c>
    </row>
    <row r="589" spans="1:10" x14ac:dyDescent="0.35">
      <c r="A589" s="1" t="str">
        <f t="shared" si="9"/>
        <v>06 Anastrozole 0.16 µg_L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2830</v>
      </c>
      <c r="D589" s="1" t="s">
        <v>112</v>
      </c>
      <c r="E589" s="1" t="s">
        <v>2831</v>
      </c>
      <c r="F589" s="1" t="s">
        <v>2832</v>
      </c>
      <c r="G589" s="1" t="s">
        <v>2833</v>
      </c>
      <c r="H589" s="1" t="s">
        <v>2834</v>
      </c>
      <c r="I589" s="1">
        <v>24</v>
      </c>
      <c r="J589" s="1">
        <v>24</v>
      </c>
    </row>
    <row r="590" spans="1:10"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239</v>
      </c>
      <c r="D595" s="1" t="s">
        <v>110</v>
      </c>
      <c r="E595" s="1" t="s">
        <v>111</v>
      </c>
      <c r="F595" s="1" t="s">
        <v>112</v>
      </c>
      <c r="G595" s="1" t="s">
        <v>113</v>
      </c>
    </row>
    <row r="596" spans="1:7" x14ac:dyDescent="0.35">
      <c r="A596" s="1" t="str">
        <f t="shared" si="9"/>
        <v>07  Anastrozole 0.8 µg_L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2835</v>
      </c>
      <c r="D596" s="1" t="s">
        <v>2107</v>
      </c>
      <c r="E596" s="1" t="s">
        <v>2836</v>
      </c>
      <c r="F596" s="1" t="s">
        <v>112</v>
      </c>
      <c r="G596" s="1">
        <v>25523</v>
      </c>
    </row>
    <row r="597" spans="1:7" x14ac:dyDescent="0.35">
      <c r="A597" s="1" t="str">
        <f t="shared" si="9"/>
        <v>07  Anastrozole 0.8 µg_L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2837</v>
      </c>
      <c r="D597" s="1" t="s">
        <v>2689</v>
      </c>
      <c r="E597" s="1" t="s">
        <v>2838</v>
      </c>
      <c r="F597" s="1" t="s">
        <v>112</v>
      </c>
      <c r="G597" s="1">
        <v>12567</v>
      </c>
    </row>
    <row r="598" spans="1:7" x14ac:dyDescent="0.35">
      <c r="A598" s="1" t="str">
        <f t="shared" si="9"/>
        <v>07  Anastrozole 0.8 µg_L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2839</v>
      </c>
      <c r="D598" s="1" t="s">
        <v>1607</v>
      </c>
      <c r="E598" s="1" t="s">
        <v>1781</v>
      </c>
      <c r="F598" s="1" t="s">
        <v>112</v>
      </c>
      <c r="G598" s="1">
        <v>6770</v>
      </c>
    </row>
    <row r="599" spans="1:7" x14ac:dyDescent="0.35">
      <c r="A599" s="1" t="str">
        <f t="shared" si="9"/>
        <v>07  Anastrozole 0.8 µg_L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2840</v>
      </c>
      <c r="D599" s="1" t="s">
        <v>2689</v>
      </c>
      <c r="E599" s="1" t="s">
        <v>2841</v>
      </c>
      <c r="F599" s="1" t="s">
        <v>112</v>
      </c>
      <c r="G599" s="1">
        <v>12307</v>
      </c>
    </row>
    <row r="600" spans="1:7" x14ac:dyDescent="0.35">
      <c r="A600" s="1" t="str">
        <f t="shared" si="9"/>
        <v>07  Anastrozole 0.8 µg_L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2842</v>
      </c>
      <c r="D600" s="1" t="s">
        <v>2147</v>
      </c>
      <c r="E600" s="1" t="s">
        <v>271</v>
      </c>
      <c r="F600" s="1" t="s">
        <v>112</v>
      </c>
      <c r="G600" s="1">
        <v>13735</v>
      </c>
    </row>
    <row r="601" spans="1:7" x14ac:dyDescent="0.35">
      <c r="A601" s="1" t="str">
        <f t="shared" si="9"/>
        <v>07  Anastrozole 0.8 µg_L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2843</v>
      </c>
      <c r="D601" s="1" t="s">
        <v>1706</v>
      </c>
      <c r="E601" s="1" t="s">
        <v>2844</v>
      </c>
      <c r="F601" s="1" t="s">
        <v>112</v>
      </c>
      <c r="G601" s="1">
        <v>18147</v>
      </c>
    </row>
    <row r="602" spans="1:7" x14ac:dyDescent="0.35">
      <c r="A602" s="1" t="str">
        <f t="shared" si="9"/>
        <v>07  Anastrozole 0.8 µg_L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2845</v>
      </c>
      <c r="D602" s="1" t="s">
        <v>2846</v>
      </c>
      <c r="E602" s="1" t="s">
        <v>2847</v>
      </c>
      <c r="F602" s="1" t="s">
        <v>112</v>
      </c>
      <c r="G602" s="1">
        <v>275024</v>
      </c>
    </row>
    <row r="603" spans="1:7" x14ac:dyDescent="0.35">
      <c r="A603" s="1" t="str">
        <f t="shared" si="9"/>
        <v>07  Anastrozole 0.8 µg_L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2848</v>
      </c>
      <c r="D603" s="1" t="s">
        <v>2849</v>
      </c>
      <c r="E603" s="1" t="s">
        <v>2850</v>
      </c>
      <c r="F603" s="1" t="s">
        <v>112</v>
      </c>
      <c r="G603" s="1">
        <v>116477</v>
      </c>
    </row>
    <row r="604" spans="1:7" x14ac:dyDescent="0.35">
      <c r="A604" s="1" t="str">
        <f t="shared" si="9"/>
        <v>07  Anastrozole 0.8 µg_L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2851</v>
      </c>
      <c r="D604" s="1" t="s">
        <v>1661</v>
      </c>
      <c r="E604" s="1" t="s">
        <v>2852</v>
      </c>
      <c r="F604" s="1" t="s">
        <v>112</v>
      </c>
      <c r="G604" s="1">
        <v>61797</v>
      </c>
    </row>
    <row r="605" spans="1:7" x14ac:dyDescent="0.35">
      <c r="A605" s="1" t="str">
        <f t="shared" si="9"/>
        <v>07  Anastrozole 0.8 µg_L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2853</v>
      </c>
      <c r="D605" s="1" t="s">
        <v>2854</v>
      </c>
      <c r="E605" s="1" t="s">
        <v>2855</v>
      </c>
      <c r="F605" s="1" t="s">
        <v>112</v>
      </c>
      <c r="G605" s="1">
        <v>367038</v>
      </c>
    </row>
    <row r="606" spans="1:7" x14ac:dyDescent="0.35">
      <c r="A606" s="1" t="str">
        <f t="shared" si="9"/>
        <v>07  Anastrozole 0.8 µg_L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2856</v>
      </c>
      <c r="D606" s="1" t="s">
        <v>2857</v>
      </c>
      <c r="E606" s="1" t="s">
        <v>2858</v>
      </c>
      <c r="F606" s="1" t="s">
        <v>112</v>
      </c>
      <c r="G606" s="1">
        <v>258261</v>
      </c>
    </row>
    <row r="607" spans="1:7" x14ac:dyDescent="0.35">
      <c r="A607" s="1" t="str">
        <f t="shared" si="9"/>
        <v>07  Anastrozole 0.8 µg_L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2859</v>
      </c>
      <c r="D607" s="1" t="s">
        <v>2139</v>
      </c>
      <c r="E607" s="1" t="s">
        <v>2860</v>
      </c>
      <c r="F607" s="1" t="s">
        <v>112</v>
      </c>
      <c r="G607" s="1">
        <v>192030</v>
      </c>
    </row>
    <row r="608" spans="1:7" x14ac:dyDescent="0.35">
      <c r="A608" s="1" t="str">
        <f t="shared" si="9"/>
        <v>07  Anastrozole 0.8 µg_L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2861</v>
      </c>
    </row>
    <row r="609" spans="1:10" x14ac:dyDescent="0.35">
      <c r="A609" s="1" t="str">
        <f t="shared" si="9"/>
        <v>07  Anastrozole 0.8 µg_L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2862</v>
      </c>
      <c r="D609" s="1" t="s">
        <v>2863</v>
      </c>
      <c r="E609" s="1" t="s">
        <v>2864</v>
      </c>
      <c r="F609" s="1" t="s">
        <v>112</v>
      </c>
      <c r="G609" s="1">
        <v>1077818</v>
      </c>
    </row>
    <row r="610" spans="1:10" x14ac:dyDescent="0.35">
      <c r="A610" s="1" t="str">
        <f t="shared" si="9"/>
        <v>07  Anastrozole 0.8 µg_L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2865</v>
      </c>
      <c r="D610" s="1" t="s">
        <v>2866</v>
      </c>
      <c r="E610" s="1" t="s">
        <v>761</v>
      </c>
      <c r="F610" s="1" t="s">
        <v>112</v>
      </c>
      <c r="G610" s="1">
        <v>1046649</v>
      </c>
    </row>
    <row r="611" spans="1:10" x14ac:dyDescent="0.35">
      <c r="A611" s="1" t="str">
        <f t="shared" si="9"/>
        <v>07  Anastrozole 0.8 µg_L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2867</v>
      </c>
      <c r="D611" s="1" t="s">
        <v>1783</v>
      </c>
      <c r="E611" s="1" t="s">
        <v>2868</v>
      </c>
      <c r="F611" s="1" t="s">
        <v>112</v>
      </c>
      <c r="G611" s="1">
        <v>29179</v>
      </c>
    </row>
    <row r="612" spans="1:10" x14ac:dyDescent="0.35">
      <c r="A612" s="1" t="str">
        <f t="shared" si="9"/>
        <v>07  Anastrozole 0.8 µg_L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2869</v>
      </c>
      <c r="D612" s="1" t="s">
        <v>1703</v>
      </c>
      <c r="E612" s="1" t="s">
        <v>2870</v>
      </c>
      <c r="F612" s="1" t="s">
        <v>112</v>
      </c>
      <c r="G612" s="1">
        <v>35192</v>
      </c>
    </row>
    <row r="613" spans="1:10" x14ac:dyDescent="0.35">
      <c r="A613" s="1" t="str">
        <f t="shared" si="9"/>
        <v>07  Anastrozole 0.8 µg_L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2871</v>
      </c>
      <c r="D613" s="1" t="s">
        <v>1766</v>
      </c>
      <c r="E613" s="1" t="s">
        <v>2872</v>
      </c>
      <c r="F613" s="1" t="s">
        <v>112</v>
      </c>
      <c r="G613" s="1">
        <v>60845</v>
      </c>
    </row>
    <row r="614" spans="1:10" x14ac:dyDescent="0.35">
      <c r="A614" s="1" t="str">
        <f t="shared" si="9"/>
        <v>07  Anastrozole 0.8 µg_L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2873</v>
      </c>
      <c r="D614" s="1" t="s">
        <v>2874</v>
      </c>
      <c r="E614" s="1" t="s">
        <v>2875</v>
      </c>
      <c r="F614" s="1" t="s">
        <v>112</v>
      </c>
      <c r="G614" s="1">
        <v>558635</v>
      </c>
    </row>
    <row r="615" spans="1:10" x14ac:dyDescent="0.35">
      <c r="A615" s="1" t="str">
        <f t="shared" si="9"/>
        <v>07  Anastrozole 0.8 µg_L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2876</v>
      </c>
      <c r="D615" s="1" t="s">
        <v>2877</v>
      </c>
      <c r="E615" s="1" t="s">
        <v>2878</v>
      </c>
      <c r="F615" s="1" t="s">
        <v>112</v>
      </c>
      <c r="G615" s="1">
        <v>410319</v>
      </c>
    </row>
    <row r="616" spans="1:10" x14ac:dyDescent="0.35">
      <c r="A616" s="1" t="str">
        <f t="shared" si="9"/>
        <v>07  Anastrozole 0.8 µg_L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2879</v>
      </c>
      <c r="D616" s="1" t="s">
        <v>2659</v>
      </c>
      <c r="E616" s="1" t="s">
        <v>2880</v>
      </c>
      <c r="F616" s="1" t="s">
        <v>112</v>
      </c>
      <c r="G616" s="1">
        <v>486197</v>
      </c>
    </row>
    <row r="617" spans="1:10" x14ac:dyDescent="0.35">
      <c r="A617" s="1" t="str">
        <f t="shared" si="9"/>
        <v>07  Anastrozole 0.8 µg_L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2881</v>
      </c>
    </row>
    <row r="618" spans="1:10" x14ac:dyDescent="0.35">
      <c r="A618" s="1" t="str">
        <f t="shared" si="9"/>
        <v>07  Anastrozole 0.8 µg_L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2882</v>
      </c>
    </row>
    <row r="619" spans="1:10" x14ac:dyDescent="0.35">
      <c r="A619" s="1" t="str">
        <f t="shared" si="9"/>
        <v>07  Anastrozole 0.8 µg_L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2883</v>
      </c>
    </row>
    <row r="620" spans="1:10"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227</v>
      </c>
      <c r="D621" s="1" t="s">
        <v>112</v>
      </c>
      <c r="E621" s="1" t="s">
        <v>228</v>
      </c>
      <c r="F621" s="1" t="s">
        <v>229</v>
      </c>
      <c r="G621" s="1" t="s">
        <v>230</v>
      </c>
      <c r="H621" s="1" t="s">
        <v>231</v>
      </c>
      <c r="I621" s="1" t="s">
        <v>232</v>
      </c>
      <c r="J621" s="1" t="s">
        <v>233</v>
      </c>
    </row>
    <row r="622" spans="1:10" x14ac:dyDescent="0.35">
      <c r="A622" s="1" t="str">
        <f t="shared" si="9"/>
        <v>07  Anastrozole 0.8 µg_L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2884</v>
      </c>
      <c r="D622" s="1" t="s">
        <v>112</v>
      </c>
      <c r="E622" s="1" t="s">
        <v>2885</v>
      </c>
      <c r="F622" s="1" t="s">
        <v>2886</v>
      </c>
      <c r="G622" s="1" t="s">
        <v>2887</v>
      </c>
      <c r="H622" s="1">
        <v>360673</v>
      </c>
      <c r="I622" s="1">
        <v>24</v>
      </c>
      <c r="J622" s="1">
        <v>24</v>
      </c>
    </row>
    <row r="623" spans="1:10"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239</v>
      </c>
      <c r="D628" s="1" t="s">
        <v>110</v>
      </c>
      <c r="E628" s="1" t="s">
        <v>111</v>
      </c>
      <c r="F628" s="1" t="s">
        <v>112</v>
      </c>
      <c r="G628" s="1" t="s">
        <v>113</v>
      </c>
    </row>
    <row r="629" spans="1:7" x14ac:dyDescent="0.35">
      <c r="A629" s="1" t="str">
        <f t="shared" si="9"/>
        <v>08 Anastrozole 4 µg_L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2888</v>
      </c>
      <c r="D629" s="1" t="s">
        <v>1661</v>
      </c>
      <c r="E629" s="1" t="s">
        <v>2889</v>
      </c>
      <c r="F629" s="1" t="s">
        <v>112</v>
      </c>
      <c r="G629" s="1">
        <v>66620</v>
      </c>
    </row>
    <row r="630" spans="1:7" x14ac:dyDescent="0.35">
      <c r="A630" s="1" t="str">
        <f t="shared" si="9"/>
        <v>08 Anastrozole 4 µg_L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2890</v>
      </c>
      <c r="D630" s="1" t="s">
        <v>2680</v>
      </c>
      <c r="E630" s="1" t="s">
        <v>2891</v>
      </c>
      <c r="F630" s="1" t="s">
        <v>112</v>
      </c>
      <c r="G630" s="1">
        <v>58422</v>
      </c>
    </row>
    <row r="631" spans="1:7" x14ac:dyDescent="0.35">
      <c r="A631" s="1" t="str">
        <f t="shared" si="9"/>
        <v>08 Anastrozole 4 µg_L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2892</v>
      </c>
      <c r="D631" s="1" t="s">
        <v>1714</v>
      </c>
      <c r="E631" s="1" t="s">
        <v>2893</v>
      </c>
      <c r="F631" s="1" t="s">
        <v>112</v>
      </c>
      <c r="G631" s="1">
        <v>38696</v>
      </c>
    </row>
    <row r="632" spans="1:7" x14ac:dyDescent="0.35">
      <c r="A632" s="1" t="str">
        <f t="shared" si="9"/>
        <v>08 Anastrozole 4 µg_L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2894</v>
      </c>
      <c r="D632" s="1" t="s">
        <v>2895</v>
      </c>
      <c r="E632" s="1" t="s">
        <v>2896</v>
      </c>
      <c r="F632" s="1" t="s">
        <v>112</v>
      </c>
      <c r="G632" s="1">
        <v>75532</v>
      </c>
    </row>
    <row r="633" spans="1:7" x14ac:dyDescent="0.35">
      <c r="A633" s="1" t="str">
        <f t="shared" si="9"/>
        <v>08 Anastrozole 4 µg_L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2897</v>
      </c>
      <c r="D633" s="1" t="s">
        <v>2898</v>
      </c>
      <c r="E633" s="1" t="s">
        <v>2899</v>
      </c>
      <c r="F633" s="1" t="s">
        <v>112</v>
      </c>
      <c r="G633" s="1">
        <v>227590</v>
      </c>
    </row>
    <row r="634" spans="1:7" x14ac:dyDescent="0.35">
      <c r="A634" s="1" t="str">
        <f t="shared" si="9"/>
        <v>08 Anastrozole 4 µg_L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2900</v>
      </c>
      <c r="D634" s="1" t="s">
        <v>1643</v>
      </c>
      <c r="E634" s="1" t="s">
        <v>2901</v>
      </c>
      <c r="F634" s="1" t="s">
        <v>112</v>
      </c>
      <c r="G634" s="1">
        <v>75445</v>
      </c>
    </row>
    <row r="635" spans="1:7" x14ac:dyDescent="0.35">
      <c r="A635" s="1" t="str">
        <f t="shared" si="9"/>
        <v>08 Anastrozole 4 µg_L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2902</v>
      </c>
      <c r="D635" s="1" t="s">
        <v>2903</v>
      </c>
      <c r="E635" s="1" t="s">
        <v>2904</v>
      </c>
      <c r="F635" s="1" t="s">
        <v>112</v>
      </c>
      <c r="G635" s="1">
        <v>398358</v>
      </c>
    </row>
    <row r="636" spans="1:7" x14ac:dyDescent="0.35">
      <c r="A636" s="1" t="str">
        <f t="shared" si="9"/>
        <v>08 Anastrozole 4 µg_L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2905</v>
      </c>
      <c r="D636" s="1" t="s">
        <v>2274</v>
      </c>
      <c r="E636" s="1" t="s">
        <v>2906</v>
      </c>
      <c r="F636" s="1" t="s">
        <v>112</v>
      </c>
      <c r="G636" s="1">
        <v>471705</v>
      </c>
    </row>
    <row r="637" spans="1:7" x14ac:dyDescent="0.35">
      <c r="A637" s="1" t="str">
        <f t="shared" si="9"/>
        <v>08 Anastrozole 4 µg_L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2907</v>
      </c>
      <c r="D637" s="1" t="s">
        <v>2908</v>
      </c>
      <c r="E637" s="1" t="s">
        <v>2909</v>
      </c>
      <c r="F637" s="1" t="s">
        <v>112</v>
      </c>
      <c r="G637" s="1">
        <v>384493</v>
      </c>
    </row>
    <row r="638" spans="1:7" x14ac:dyDescent="0.35">
      <c r="A638" s="1" t="str">
        <f t="shared" si="9"/>
        <v>08 Anastrozole 4 µg_L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2910</v>
      </c>
      <c r="D638" s="1" t="s">
        <v>2911</v>
      </c>
      <c r="E638" s="1" t="s">
        <v>2912</v>
      </c>
      <c r="F638" s="1" t="s">
        <v>112</v>
      </c>
      <c r="G638" s="1">
        <v>162960</v>
      </c>
    </row>
    <row r="639" spans="1:7" x14ac:dyDescent="0.35">
      <c r="A639" s="1" t="str">
        <f t="shared" si="9"/>
        <v>08 Anastrozole 4 µg_L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2913</v>
      </c>
      <c r="D639" s="1" t="s">
        <v>2914</v>
      </c>
      <c r="E639" s="1" t="s">
        <v>2915</v>
      </c>
      <c r="F639" s="1" t="s">
        <v>112</v>
      </c>
      <c r="G639" s="1">
        <v>96751</v>
      </c>
    </row>
    <row r="640" spans="1:7" x14ac:dyDescent="0.35">
      <c r="A640" s="1" t="str">
        <f t="shared" si="9"/>
        <v>08 Anastrozole 4 µg_L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2916</v>
      </c>
      <c r="D640" s="1" t="s">
        <v>2217</v>
      </c>
      <c r="E640" s="1" t="s">
        <v>2917</v>
      </c>
      <c r="F640" s="1" t="s">
        <v>112</v>
      </c>
      <c r="G640" s="1">
        <v>50657</v>
      </c>
    </row>
    <row r="641" spans="1:10" x14ac:dyDescent="0.35">
      <c r="A641" s="1" t="str">
        <f t="shared" si="9"/>
        <v>08 Anastrozole 4 µg_L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2918</v>
      </c>
      <c r="D641" s="1" t="s">
        <v>1771</v>
      </c>
      <c r="E641" s="1" t="s">
        <v>2919</v>
      </c>
      <c r="F641" s="1" t="s">
        <v>112</v>
      </c>
      <c r="G641" s="1">
        <v>89591</v>
      </c>
    </row>
    <row r="642" spans="1:10" x14ac:dyDescent="0.35">
      <c r="A642" s="1" t="str">
        <f t="shared" ref="A642:A705" si="10">IFERROR(LEFT(RIGHT(C642,LEN(C642)-SEARCH("@",C642)),SEARCH("/",RIGHT(C642,LEN(C642)-SEARCH("@",C642)-1))),"")</f>
        <v>08 Anastrozole 4 µg_L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2920</v>
      </c>
      <c r="D642" s="1" t="s">
        <v>1604</v>
      </c>
      <c r="E642" s="1" t="s">
        <v>2921</v>
      </c>
      <c r="F642" s="1" t="s">
        <v>112</v>
      </c>
      <c r="G642" s="1">
        <v>48213</v>
      </c>
    </row>
    <row r="643" spans="1:10" x14ac:dyDescent="0.35">
      <c r="A643" s="1" t="str">
        <f t="shared" si="10"/>
        <v>08 Anastrozole 4 µg_L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2922</v>
      </c>
      <c r="D643" s="1" t="s">
        <v>2116</v>
      </c>
      <c r="E643" s="1" t="s">
        <v>2923</v>
      </c>
      <c r="F643" s="1" t="s">
        <v>112</v>
      </c>
      <c r="G643" s="1">
        <v>21652</v>
      </c>
    </row>
    <row r="644" spans="1:10" x14ac:dyDescent="0.35">
      <c r="A644" s="1" t="str">
        <f t="shared" si="10"/>
        <v>08 Anastrozole 4 µg_L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2924</v>
      </c>
      <c r="D644" s="1" t="s">
        <v>1610</v>
      </c>
      <c r="E644" s="1" t="s">
        <v>2925</v>
      </c>
      <c r="F644" s="1" t="s">
        <v>112</v>
      </c>
      <c r="G644" s="1">
        <v>18861</v>
      </c>
    </row>
    <row r="645" spans="1:10" x14ac:dyDescent="0.35">
      <c r="A645" s="1" t="str">
        <f t="shared" si="10"/>
        <v>08 Anastrozole 4 µg_L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2926</v>
      </c>
      <c r="D645" s="1" t="s">
        <v>2179</v>
      </c>
      <c r="E645" s="1" t="s">
        <v>226</v>
      </c>
      <c r="F645" s="1" t="s">
        <v>112</v>
      </c>
      <c r="G645" s="1">
        <v>16850</v>
      </c>
    </row>
    <row r="646" spans="1:10" x14ac:dyDescent="0.35">
      <c r="A646" s="1" t="str">
        <f t="shared" si="10"/>
        <v>08 Anastrozole 4 µg_L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2927</v>
      </c>
      <c r="D646" s="1" t="s">
        <v>1734</v>
      </c>
      <c r="E646" s="1" t="s">
        <v>2928</v>
      </c>
      <c r="F646" s="1" t="s">
        <v>112</v>
      </c>
      <c r="G646" s="1">
        <v>15054</v>
      </c>
    </row>
    <row r="647" spans="1:10" x14ac:dyDescent="0.35">
      <c r="A647" s="1" t="str">
        <f t="shared" si="10"/>
        <v>08 Anastrozole 4 µg_L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2929</v>
      </c>
    </row>
    <row r="648" spans="1:10" x14ac:dyDescent="0.35">
      <c r="A648" s="1" t="str">
        <f t="shared" si="10"/>
        <v>08 Anastrozole 4 µg_L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2930</v>
      </c>
    </row>
    <row r="649" spans="1:10" x14ac:dyDescent="0.35">
      <c r="A649" s="1" t="str">
        <f t="shared" si="10"/>
        <v>08 Anastrozole 4 µg_L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2931</v>
      </c>
    </row>
    <row r="650" spans="1:10" x14ac:dyDescent="0.35">
      <c r="A650" s="1" t="str">
        <f t="shared" si="10"/>
        <v>08 Anastrozole 4 µg_L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2932</v>
      </c>
      <c r="D650" s="1" t="s">
        <v>1670</v>
      </c>
      <c r="E650" s="1" t="s">
        <v>2933</v>
      </c>
      <c r="F650" s="1" t="s">
        <v>112</v>
      </c>
      <c r="G650" s="1">
        <v>30195</v>
      </c>
    </row>
    <row r="651" spans="1:10" x14ac:dyDescent="0.35">
      <c r="A651" s="1" t="str">
        <f t="shared" si="10"/>
        <v>08 Anastrozole 4 µg_L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2934</v>
      </c>
      <c r="D651" s="1" t="s">
        <v>2935</v>
      </c>
      <c r="E651" s="1" t="s">
        <v>2936</v>
      </c>
      <c r="F651" s="1" t="s">
        <v>112</v>
      </c>
      <c r="G651" s="1">
        <v>277144</v>
      </c>
    </row>
    <row r="652" spans="1:10" x14ac:dyDescent="0.35">
      <c r="A652" s="1" t="str">
        <f t="shared" si="10"/>
        <v>08 Anastrozole 4 µg_L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2937</v>
      </c>
      <c r="D652" s="1" t="s">
        <v>1717</v>
      </c>
      <c r="E652" s="1" t="s">
        <v>2938</v>
      </c>
      <c r="F652" s="1" t="s">
        <v>112</v>
      </c>
      <c r="G652" s="1">
        <v>182837</v>
      </c>
    </row>
    <row r="653" spans="1:10"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227</v>
      </c>
      <c r="D654" s="1" t="s">
        <v>112</v>
      </c>
      <c r="E654" s="1" t="s">
        <v>228</v>
      </c>
      <c r="F654" s="1" t="s">
        <v>229</v>
      </c>
      <c r="G654" s="1" t="s">
        <v>230</v>
      </c>
      <c r="H654" s="1" t="s">
        <v>231</v>
      </c>
      <c r="I654" s="1" t="s">
        <v>232</v>
      </c>
      <c r="J654" s="1" t="s">
        <v>233</v>
      </c>
    </row>
    <row r="655" spans="1:10" x14ac:dyDescent="0.35">
      <c r="A655" s="1" t="str">
        <f t="shared" si="10"/>
        <v>08 Anastrozole 4 µg_L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2939</v>
      </c>
      <c r="D655" s="1" t="s">
        <v>112</v>
      </c>
      <c r="E655" s="1" t="s">
        <v>2940</v>
      </c>
      <c r="F655" s="1" t="s">
        <v>2941</v>
      </c>
      <c r="G655" s="1" t="s">
        <v>2942</v>
      </c>
      <c r="H655" s="1" t="s">
        <v>2943</v>
      </c>
      <c r="I655" s="1">
        <v>24</v>
      </c>
      <c r="J655" s="1">
        <v>24</v>
      </c>
    </row>
    <row r="656" spans="1:10"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239</v>
      </c>
      <c r="D661" s="1" t="s">
        <v>110</v>
      </c>
      <c r="E661" s="1" t="s">
        <v>111</v>
      </c>
      <c r="F661" s="1" t="s">
        <v>112</v>
      </c>
      <c r="G661" s="1" t="s">
        <v>113</v>
      </c>
    </row>
    <row r="662" spans="1:7" x14ac:dyDescent="0.35">
      <c r="A662" s="1" t="str">
        <f t="shared" si="10"/>
        <v>09  Anastrozole 20 µg_L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2944</v>
      </c>
      <c r="D662" s="1" t="s">
        <v>1778</v>
      </c>
      <c r="E662" s="1" t="s">
        <v>2945</v>
      </c>
      <c r="F662" s="1" t="s">
        <v>112</v>
      </c>
      <c r="G662" s="1">
        <v>180912</v>
      </c>
    </row>
    <row r="663" spans="1:7" x14ac:dyDescent="0.35">
      <c r="A663" s="1" t="str">
        <f t="shared" si="10"/>
        <v>09  Anastrozole 20 µg_L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2946</v>
      </c>
      <c r="D663" s="1" t="s">
        <v>1778</v>
      </c>
      <c r="E663" s="1" t="s">
        <v>2947</v>
      </c>
      <c r="F663" s="1" t="s">
        <v>112</v>
      </c>
      <c r="G663" s="1">
        <v>179312</v>
      </c>
    </row>
    <row r="664" spans="1:7" x14ac:dyDescent="0.35">
      <c r="A664" s="1" t="str">
        <f t="shared" si="10"/>
        <v>09  Anastrozole 20 µg_L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2948</v>
      </c>
      <c r="D664" s="1" t="s">
        <v>2949</v>
      </c>
      <c r="E664" s="1" t="s">
        <v>2950</v>
      </c>
      <c r="F664" s="1" t="s">
        <v>112</v>
      </c>
      <c r="G664" s="1">
        <v>3963202</v>
      </c>
    </row>
    <row r="665" spans="1:7" x14ac:dyDescent="0.35">
      <c r="A665" s="1" t="str">
        <f t="shared" si="10"/>
        <v>09  Anastrozole 20 µg_L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2951</v>
      </c>
      <c r="D665" s="1" t="s">
        <v>1628</v>
      </c>
      <c r="E665" s="1" t="s">
        <v>2952</v>
      </c>
      <c r="F665" s="1" t="s">
        <v>112</v>
      </c>
      <c r="G665" s="1">
        <v>102547</v>
      </c>
    </row>
    <row r="666" spans="1:7" x14ac:dyDescent="0.35">
      <c r="A666" s="1" t="str">
        <f t="shared" si="10"/>
        <v>09  Anastrozole 20 µg_L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2953</v>
      </c>
      <c r="D666" s="1" t="s">
        <v>2954</v>
      </c>
      <c r="E666" s="1" t="s">
        <v>2955</v>
      </c>
      <c r="F666" s="1" t="s">
        <v>112</v>
      </c>
      <c r="G666" s="1">
        <v>293345</v>
      </c>
    </row>
    <row r="667" spans="1:7" x14ac:dyDescent="0.35">
      <c r="A667" s="1" t="str">
        <f t="shared" si="10"/>
        <v>09  Anastrozole 20 µg_L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2956</v>
      </c>
      <c r="D667" s="1" t="s">
        <v>2957</v>
      </c>
      <c r="E667" s="1" t="s">
        <v>2958</v>
      </c>
      <c r="F667" s="1" t="s">
        <v>112</v>
      </c>
      <c r="G667" s="1">
        <v>326720</v>
      </c>
    </row>
    <row r="668" spans="1:7" x14ac:dyDescent="0.35">
      <c r="A668" s="1" t="str">
        <f t="shared" si="10"/>
        <v>09  Anastrozole 20 µg_L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2959</v>
      </c>
      <c r="D668" s="1" t="s">
        <v>2960</v>
      </c>
      <c r="E668" s="1" t="s">
        <v>2961</v>
      </c>
      <c r="F668" s="1" t="s">
        <v>112</v>
      </c>
      <c r="G668" s="1">
        <v>96815</v>
      </c>
    </row>
    <row r="669" spans="1:7" x14ac:dyDescent="0.35">
      <c r="A669" s="1" t="str">
        <f t="shared" si="10"/>
        <v>09  Anastrozole 20 µg_L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2962</v>
      </c>
      <c r="D669" s="1" t="s">
        <v>1628</v>
      </c>
      <c r="E669" s="1" t="s">
        <v>2963</v>
      </c>
      <c r="F669" s="1" t="s">
        <v>112</v>
      </c>
      <c r="G669" s="1">
        <v>108474</v>
      </c>
    </row>
    <row r="670" spans="1:7" x14ac:dyDescent="0.35">
      <c r="A670" s="1" t="str">
        <f t="shared" si="10"/>
        <v>09  Anastrozole 20 µg_L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2964</v>
      </c>
      <c r="D670" s="1" t="s">
        <v>1741</v>
      </c>
      <c r="E670" s="1" t="s">
        <v>1366</v>
      </c>
      <c r="F670" s="1" t="s">
        <v>112</v>
      </c>
      <c r="G670" s="1">
        <v>62402</v>
      </c>
    </row>
    <row r="671" spans="1:7" x14ac:dyDescent="0.35">
      <c r="A671" s="1" t="str">
        <f t="shared" si="10"/>
        <v>09  Anastrozole 20 µg_L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2965</v>
      </c>
      <c r="D671" s="1" t="s">
        <v>1738</v>
      </c>
      <c r="E671" s="1" t="s">
        <v>2966</v>
      </c>
      <c r="F671" s="1" t="s">
        <v>112</v>
      </c>
      <c r="G671" s="1">
        <v>35105</v>
      </c>
    </row>
    <row r="672" spans="1:7" x14ac:dyDescent="0.35">
      <c r="A672" s="1" t="str">
        <f t="shared" si="10"/>
        <v>09  Anastrozole 20 µg_L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2967</v>
      </c>
      <c r="D672" s="1" t="s">
        <v>2247</v>
      </c>
      <c r="E672" s="1" t="s">
        <v>2968</v>
      </c>
      <c r="F672" s="1" t="s">
        <v>112</v>
      </c>
      <c r="G672" s="1">
        <v>73996</v>
      </c>
    </row>
    <row r="673" spans="1:10" x14ac:dyDescent="0.35">
      <c r="A673" s="1" t="str">
        <f t="shared" si="10"/>
        <v>09  Anastrozole 20 µg_L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2969</v>
      </c>
      <c r="D673" s="1" t="s">
        <v>2970</v>
      </c>
      <c r="E673" s="1" t="s">
        <v>2971</v>
      </c>
      <c r="F673" s="1" t="s">
        <v>112</v>
      </c>
      <c r="G673" s="1">
        <v>216429</v>
      </c>
    </row>
    <row r="674" spans="1:10" x14ac:dyDescent="0.35">
      <c r="A674" s="1" t="str">
        <f t="shared" si="10"/>
        <v>09  Anastrozole 20 µg_L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2972</v>
      </c>
      <c r="D674" s="1" t="s">
        <v>2973</v>
      </c>
      <c r="E674" s="1" t="s">
        <v>2974</v>
      </c>
      <c r="F674" s="1" t="s">
        <v>112</v>
      </c>
      <c r="G674" s="1">
        <v>252832</v>
      </c>
    </row>
    <row r="675" spans="1:10" x14ac:dyDescent="0.35">
      <c r="A675" s="1" t="str">
        <f t="shared" si="10"/>
        <v>09  Anastrozole 20 µg_L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2975</v>
      </c>
      <c r="D675" s="1" t="s">
        <v>2976</v>
      </c>
      <c r="E675" s="1" t="s">
        <v>2977</v>
      </c>
      <c r="F675" s="1" t="s">
        <v>112</v>
      </c>
      <c r="G675" s="1">
        <v>223740</v>
      </c>
    </row>
    <row r="676" spans="1:10" x14ac:dyDescent="0.35">
      <c r="A676" s="1" t="str">
        <f t="shared" si="10"/>
        <v>09  Anastrozole 20 µg_L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2978</v>
      </c>
      <c r="D676" s="1" t="s">
        <v>2313</v>
      </c>
      <c r="E676" s="1" t="s">
        <v>2979</v>
      </c>
      <c r="F676" s="1" t="s">
        <v>112</v>
      </c>
      <c r="G676" s="1">
        <v>109296</v>
      </c>
    </row>
    <row r="677" spans="1:10" x14ac:dyDescent="0.35">
      <c r="A677" s="1" t="str">
        <f t="shared" si="10"/>
        <v>09  Anastrozole 20 µg_L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2980</v>
      </c>
      <c r="D677" s="1" t="s">
        <v>2217</v>
      </c>
      <c r="E677" s="1" t="s">
        <v>2981</v>
      </c>
      <c r="F677" s="1" t="s">
        <v>112</v>
      </c>
      <c r="G677" s="1">
        <v>50982</v>
      </c>
    </row>
    <row r="678" spans="1:10" x14ac:dyDescent="0.35">
      <c r="A678" s="1" t="str">
        <f t="shared" si="10"/>
        <v>09  Anastrozole 20 µg_L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2982</v>
      </c>
      <c r="D678" s="1" t="s">
        <v>2262</v>
      </c>
      <c r="E678" s="1" t="s">
        <v>2983</v>
      </c>
      <c r="F678" s="1" t="s">
        <v>112</v>
      </c>
      <c r="G678" s="1">
        <v>100687</v>
      </c>
    </row>
    <row r="679" spans="1:10" x14ac:dyDescent="0.35">
      <c r="A679" s="1" t="str">
        <f t="shared" si="10"/>
        <v>09  Anastrozole 20 µg_L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2984</v>
      </c>
      <c r="D679" s="1" t="s">
        <v>1714</v>
      </c>
      <c r="E679" s="1" t="s">
        <v>2985</v>
      </c>
      <c r="F679" s="1" t="s">
        <v>112</v>
      </c>
      <c r="G679" s="1">
        <v>36273</v>
      </c>
    </row>
    <row r="680" spans="1:10" x14ac:dyDescent="0.35">
      <c r="A680" s="1" t="str">
        <f t="shared" si="10"/>
        <v>09  Anastrozole 20 µg_L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2986</v>
      </c>
      <c r="D680" s="1" t="s">
        <v>1793</v>
      </c>
      <c r="E680" s="1" t="s">
        <v>2987</v>
      </c>
      <c r="F680" s="1" t="s">
        <v>112</v>
      </c>
      <c r="G680" s="1">
        <v>88942</v>
      </c>
    </row>
    <row r="681" spans="1:10" x14ac:dyDescent="0.35">
      <c r="A681" s="1" t="str">
        <f t="shared" si="10"/>
        <v>09  Anastrozole 20 µg_L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2988</v>
      </c>
    </row>
    <row r="682" spans="1:10" x14ac:dyDescent="0.35">
      <c r="A682" s="1" t="str">
        <f t="shared" si="10"/>
        <v>09  Anastrozole 20 µg_L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2989</v>
      </c>
      <c r="D682" s="1" t="s">
        <v>1760</v>
      </c>
      <c r="E682" s="1" t="s">
        <v>2990</v>
      </c>
      <c r="F682" s="1" t="s">
        <v>112</v>
      </c>
      <c r="G682" s="1">
        <v>113362</v>
      </c>
    </row>
    <row r="683" spans="1:10" x14ac:dyDescent="0.35">
      <c r="A683" s="1" t="str">
        <f t="shared" si="10"/>
        <v>09  Anastrozole 20 µg_L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2991</v>
      </c>
      <c r="D683" s="1" t="s">
        <v>2305</v>
      </c>
      <c r="E683" s="1" t="s">
        <v>2992</v>
      </c>
      <c r="F683" s="1" t="s">
        <v>112</v>
      </c>
      <c r="G683" s="1">
        <v>103110</v>
      </c>
    </row>
    <row r="684" spans="1:10" x14ac:dyDescent="0.35">
      <c r="A684" s="1" t="str">
        <f t="shared" si="10"/>
        <v>09  Anastrozole 20 µg_L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2993</v>
      </c>
      <c r="D684" s="1" t="s">
        <v>2211</v>
      </c>
      <c r="E684" s="1" t="s">
        <v>2994</v>
      </c>
      <c r="F684" s="1" t="s">
        <v>112</v>
      </c>
      <c r="G684" s="1">
        <v>88964</v>
      </c>
    </row>
    <row r="685" spans="1:10" x14ac:dyDescent="0.35">
      <c r="A685" s="1" t="str">
        <f t="shared" si="10"/>
        <v>09  Anastrozole 20 µg_L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2995</v>
      </c>
      <c r="D685" s="1" t="s">
        <v>2313</v>
      </c>
      <c r="E685" s="1" t="s">
        <v>2996</v>
      </c>
      <c r="F685" s="1" t="s">
        <v>112</v>
      </c>
      <c r="G685" s="1">
        <v>115266</v>
      </c>
    </row>
    <row r="686" spans="1:10"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227</v>
      </c>
      <c r="D687" s="1" t="s">
        <v>112</v>
      </c>
      <c r="E687" s="1" t="s">
        <v>228</v>
      </c>
      <c r="F687" s="1" t="s">
        <v>229</v>
      </c>
      <c r="G687" s="1" t="s">
        <v>230</v>
      </c>
      <c r="H687" s="1" t="s">
        <v>231</v>
      </c>
      <c r="I687" s="1" t="s">
        <v>232</v>
      </c>
      <c r="J687" s="1" t="s">
        <v>233</v>
      </c>
    </row>
    <row r="688" spans="1:10" x14ac:dyDescent="0.35">
      <c r="A688" s="1" t="str">
        <f t="shared" si="10"/>
        <v>09  Anastrozole 20 µg_L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2997</v>
      </c>
      <c r="D688" s="1" t="s">
        <v>112</v>
      </c>
      <c r="E688" s="1" t="s">
        <v>2998</v>
      </c>
      <c r="F688" s="1" t="s">
        <v>2999</v>
      </c>
      <c r="G688" s="1" t="s">
        <v>3000</v>
      </c>
      <c r="H688" s="1" t="s">
        <v>3001</v>
      </c>
      <c r="I688" s="1">
        <v>24</v>
      </c>
      <c r="J688" s="1">
        <v>24</v>
      </c>
    </row>
    <row r="689" spans="1:3"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3"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112</v>
      </c>
    </row>
    <row r="694" spans="1:3"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1 EO1:XFD10 K1:L4 A1532:XFD1048576 M15:XFD19 K5:K6 B829:XFD1531 A3:A1531 B3:B828 K20:XFD828 A2:B2 K11:K13 AH11:XFD14">
    <cfRule type="containsText" dxfId="32" priority="3" operator="containsText" text="ERREUR">
      <formula>NOT(ISERROR(SEARCH("ERREUR",A1)))</formula>
    </cfRule>
    <cfRule type="containsText" dxfId="31" priority="4" operator="containsText" text="OK">
      <formula>NOT(ISERROR(SEARCH("OK",A1)))</formula>
    </cfRule>
  </conditionalFormatting>
  <conditionalFormatting sqref="C2:J828">
    <cfRule type="containsText" dxfId="30" priority="1" operator="containsText" text="ERREUR">
      <formula>NOT(ISERROR(SEARCH("ERREUR",C2)))</formula>
    </cfRule>
    <cfRule type="containsText" dxfId="29" priority="2" operator="containsText" text="OK">
      <formula>NOT(ISERROR(SEARCH("OK",C2)))</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S19" zoomScale="70" zoomScaleNormal="70" zoomScaleSheetLayoutView="40" zoomScalePageLayoutView="30" workbookViewId="0">
      <selection activeCell="P60" sqref="P60"/>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36" width="25.81640625" style="1" customWidth="1"/>
    <col min="37" max="37" width="25.81640625" style="1" bestFit="1" customWidth="1"/>
    <col min="38" max="16384" width="9.1796875" style="1"/>
  </cols>
  <sheetData>
    <row r="1" spans="1:37" ht="26.5" thickBot="1" x14ac:dyDescent="0.65">
      <c r="A1" s="222" t="s">
        <v>43</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4"/>
    </row>
    <row r="2" spans="1:37" customFormat="1" ht="15" thickBot="1" x14ac:dyDescent="0.4">
      <c r="AE2" s="1"/>
      <c r="AF2" s="1"/>
      <c r="AG2" s="1"/>
      <c r="AH2" s="1"/>
      <c r="AI2" s="1"/>
      <c r="AJ2" s="1"/>
    </row>
    <row r="3" spans="1:37" ht="15" thickBot="1" x14ac:dyDescent="0.4">
      <c r="A3" s="53" t="s">
        <v>18</v>
      </c>
      <c r="B3" s="232" t="s">
        <v>6</v>
      </c>
      <c r="C3" s="233"/>
      <c r="D3" s="233"/>
      <c r="E3" s="233"/>
      <c r="F3" s="233"/>
      <c r="G3" s="233"/>
      <c r="H3" s="233"/>
      <c r="I3" s="233"/>
      <c r="J3" s="233"/>
      <c r="K3" s="233"/>
      <c r="L3" s="233"/>
      <c r="M3" s="233"/>
      <c r="O3" s="232" t="s">
        <v>3</v>
      </c>
      <c r="P3" s="233"/>
      <c r="Q3" s="233"/>
      <c r="R3" s="233"/>
      <c r="S3" s="233"/>
      <c r="T3" s="233"/>
      <c r="U3" s="233"/>
      <c r="V3" s="233"/>
      <c r="W3" s="233"/>
      <c r="X3" s="233"/>
      <c r="Y3" s="233"/>
      <c r="Z3" s="233"/>
      <c r="AA3" s="233"/>
      <c r="AB3" s="233"/>
      <c r="AC3" s="233"/>
      <c r="AD3" s="233"/>
      <c r="AE3" s="233"/>
      <c r="AF3" s="233"/>
      <c r="AG3" s="233"/>
      <c r="AH3" s="233"/>
      <c r="AI3" s="233"/>
      <c r="AJ3" s="233"/>
      <c r="AK3" s="234"/>
    </row>
    <row r="4" spans="1:37"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Anastrozole 0,032 ug/L</v>
      </c>
      <c r="J4" s="35" t="str">
        <f>'Page de garde'!A16</f>
        <v>Anastrozole 0,16 ug/L</v>
      </c>
      <c r="K4" s="35" t="str">
        <f>'Page de garde'!A17</f>
        <v>Anastrozole 0,8 ug/L</v>
      </c>
      <c r="L4" s="35" t="str">
        <f>'Page de garde'!A18</f>
        <v>Anastrozole 4 ug/L</v>
      </c>
      <c r="M4" s="35" t="str">
        <f>'Page de garde'!A19</f>
        <v>Anastrozole 20 ug/L</v>
      </c>
      <c r="N4" s="3"/>
      <c r="O4" s="36" t="str">
        <f>'Page de garde'!A36</f>
        <v>Testo -30µg/L</v>
      </c>
      <c r="P4" s="36" t="str">
        <f>'Page de garde'!A37</f>
        <v>Testo 30µg/L + EE2 -64ng/L</v>
      </c>
      <c r="Q4" s="36" t="str">
        <f>'Page de garde'!A38</f>
        <v>Testo 30µg/L + FAD-10mg/L</v>
      </c>
      <c r="R4" s="36" t="str">
        <f>'Page de garde'!A39</f>
        <v>Anastrozole-0,032ug/L + Testostérone</v>
      </c>
      <c r="S4" s="36" t="str">
        <f>'Page de garde'!A40</f>
        <v>Anastrozole-0,16ug/L + Testostérone</v>
      </c>
      <c r="T4" s="36" t="str">
        <f>'Page de garde'!A41</f>
        <v>Anastrozole-0,8ug/L + Testostérone</v>
      </c>
      <c r="U4" s="36" t="str">
        <f>'Page de garde'!A42</f>
        <v>Anastrozole-4ug/L + Testostérone</v>
      </c>
      <c r="V4" s="36" t="str">
        <f>'Page de garde'!A43</f>
        <v>Anastrozole-20ug/L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35">
      <c r="A5" s="235" t="s">
        <v>33</v>
      </c>
      <c r="B5" s="201">
        <v>25876.666666666668</v>
      </c>
      <c r="C5" s="201">
        <v>201720.66666666666</v>
      </c>
      <c r="D5" s="201">
        <v>356237</v>
      </c>
      <c r="E5" s="201">
        <v>199067.33333333334</v>
      </c>
      <c r="F5" s="201">
        <v>487851.5</v>
      </c>
      <c r="G5" s="201">
        <v>4809602</v>
      </c>
      <c r="H5" s="201">
        <v>5524549.333333333</v>
      </c>
      <c r="I5" s="201">
        <v>76757.666666666672</v>
      </c>
      <c r="J5" s="201">
        <v>145230.33333333334</v>
      </c>
      <c r="K5" s="201">
        <v>431855</v>
      </c>
      <c r="L5" s="201">
        <v>81494.333333333328</v>
      </c>
      <c r="M5" s="201">
        <v>27931.333333333332</v>
      </c>
      <c r="N5" s="3"/>
      <c r="O5" s="201">
        <v>297418.33333333331</v>
      </c>
      <c r="P5" s="201">
        <v>4210598</v>
      </c>
      <c r="Q5" s="201">
        <v>245942.5</v>
      </c>
      <c r="R5" s="201">
        <v>1812203</v>
      </c>
      <c r="S5" s="201">
        <v>2368913.3333333335</v>
      </c>
      <c r="T5" s="201">
        <v>14953.333333333334</v>
      </c>
      <c r="U5" s="201">
        <v>54579.333333333336</v>
      </c>
      <c r="V5" s="201">
        <v>1441142</v>
      </c>
      <c r="W5" s="32"/>
      <c r="X5" s="32"/>
      <c r="Y5" s="32"/>
      <c r="Z5" s="32"/>
      <c r="AA5" s="32"/>
      <c r="AB5" s="32"/>
      <c r="AC5" s="32"/>
      <c r="AD5" s="32"/>
      <c r="AE5" s="32"/>
      <c r="AF5" s="32"/>
      <c r="AG5" s="32"/>
      <c r="AH5" s="32"/>
      <c r="AI5" s="32"/>
      <c r="AJ5" s="32"/>
      <c r="AK5" s="32"/>
    </row>
    <row r="6" spans="1:37" x14ac:dyDescent="0.35">
      <c r="A6" s="235"/>
      <c r="B6" s="201">
        <v>160111.66666666666</v>
      </c>
      <c r="C6" s="201">
        <v>295024.66666666669</v>
      </c>
      <c r="D6" s="201">
        <v>139585</v>
      </c>
      <c r="E6" s="201">
        <v>712135.33333333337</v>
      </c>
      <c r="F6" s="201">
        <v>2939726</v>
      </c>
      <c r="G6" s="201">
        <v>1491489.3333333333</v>
      </c>
      <c r="H6" s="201">
        <v>3387868.6666666665</v>
      </c>
      <c r="I6" s="201">
        <v>42409</v>
      </c>
      <c r="J6" s="201">
        <v>46864.666666666664</v>
      </c>
      <c r="K6" s="201">
        <v>79403.5</v>
      </c>
      <c r="L6" s="201">
        <v>176420.66666666666</v>
      </c>
      <c r="M6" s="201">
        <v>152512</v>
      </c>
      <c r="N6" s="3"/>
      <c r="O6" s="201">
        <v>67543</v>
      </c>
      <c r="P6" s="201">
        <v>3006742.6666666665</v>
      </c>
      <c r="Q6" s="201">
        <v>275363</v>
      </c>
      <c r="R6" s="201">
        <v>2145826</v>
      </c>
      <c r="S6" s="201">
        <v>20764.666666666668</v>
      </c>
      <c r="T6" s="201">
        <v>14729.666666666666</v>
      </c>
      <c r="U6" s="201">
        <v>126189</v>
      </c>
      <c r="V6" s="201">
        <v>240870.66666666666</v>
      </c>
      <c r="W6" s="32"/>
      <c r="X6" s="32"/>
      <c r="Y6" s="32"/>
      <c r="Z6" s="32"/>
      <c r="AA6" s="32"/>
      <c r="AB6" s="32"/>
      <c r="AC6" s="32"/>
      <c r="AD6" s="32"/>
      <c r="AE6" s="32"/>
      <c r="AF6" s="32"/>
      <c r="AG6" s="32"/>
      <c r="AH6" s="32"/>
      <c r="AI6" s="32"/>
      <c r="AJ6" s="32"/>
      <c r="AK6" s="32"/>
    </row>
    <row r="7" spans="1:37" x14ac:dyDescent="0.35">
      <c r="A7" s="235"/>
      <c r="B7" s="201">
        <v>92922</v>
      </c>
      <c r="C7" s="201">
        <v>123716</v>
      </c>
      <c r="D7" s="201">
        <v>62366.333333333336</v>
      </c>
      <c r="E7" s="201">
        <v>124783</v>
      </c>
      <c r="F7" s="201">
        <v>1291968</v>
      </c>
      <c r="G7" s="201">
        <v>1906293</v>
      </c>
      <c r="H7" s="201">
        <v>2097743</v>
      </c>
      <c r="I7" s="201">
        <v>48897.666666666664</v>
      </c>
      <c r="J7" s="201">
        <v>61818.333333333336</v>
      </c>
      <c r="K7" s="201">
        <v>331867.66666666669</v>
      </c>
      <c r="L7" s="201">
        <v>129455</v>
      </c>
      <c r="M7" s="201">
        <v>25501.666666666668</v>
      </c>
      <c r="N7" s="3"/>
      <c r="O7" s="201">
        <v>2507950.3333333335</v>
      </c>
      <c r="P7" s="201">
        <v>3371899</v>
      </c>
      <c r="Q7" s="201">
        <v>459981.33333333331</v>
      </c>
      <c r="R7" s="201">
        <v>1789693.3333333333</v>
      </c>
      <c r="S7" s="201">
        <v>1452721.6666666667</v>
      </c>
      <c r="T7" s="201">
        <v>151099.33333333334</v>
      </c>
      <c r="U7" s="201">
        <v>418185.33333333331</v>
      </c>
      <c r="V7" s="201">
        <v>89230.333333333328</v>
      </c>
      <c r="W7" s="32"/>
      <c r="X7" s="32"/>
      <c r="Y7" s="32"/>
      <c r="Z7" s="32"/>
      <c r="AA7" s="32"/>
      <c r="AB7" s="32"/>
      <c r="AC7" s="32"/>
      <c r="AD7" s="32"/>
      <c r="AE7" s="32"/>
      <c r="AF7" s="32"/>
      <c r="AG7" s="32"/>
      <c r="AH7" s="32"/>
      <c r="AI7" s="32"/>
      <c r="AJ7" s="32"/>
      <c r="AK7" s="32"/>
    </row>
    <row r="8" spans="1:37" x14ac:dyDescent="0.35">
      <c r="A8" s="235"/>
      <c r="B8" s="201">
        <v>133146.33333333334</v>
      </c>
      <c r="C8" s="201">
        <v>12394</v>
      </c>
      <c r="D8" s="201">
        <v>98553</v>
      </c>
      <c r="E8" s="201">
        <v>735856</v>
      </c>
      <c r="F8" s="201">
        <v>658003</v>
      </c>
      <c r="G8" s="201">
        <v>3401351.3333333335</v>
      </c>
      <c r="H8" s="201">
        <v>5787316.333333333</v>
      </c>
      <c r="I8" s="201">
        <v>129152.33333333333</v>
      </c>
      <c r="J8" s="201">
        <v>281498.66666666669</v>
      </c>
      <c r="K8" s="201">
        <v>103319</v>
      </c>
      <c r="L8" s="201">
        <v>75142.333333333328</v>
      </c>
      <c r="M8" s="201">
        <v>148337.66666666666</v>
      </c>
      <c r="N8" s="3"/>
      <c r="O8" s="201">
        <v>3614377.3333333335</v>
      </c>
      <c r="P8" s="201">
        <v>3408957.6666666665</v>
      </c>
      <c r="Q8" s="201">
        <v>151265</v>
      </c>
      <c r="R8" s="201">
        <v>564728</v>
      </c>
      <c r="S8" s="201">
        <v>21078.5</v>
      </c>
      <c r="T8" s="201">
        <v>272443</v>
      </c>
      <c r="U8" s="201">
        <v>103456</v>
      </c>
      <c r="V8" s="201">
        <v>108510</v>
      </c>
      <c r="W8" s="32"/>
      <c r="X8" s="32"/>
      <c r="Y8" s="32"/>
      <c r="Z8" s="32"/>
      <c r="AA8" s="32"/>
      <c r="AB8" s="32"/>
      <c r="AC8" s="32"/>
      <c r="AD8" s="32"/>
      <c r="AE8" s="32"/>
      <c r="AF8" s="32"/>
      <c r="AG8" s="32"/>
      <c r="AH8" s="32"/>
      <c r="AI8" s="32"/>
      <c r="AJ8" s="32"/>
      <c r="AK8" s="32"/>
    </row>
    <row r="9" spans="1:37" x14ac:dyDescent="0.35">
      <c r="A9" s="235"/>
      <c r="B9" s="201">
        <v>71212.666666666672</v>
      </c>
      <c r="C9" s="201">
        <v>132050.33333333334</v>
      </c>
      <c r="D9" s="201">
        <v>31637.666666666668</v>
      </c>
      <c r="E9" s="201">
        <v>218087</v>
      </c>
      <c r="F9" s="201">
        <v>1739519.3333333333</v>
      </c>
      <c r="G9" s="201">
        <v>3693052</v>
      </c>
      <c r="H9" s="201">
        <v>3739491.6666666665</v>
      </c>
      <c r="I9" s="201">
        <v>178713.33333333334</v>
      </c>
      <c r="J9" s="201">
        <v>79403.666666666672</v>
      </c>
      <c r="K9" s="201">
        <v>507278.66666666669</v>
      </c>
      <c r="L9" s="201">
        <v>74097</v>
      </c>
      <c r="M9" s="201">
        <v>112165.66666666667</v>
      </c>
      <c r="N9" s="3"/>
      <c r="O9" s="201">
        <v>3426305</v>
      </c>
      <c r="P9" s="201">
        <v>1183451</v>
      </c>
      <c r="Q9" s="201">
        <v>385206.66666666669</v>
      </c>
      <c r="R9" s="201">
        <v>2523076.6666666665</v>
      </c>
      <c r="S9" s="201">
        <v>829614.33333333337</v>
      </c>
      <c r="T9" s="201">
        <v>1062233.5</v>
      </c>
      <c r="U9" s="201">
        <v>53152</v>
      </c>
      <c r="V9" s="201">
        <v>195289.33333333334</v>
      </c>
      <c r="W9" s="32"/>
      <c r="X9" s="32"/>
      <c r="Y9" s="32"/>
      <c r="Z9" s="32"/>
      <c r="AA9" s="32"/>
      <c r="AB9" s="32"/>
      <c r="AC9" s="32"/>
      <c r="AD9" s="32"/>
      <c r="AE9" s="32"/>
      <c r="AF9" s="32"/>
      <c r="AG9" s="32"/>
      <c r="AH9" s="32"/>
      <c r="AI9" s="32"/>
      <c r="AJ9" s="32"/>
      <c r="AK9" s="32"/>
    </row>
    <row r="10" spans="1:37" x14ac:dyDescent="0.35">
      <c r="A10" s="235"/>
      <c r="B10" s="201">
        <v>130522</v>
      </c>
      <c r="C10" s="201">
        <v>66216.333333333328</v>
      </c>
      <c r="D10" s="201">
        <v>31082.333333333332</v>
      </c>
      <c r="E10" s="201">
        <v>507307.33333333331</v>
      </c>
      <c r="F10" s="201">
        <v>753354.66666666663</v>
      </c>
      <c r="G10" s="201">
        <v>4312741.666666667</v>
      </c>
      <c r="H10" s="201">
        <v>3701422.6666666665</v>
      </c>
      <c r="I10" s="201">
        <v>143139.33333333334</v>
      </c>
      <c r="J10" s="201">
        <v>92640.666666666672</v>
      </c>
      <c r="K10" s="201">
        <v>122144</v>
      </c>
      <c r="L10" s="201">
        <v>153536</v>
      </c>
      <c r="M10" s="201">
        <v>196442.66666666666</v>
      </c>
      <c r="N10" s="3"/>
      <c r="O10" s="201">
        <v>1653930</v>
      </c>
      <c r="P10" s="201">
        <v>1807156</v>
      </c>
      <c r="Q10" s="201">
        <v>43202</v>
      </c>
      <c r="R10" s="201">
        <v>240200</v>
      </c>
      <c r="S10" s="201">
        <v>1790486.6666666667</v>
      </c>
      <c r="T10" s="201">
        <v>41738.666666666664</v>
      </c>
      <c r="U10" s="201">
        <v>16921.666666666668</v>
      </c>
      <c r="V10" s="201">
        <v>62647.333333333336</v>
      </c>
      <c r="W10" s="32"/>
      <c r="X10" s="32"/>
      <c r="Y10" s="32"/>
      <c r="Z10" s="32"/>
      <c r="AA10" s="32"/>
      <c r="AB10" s="32"/>
      <c r="AC10" s="32"/>
      <c r="AD10" s="32"/>
      <c r="AE10" s="32"/>
      <c r="AF10" s="32"/>
      <c r="AG10" s="32"/>
      <c r="AH10" s="32"/>
      <c r="AI10" s="32"/>
      <c r="AJ10" s="32"/>
      <c r="AK10" s="32"/>
    </row>
    <row r="11" spans="1:37" x14ac:dyDescent="0.35">
      <c r="A11" s="235"/>
      <c r="B11" s="201">
        <v>81220</v>
      </c>
      <c r="C11" s="201">
        <v>29777</v>
      </c>
      <c r="D11" s="201">
        <v>69944</v>
      </c>
      <c r="E11" s="201">
        <v>323193.66666666669</v>
      </c>
      <c r="F11" s="201">
        <v>1599833.6666666667</v>
      </c>
      <c r="G11" s="201">
        <v>3352331</v>
      </c>
      <c r="H11" s="201">
        <v>4593292</v>
      </c>
      <c r="I11" s="201">
        <v>90824</v>
      </c>
      <c r="J11" s="201">
        <v>99865.666666666672</v>
      </c>
      <c r="K11" s="201"/>
      <c r="L11" s="201"/>
      <c r="M11" s="201"/>
      <c r="N11" s="3"/>
      <c r="O11" s="201">
        <v>1389576.6666666667</v>
      </c>
      <c r="P11" s="201">
        <v>4532025.333333333</v>
      </c>
      <c r="Q11" s="201">
        <v>358775</v>
      </c>
      <c r="R11" s="201">
        <v>603618</v>
      </c>
      <c r="S11" s="201">
        <v>2411178</v>
      </c>
      <c r="T11" s="201">
        <v>485050.33333333331</v>
      </c>
      <c r="U11" s="201"/>
      <c r="V11" s="201">
        <v>101152</v>
      </c>
      <c r="W11" s="32"/>
      <c r="X11" s="32"/>
      <c r="Y11" s="32"/>
      <c r="Z11" s="32"/>
      <c r="AA11" s="32"/>
      <c r="AB11" s="32"/>
      <c r="AC11" s="32"/>
      <c r="AD11" s="32"/>
      <c r="AE11" s="32"/>
      <c r="AF11" s="32"/>
      <c r="AG11" s="32"/>
      <c r="AH11" s="32"/>
      <c r="AI11" s="32"/>
      <c r="AJ11" s="32"/>
      <c r="AK11" s="32"/>
    </row>
    <row r="12" spans="1:37" x14ac:dyDescent="0.35">
      <c r="A12" s="235"/>
      <c r="B12" s="201">
        <v>67211.333333333328</v>
      </c>
      <c r="C12" s="201">
        <v>46273.666666666664</v>
      </c>
      <c r="D12" s="201">
        <v>655674.33333333337</v>
      </c>
      <c r="E12" s="201">
        <v>197733.66666666666</v>
      </c>
      <c r="F12" s="201">
        <v>2407018</v>
      </c>
      <c r="G12" s="201">
        <v>4045201.3333333335</v>
      </c>
      <c r="H12" s="201">
        <v>5635856.666666667</v>
      </c>
      <c r="I12" s="201">
        <v>155584</v>
      </c>
      <c r="J12" s="201">
        <v>251252.66666666666</v>
      </c>
      <c r="K12" s="201">
        <v>141070</v>
      </c>
      <c r="L12" s="201">
        <v>31781.333333333332</v>
      </c>
      <c r="M12" s="201">
        <v>33093.666666666664</v>
      </c>
      <c r="N12" s="3"/>
      <c r="O12" s="201">
        <v>3984976.3333333335</v>
      </c>
      <c r="P12" s="201">
        <v>4688971.666666667</v>
      </c>
      <c r="Q12" s="201">
        <v>41039.333333333336</v>
      </c>
      <c r="R12" s="201">
        <v>2836659.6666666665</v>
      </c>
      <c r="S12" s="201">
        <v>100687.33333333333</v>
      </c>
      <c r="T12" s="201"/>
      <c r="U12" s="201">
        <v>163392</v>
      </c>
      <c r="V12" s="201">
        <v>102446.66666666667</v>
      </c>
      <c r="W12" s="32"/>
      <c r="X12" s="32"/>
      <c r="Y12" s="32"/>
      <c r="Z12" s="32"/>
      <c r="AA12" s="32"/>
      <c r="AB12" s="32"/>
      <c r="AC12" s="32"/>
      <c r="AD12" s="32"/>
      <c r="AE12" s="32"/>
      <c r="AF12" s="32"/>
      <c r="AG12" s="32"/>
      <c r="AH12" s="32"/>
      <c r="AI12" s="32"/>
      <c r="AJ12" s="32"/>
      <c r="AK12" s="32"/>
    </row>
    <row r="13" spans="1:37" ht="16.5" x14ac:dyDescent="0.35">
      <c r="A13" s="235"/>
      <c r="B13" s="14"/>
      <c r="C13" s="13"/>
      <c r="D13" s="32"/>
      <c r="E13" s="32"/>
      <c r="F13" s="32"/>
      <c r="G13" s="32"/>
      <c r="H13" s="32"/>
      <c r="I13" s="32"/>
      <c r="J13" s="32"/>
      <c r="K13" s="13"/>
      <c r="L13" s="13"/>
      <c r="M13" s="13"/>
      <c r="N13" s="3"/>
      <c r="O13" s="201">
        <v>3086477.6666666665</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35">
      <c r="A14" s="235"/>
      <c r="B14" s="14"/>
      <c r="C14" s="32"/>
      <c r="D14" s="32"/>
      <c r="E14" s="32"/>
      <c r="F14" s="32"/>
      <c r="G14" s="32"/>
      <c r="H14" s="32"/>
      <c r="I14" s="32"/>
      <c r="J14" s="32"/>
      <c r="K14" s="13"/>
      <c r="L14" s="13"/>
      <c r="M14" s="13"/>
      <c r="N14" s="3"/>
      <c r="O14" s="201">
        <v>1077082.3333333333</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35">
      <c r="A15" s="235"/>
      <c r="B15" s="14"/>
      <c r="C15" s="32"/>
      <c r="D15" s="32"/>
      <c r="E15" s="32"/>
      <c r="F15" s="32"/>
      <c r="G15" s="32"/>
      <c r="H15" s="32"/>
      <c r="I15" s="32"/>
      <c r="J15" s="32"/>
      <c r="K15" s="13"/>
      <c r="L15" s="13"/>
      <c r="M15" s="13"/>
      <c r="N15" s="3"/>
      <c r="O15" s="201">
        <v>951210.66666666663</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35">
      <c r="A16" s="235"/>
      <c r="B16" s="14"/>
      <c r="C16" s="32"/>
      <c r="D16" s="32"/>
      <c r="E16" s="32"/>
      <c r="F16" s="32"/>
      <c r="G16" s="32"/>
      <c r="H16" s="32"/>
      <c r="I16" s="32"/>
      <c r="J16" s="32"/>
      <c r="K16" s="13"/>
      <c r="L16" s="13"/>
      <c r="M16" s="13"/>
      <c r="N16" s="3"/>
      <c r="O16" s="201">
        <v>2804395</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35">
      <c r="A17" s="235"/>
      <c r="B17" s="14"/>
      <c r="C17" s="32"/>
      <c r="D17" s="32"/>
      <c r="E17" s="32"/>
      <c r="F17" s="32"/>
      <c r="G17" s="32"/>
      <c r="H17" s="32"/>
      <c r="I17" s="32"/>
      <c r="J17" s="32"/>
      <c r="K17" s="13"/>
      <c r="L17" s="13"/>
      <c r="M17" s="13"/>
      <c r="N17" s="3"/>
      <c r="O17" s="201">
        <v>2275364</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35">
      <c r="A18" s="235"/>
      <c r="B18" s="14"/>
      <c r="C18" s="32"/>
      <c r="D18" s="32"/>
      <c r="E18" s="32"/>
      <c r="F18" s="32"/>
      <c r="G18" s="32"/>
      <c r="H18" s="32"/>
      <c r="I18" s="32"/>
      <c r="J18" s="32"/>
      <c r="K18" s="13"/>
      <c r="L18" s="13"/>
      <c r="M18" s="13"/>
      <c r="N18" s="3"/>
      <c r="O18" s="201">
        <v>2722338.5</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35">
      <c r="A19" s="235"/>
      <c r="B19" s="14"/>
      <c r="C19" s="32"/>
      <c r="D19" s="32"/>
      <c r="E19" s="32"/>
      <c r="F19" s="32"/>
      <c r="G19" s="32"/>
      <c r="H19" s="32"/>
      <c r="I19" s="32"/>
      <c r="J19" s="32"/>
      <c r="K19" s="13"/>
      <c r="L19" s="13"/>
      <c r="M19" s="13"/>
      <c r="N19" s="3"/>
      <c r="O19" s="201">
        <v>3706030</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35">
      <c r="A20" s="235"/>
      <c r="B20" s="14"/>
      <c r="C20" s="32"/>
      <c r="D20" s="32"/>
      <c r="E20" s="32"/>
      <c r="F20" s="32"/>
      <c r="G20" s="32"/>
      <c r="H20" s="32"/>
      <c r="I20" s="32"/>
      <c r="J20" s="32"/>
      <c r="K20" s="13"/>
      <c r="L20" s="13"/>
      <c r="M20" s="13"/>
      <c r="N20" s="3"/>
      <c r="O20" s="201">
        <v>3701084.3333333335</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3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35">
      <c r="A22" s="3" t="str">
        <f>A4</f>
        <v>Noms des groupes</v>
      </c>
      <c r="B22" s="3" t="str">
        <f t="shared" ref="B22:AD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 0,032 ug/L</v>
      </c>
      <c r="J22" s="3" t="str">
        <f t="shared" si="0"/>
        <v>Anastrozole 0,16 ug/L</v>
      </c>
      <c r="K22" s="3" t="str">
        <f t="shared" si="0"/>
        <v>Anastrozole 0,8 ug/L</v>
      </c>
      <c r="L22" s="3" t="str">
        <f t="shared" si="0"/>
        <v>Anastrozole 4 ug/L</v>
      </c>
      <c r="M22" s="3" t="str">
        <f t="shared" si="0"/>
        <v>Anastrozole 20 ug/L</v>
      </c>
      <c r="N22" s="3" t="s">
        <v>41</v>
      </c>
      <c r="O22" s="3" t="str">
        <f t="shared" si="0"/>
        <v>Testo -30µg/L</v>
      </c>
      <c r="P22" s="3" t="str">
        <f t="shared" si="0"/>
        <v>Testo 30µg/L + EE2 -64ng/L</v>
      </c>
      <c r="Q22" s="3" t="str">
        <f t="shared" si="0"/>
        <v>Testo 30µg/L + FAD-10mg/L</v>
      </c>
      <c r="R22" s="3" t="str">
        <f t="shared" si="0"/>
        <v>Anastrozole-0,032ug/L + Testostérone</v>
      </c>
      <c r="S22" s="3" t="str">
        <f t="shared" si="0"/>
        <v>Anastrozole-0,16ug/L + Testostérone</v>
      </c>
      <c r="T22" s="3" t="str">
        <f t="shared" si="0"/>
        <v>Anastrozole-0,8ug/L + Testostérone</v>
      </c>
      <c r="U22" s="3" t="str">
        <f t="shared" si="0"/>
        <v>Anastrozole-4ug/L + Testostérone</v>
      </c>
      <c r="V22" s="3" t="str">
        <f t="shared" si="0"/>
        <v>Anastrozole-20ug/L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35">
      <c r="A23" s="5" t="s">
        <v>0</v>
      </c>
      <c r="B23" s="5">
        <f t="shared" ref="B23:J23" si="2">AVERAGE(B5:B20)</f>
        <v>95277.833333333328</v>
      </c>
      <c r="C23" s="5">
        <f t="shared" si="2"/>
        <v>113396.58333333334</v>
      </c>
      <c r="D23" s="5">
        <f t="shared" si="2"/>
        <v>180634.95833333334</v>
      </c>
      <c r="E23" s="5">
        <f t="shared" si="2"/>
        <v>377270.41666666663</v>
      </c>
      <c r="F23" s="5">
        <f t="shared" si="2"/>
        <v>1484659.2708333333</v>
      </c>
      <c r="G23" s="5">
        <f t="shared" si="2"/>
        <v>3376507.708333333</v>
      </c>
      <c r="H23" s="5">
        <f t="shared" si="2"/>
        <v>4308442.541666667</v>
      </c>
      <c r="I23" s="5">
        <f t="shared" si="2"/>
        <v>108184.66666666667</v>
      </c>
      <c r="J23" s="5">
        <f t="shared" si="2"/>
        <v>132321.83333333331</v>
      </c>
      <c r="K23" s="5"/>
      <c r="L23" s="5">
        <f>AVERAGE(L5:L20)</f>
        <v>103132.38095238095</v>
      </c>
      <c r="M23" s="5"/>
      <c r="N23" s="5" t="s">
        <v>0</v>
      </c>
      <c r="O23" s="5">
        <f>AVERAGE(O5:O20)</f>
        <v>2329128.7187500005</v>
      </c>
      <c r="P23" s="5">
        <f>AVERAGE(P5:P20)</f>
        <v>3276225.1666666665</v>
      </c>
      <c r="Q23" s="5">
        <f>AVERAGE(Q5:Q20)</f>
        <v>245096.85416666666</v>
      </c>
      <c r="R23" s="5">
        <f>AVERAGE(R5:R20)</f>
        <v>1564500.5833333333</v>
      </c>
      <c r="S23" s="5">
        <f>AVERAGE(S5:S20)</f>
        <v>1124430.5625000002</v>
      </c>
      <c r="T23" s="5">
        <f t="shared" ref="T23:AD23" si="3">AVERAGE(T5:T20)</f>
        <v>291749.69047619047</v>
      </c>
      <c r="U23" s="5">
        <f t="shared" si="3"/>
        <v>133696.47619047618</v>
      </c>
      <c r="V23" s="5">
        <f t="shared" si="3"/>
        <v>292661.04166666663</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35">
      <c r="A24" s="3" t="s">
        <v>1</v>
      </c>
      <c r="B24" s="3">
        <f t="shared" ref="B24:J24" si="5">STDEV(B5:B20)</f>
        <v>43533.49408925329</v>
      </c>
      <c r="C24" s="3">
        <f t="shared" si="5"/>
        <v>96488.027081207387</v>
      </c>
      <c r="D24" s="3">
        <f t="shared" si="5"/>
        <v>219000.05488760912</v>
      </c>
      <c r="E24" s="3">
        <f t="shared" si="5"/>
        <v>243084.66097289958</v>
      </c>
      <c r="F24" s="3">
        <f t="shared" si="5"/>
        <v>869737.75000968226</v>
      </c>
      <c r="G24" s="3">
        <f t="shared" si="5"/>
        <v>1146028.6712857455</v>
      </c>
      <c r="H24" s="3">
        <f t="shared" si="5"/>
        <v>1305809.9754145276</v>
      </c>
      <c r="I24" s="3">
        <f t="shared" si="5"/>
        <v>50727.418846784851</v>
      </c>
      <c r="J24" s="3">
        <f t="shared" si="5"/>
        <v>88047.796310542981</v>
      </c>
      <c r="K24" s="3"/>
      <c r="L24" s="3">
        <f>STDEV(L5:L20)</f>
        <v>51300.180512074505</v>
      </c>
      <c r="M24" s="3"/>
      <c r="N24" s="3" t="s">
        <v>1</v>
      </c>
      <c r="O24" s="3">
        <f>STDEV(O5:O20)</f>
        <v>1275724.4845726499</v>
      </c>
      <c r="P24" s="3">
        <f>STDEV(P5:P20)</f>
        <v>1258298.1403125927</v>
      </c>
      <c r="Q24" s="3">
        <f>STDEV(Q5:Q20)</f>
        <v>156228.31062723551</v>
      </c>
      <c r="R24" s="3">
        <f>STDEV(R5:R20)</f>
        <v>975695.86414292629</v>
      </c>
      <c r="S24" s="3">
        <f>STDEV(S5:S20)</f>
        <v>1023041.2021782139</v>
      </c>
      <c r="T24" s="3">
        <f t="shared" ref="T24:AD24" si="6">STDEV(T5:T20)</f>
        <v>380137.59339528077</v>
      </c>
      <c r="U24" s="3">
        <f t="shared" si="6"/>
        <v>134888.76506820106</v>
      </c>
      <c r="V24" s="3">
        <f t="shared" si="6"/>
        <v>467856.99752603617</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 thickBot="1" x14ac:dyDescent="0.4"/>
    <row r="26" spans="1:37" ht="15" thickBot="1" x14ac:dyDescent="0.4">
      <c r="B26" s="232" t="s">
        <v>6</v>
      </c>
      <c r="C26" s="233"/>
      <c r="D26" s="233"/>
      <c r="E26" s="233"/>
      <c r="F26" s="233"/>
      <c r="G26" s="233"/>
      <c r="H26" s="233"/>
      <c r="I26" s="233"/>
      <c r="J26" s="233"/>
      <c r="K26" s="233"/>
      <c r="L26" s="233"/>
      <c r="M26" s="233"/>
      <c r="O26" s="232" t="s">
        <v>3</v>
      </c>
      <c r="P26" s="233"/>
      <c r="Q26" s="233"/>
      <c r="R26" s="233"/>
      <c r="S26" s="233"/>
      <c r="T26" s="233"/>
      <c r="U26" s="233"/>
      <c r="V26" s="233"/>
      <c r="W26" s="233"/>
      <c r="X26" s="233"/>
      <c r="Y26" s="233"/>
      <c r="Z26" s="233"/>
      <c r="AA26" s="233"/>
      <c r="AB26" s="233"/>
      <c r="AC26" s="233"/>
      <c r="AD26" s="233"/>
      <c r="AE26" s="233"/>
      <c r="AF26" s="233"/>
      <c r="AG26" s="233"/>
      <c r="AH26" s="233"/>
      <c r="AI26" s="233"/>
      <c r="AJ26" s="233"/>
      <c r="AK26" s="234"/>
    </row>
    <row r="27" spans="1:37" x14ac:dyDescent="0.35">
      <c r="A27" s="34" t="s">
        <v>41</v>
      </c>
      <c r="B27" s="35" t="str">
        <f>B4</f>
        <v>Témoin solvant</v>
      </c>
      <c r="C27" s="35" t="str">
        <f t="shared" ref="C27:M27" si="8">C4</f>
        <v>EE2-33,8ng/L</v>
      </c>
      <c r="D27" s="35" t="str">
        <f t="shared" si="8"/>
        <v>EE2-50,6ng/L</v>
      </c>
      <c r="E27" s="35" t="str">
        <f t="shared" si="8"/>
        <v>EE2-76ng/L</v>
      </c>
      <c r="F27" s="35" t="str">
        <f t="shared" si="8"/>
        <v>EE2-114ng/L</v>
      </c>
      <c r="G27" s="35" t="str">
        <f t="shared" si="8"/>
        <v>EE2-170,9ng/L</v>
      </c>
      <c r="H27" s="35" t="str">
        <f t="shared" si="8"/>
        <v>EE2-488ng/L</v>
      </c>
      <c r="I27" s="35" t="str">
        <f t="shared" si="8"/>
        <v>Anastrozole 0,032 ug/L</v>
      </c>
      <c r="J27" s="35" t="str">
        <f t="shared" si="8"/>
        <v>Anastrozole 0,16 ug/L</v>
      </c>
      <c r="K27" s="35" t="str">
        <f t="shared" si="8"/>
        <v>Anastrozole 0,8 ug/L</v>
      </c>
      <c r="L27" s="35" t="str">
        <f t="shared" si="8"/>
        <v>Anastrozole 4 ug/L</v>
      </c>
      <c r="M27" s="35" t="str">
        <f t="shared" si="8"/>
        <v>Anastrozole 20 ug/L</v>
      </c>
      <c r="N27" s="3"/>
      <c r="O27" s="36" t="str">
        <f>O4</f>
        <v>Testo -30µg/L</v>
      </c>
      <c r="P27" s="36" t="str">
        <f t="shared" ref="P27:R27" si="9">P4</f>
        <v>Testo 30µg/L + EE2 -64ng/L</v>
      </c>
      <c r="Q27" s="36" t="str">
        <f t="shared" si="9"/>
        <v>Testo 30µg/L + FAD-10mg/L</v>
      </c>
      <c r="R27" s="36" t="str">
        <f t="shared" si="9"/>
        <v>Anastrozole-0,032ug/L + Testostérone</v>
      </c>
      <c r="S27" s="36" t="str">
        <f t="shared" ref="S27:AK27" si="10">S4</f>
        <v>Anastrozole-0,16ug/L + Testostérone</v>
      </c>
      <c r="T27" s="36" t="str">
        <f t="shared" si="10"/>
        <v>Anastrozole-0,8ug/L + Testostérone</v>
      </c>
      <c r="U27" s="36" t="str">
        <f t="shared" si="10"/>
        <v>Anastrozole-4ug/L + Testostérone</v>
      </c>
      <c r="V27" s="36" t="str">
        <f t="shared" si="10"/>
        <v>Anastrozole-20ug/L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si="10"/>
        <v>0-00 + Testostérone</v>
      </c>
      <c r="AF27" s="36" t="str">
        <f t="shared" si="10"/>
        <v>0-00 + Testostérone</v>
      </c>
      <c r="AG27" s="36" t="str">
        <f t="shared" si="10"/>
        <v>0-00 + Testostérone</v>
      </c>
      <c r="AH27" s="36" t="str">
        <f t="shared" si="10"/>
        <v>0-00 + Testostérone</v>
      </c>
      <c r="AI27" s="36" t="str">
        <f t="shared" si="10"/>
        <v>0-00 + Testostérone</v>
      </c>
      <c r="AJ27" s="36" t="str">
        <f t="shared" si="10"/>
        <v>0-00 + Testostérone</v>
      </c>
      <c r="AK27" s="36" t="str">
        <f t="shared" si="10"/>
        <v>0-00 + Testostérone</v>
      </c>
    </row>
    <row r="28" spans="1:37" x14ac:dyDescent="0.35">
      <c r="A28" s="236" t="s">
        <v>34</v>
      </c>
      <c r="B28" s="11">
        <f t="shared" ref="B28:M28" si="11">IF(B5="","",(B5/$O$23))</f>
        <v>1.111002000806301E-2</v>
      </c>
      <c r="C28" s="11">
        <f t="shared" si="11"/>
        <v>8.660777957129237E-2</v>
      </c>
      <c r="D28" s="11">
        <f t="shared" si="11"/>
        <v>0.15294860998115453</v>
      </c>
      <c r="E28" s="11">
        <f t="shared" si="11"/>
        <v>8.5468583908994533E-2</v>
      </c>
      <c r="F28" s="11">
        <f t="shared" si="11"/>
        <v>0.20945665049453374</v>
      </c>
      <c r="G28" s="11">
        <f t="shared" si="11"/>
        <v>2.0649790461478759</v>
      </c>
      <c r="H28" s="11">
        <f t="shared" si="11"/>
        <v>2.3719381796546886</v>
      </c>
      <c r="I28" s="11">
        <f t="shared" si="11"/>
        <v>3.2955527982953668E-2</v>
      </c>
      <c r="J28" s="11">
        <f t="shared" si="11"/>
        <v>6.2353931821885623E-2</v>
      </c>
      <c r="K28" s="11">
        <f t="shared" si="11"/>
        <v>0.18541482766644535</v>
      </c>
      <c r="L28" s="11">
        <f t="shared" si="11"/>
        <v>3.4989192601201452E-2</v>
      </c>
      <c r="M28" s="11">
        <f t="shared" si="11"/>
        <v>1.1992181071179078E-2</v>
      </c>
      <c r="N28" s="6"/>
      <c r="O28" s="11">
        <f t="shared" ref="O28:S37" si="12">IF(O5="","",(O5/$O$23))</f>
        <v>0.12769510372657814</v>
      </c>
      <c r="P28" s="11">
        <f t="shared" si="12"/>
        <v>1.8077996145527537</v>
      </c>
      <c r="Q28" s="11">
        <f t="shared" si="12"/>
        <v>0.10559420697538464</v>
      </c>
      <c r="R28" s="11">
        <f t="shared" si="12"/>
        <v>0.77806047618208718</v>
      </c>
      <c r="S28" s="11">
        <f t="shared" si="12"/>
        <v>1.0170813292812277</v>
      </c>
      <c r="T28" s="11">
        <f t="shared" ref="T28:AK28" si="13">IF(T5="","",(T5/$O$23))</f>
        <v>6.4201403782262866E-3</v>
      </c>
      <c r="U28" s="11">
        <f t="shared" si="13"/>
        <v>2.3433369265492995E-2</v>
      </c>
      <c r="V28" s="11">
        <f t="shared" si="13"/>
        <v>0.61874725445549172</v>
      </c>
      <c r="W28" s="11" t="str">
        <f t="shared" si="13"/>
        <v/>
      </c>
      <c r="X28" s="11" t="str">
        <f t="shared" si="13"/>
        <v/>
      </c>
      <c r="Y28" s="11" t="str">
        <f t="shared" si="13"/>
        <v/>
      </c>
      <c r="Z28" s="11" t="str">
        <f t="shared" si="13"/>
        <v/>
      </c>
      <c r="AA28" s="11" t="str">
        <f t="shared" si="13"/>
        <v/>
      </c>
      <c r="AB28" s="11" t="str">
        <f t="shared" si="13"/>
        <v/>
      </c>
      <c r="AC28" s="11" t="str">
        <f t="shared" si="13"/>
        <v/>
      </c>
      <c r="AD28" s="11" t="str">
        <f t="shared" si="13"/>
        <v/>
      </c>
      <c r="AE28" s="11" t="str">
        <f t="shared" si="13"/>
        <v/>
      </c>
      <c r="AF28" s="11" t="str">
        <f t="shared" si="13"/>
        <v/>
      </c>
      <c r="AG28" s="11" t="str">
        <f t="shared" si="13"/>
        <v/>
      </c>
      <c r="AH28" s="11" t="str">
        <f t="shared" si="13"/>
        <v/>
      </c>
      <c r="AI28" s="11" t="str">
        <f t="shared" si="13"/>
        <v/>
      </c>
      <c r="AJ28" s="11" t="str">
        <f t="shared" si="13"/>
        <v/>
      </c>
      <c r="AK28" s="11" t="str">
        <f t="shared" si="13"/>
        <v/>
      </c>
    </row>
    <row r="29" spans="1:37" x14ac:dyDescent="0.35">
      <c r="A29" s="236"/>
      <c r="B29" s="11">
        <f t="shared" ref="B29:M29" si="14">IF(B6="","",(B6/$O$23))</f>
        <v>6.8743159352994271E-2</v>
      </c>
      <c r="C29" s="11">
        <f t="shared" si="14"/>
        <v>0.12666739467494989</v>
      </c>
      <c r="D29" s="11">
        <f t="shared" si="14"/>
        <v>5.9930135623810714E-2</v>
      </c>
      <c r="E29" s="11">
        <f t="shared" si="14"/>
        <v>0.30575181508882987</v>
      </c>
      <c r="F29" s="11">
        <f t="shared" si="14"/>
        <v>1.2621569500794683</v>
      </c>
      <c r="G29" s="11">
        <f t="shared" si="14"/>
        <v>0.64036363526262619</v>
      </c>
      <c r="H29" s="11">
        <f t="shared" si="14"/>
        <v>1.4545648076010465</v>
      </c>
      <c r="I29" s="11">
        <f t="shared" si="14"/>
        <v>1.8208096297382875E-2</v>
      </c>
      <c r="J29" s="11">
        <f t="shared" si="14"/>
        <v>2.0121114942852129E-2</v>
      </c>
      <c r="K29" s="11">
        <f t="shared" si="14"/>
        <v>3.4091503557010093E-2</v>
      </c>
      <c r="L29" s="11">
        <f t="shared" si="14"/>
        <v>7.5745348570236307E-2</v>
      </c>
      <c r="M29" s="11">
        <f t="shared" si="14"/>
        <v>6.5480279716721851E-2</v>
      </c>
      <c r="N29" s="6"/>
      <c r="O29" s="11">
        <f t="shared" si="12"/>
        <v>2.8999256012028848E-2</v>
      </c>
      <c r="P29" s="11">
        <f t="shared" si="12"/>
        <v>1.2909302274544658</v>
      </c>
      <c r="Q29" s="11">
        <f t="shared" si="12"/>
        <v>0.11822575445627674</v>
      </c>
      <c r="R29" s="11">
        <f t="shared" si="12"/>
        <v>0.9212998760977128</v>
      </c>
      <c r="S29" s="11">
        <f t="shared" si="12"/>
        <v>8.9152078627112857E-3</v>
      </c>
      <c r="T29" s="11">
        <f t="shared" ref="T29:AK29" si="15">IF(T6="","",(T6/$O$23))</f>
        <v>6.3241101911155001E-3</v>
      </c>
      <c r="U29" s="11">
        <f t="shared" si="15"/>
        <v>5.4178628679536121E-2</v>
      </c>
      <c r="V29" s="11">
        <f t="shared" si="15"/>
        <v>0.10341664019150364</v>
      </c>
      <c r="W29" s="11" t="str">
        <f t="shared" si="15"/>
        <v/>
      </c>
      <c r="X29" s="11" t="str">
        <f t="shared" si="15"/>
        <v/>
      </c>
      <c r="Y29" s="11" t="str">
        <f t="shared" si="15"/>
        <v/>
      </c>
      <c r="Z29" s="11" t="str">
        <f t="shared" si="15"/>
        <v/>
      </c>
      <c r="AA29" s="11" t="str">
        <f t="shared" si="15"/>
        <v/>
      </c>
      <c r="AB29" s="11" t="str">
        <f t="shared" si="15"/>
        <v/>
      </c>
      <c r="AC29" s="11" t="str">
        <f t="shared" si="15"/>
        <v/>
      </c>
      <c r="AD29" s="11" t="str">
        <f t="shared" si="15"/>
        <v/>
      </c>
      <c r="AE29" s="11" t="str">
        <f t="shared" si="15"/>
        <v/>
      </c>
      <c r="AF29" s="11" t="str">
        <f t="shared" si="15"/>
        <v/>
      </c>
      <c r="AG29" s="11" t="str">
        <f t="shared" si="15"/>
        <v/>
      </c>
      <c r="AH29" s="11" t="str">
        <f t="shared" si="15"/>
        <v/>
      </c>
      <c r="AI29" s="11" t="str">
        <f t="shared" si="15"/>
        <v/>
      </c>
      <c r="AJ29" s="11" t="str">
        <f t="shared" si="15"/>
        <v/>
      </c>
      <c r="AK29" s="11" t="str">
        <f t="shared" si="15"/>
        <v/>
      </c>
    </row>
    <row r="30" spans="1:37" x14ac:dyDescent="0.35">
      <c r="A30" s="236"/>
      <c r="B30" s="11">
        <f t="shared" ref="B30:M30" si="16">IF(B7="","",(B7/$O$23))</f>
        <v>3.9895605275894537E-2</v>
      </c>
      <c r="C30" s="11">
        <f t="shared" si="16"/>
        <v>5.3116858250065305E-2</v>
      </c>
      <c r="D30" s="11">
        <f t="shared" si="16"/>
        <v>2.6776679550284441E-2</v>
      </c>
      <c r="E30" s="11">
        <f t="shared" si="16"/>
        <v>5.3574969470544631E-2</v>
      </c>
      <c r="F30" s="11">
        <f t="shared" si="16"/>
        <v>0.55470012867875118</v>
      </c>
      <c r="G30" s="11">
        <f t="shared" si="16"/>
        <v>0.81845755653344554</v>
      </c>
      <c r="H30" s="11">
        <f t="shared" si="16"/>
        <v>0.90065567570942118</v>
      </c>
      <c r="I30" s="11">
        <f t="shared" si="16"/>
        <v>2.0993973528826315E-2</v>
      </c>
      <c r="J30" s="11">
        <f t="shared" si="16"/>
        <v>2.6541398436111367E-2</v>
      </c>
      <c r="K30" s="11">
        <f t="shared" si="16"/>
        <v>0.14248575615210043</v>
      </c>
      <c r="L30" s="11">
        <f t="shared" si="16"/>
        <v>5.5580869772399726E-2</v>
      </c>
      <c r="M30" s="11">
        <f t="shared" si="16"/>
        <v>1.0949015595992021E-2</v>
      </c>
      <c r="N30" s="6"/>
      <c r="O30" s="11">
        <f t="shared" si="12"/>
        <v>1.0767761837908654</v>
      </c>
      <c r="P30" s="11">
        <f t="shared" si="12"/>
        <v>1.4477083094873497</v>
      </c>
      <c r="Q30" s="11">
        <f t="shared" si="12"/>
        <v>0.19749073103190135</v>
      </c>
      <c r="R30" s="11">
        <f t="shared" si="12"/>
        <v>0.7683960611218722</v>
      </c>
      <c r="S30" s="11">
        <f t="shared" si="12"/>
        <v>0.62371892758521097</v>
      </c>
      <c r="T30" s="11">
        <f t="shared" ref="T30:AK30" si="17">IF(T7="","",(T7/$O$23))</f>
        <v>6.4873758207071322E-2</v>
      </c>
      <c r="U30" s="11">
        <f t="shared" si="17"/>
        <v>0.17954582328011717</v>
      </c>
      <c r="V30" s="11">
        <f t="shared" si="17"/>
        <v>3.8310606285951239E-2</v>
      </c>
      <c r="W30" s="11" t="str">
        <f t="shared" si="17"/>
        <v/>
      </c>
      <c r="X30" s="11" t="str">
        <f t="shared" si="17"/>
        <v/>
      </c>
      <c r="Y30" s="11" t="str">
        <f t="shared" si="17"/>
        <v/>
      </c>
      <c r="Z30" s="11" t="str">
        <f t="shared" si="17"/>
        <v/>
      </c>
      <c r="AA30" s="11" t="str">
        <f t="shared" si="17"/>
        <v/>
      </c>
      <c r="AB30" s="11" t="str">
        <f t="shared" si="17"/>
        <v/>
      </c>
      <c r="AC30" s="11" t="str">
        <f t="shared" si="17"/>
        <v/>
      </c>
      <c r="AD30" s="11" t="str">
        <f t="shared" si="17"/>
        <v/>
      </c>
      <c r="AE30" s="11" t="str">
        <f t="shared" si="17"/>
        <v/>
      </c>
      <c r="AF30" s="11" t="str">
        <f t="shared" si="17"/>
        <v/>
      </c>
      <c r="AG30" s="11" t="str">
        <f t="shared" si="17"/>
        <v/>
      </c>
      <c r="AH30" s="11" t="str">
        <f t="shared" si="17"/>
        <v/>
      </c>
      <c r="AI30" s="11" t="str">
        <f t="shared" si="17"/>
        <v/>
      </c>
      <c r="AJ30" s="11" t="str">
        <f t="shared" si="17"/>
        <v/>
      </c>
      <c r="AK30" s="11" t="str">
        <f t="shared" si="17"/>
        <v/>
      </c>
    </row>
    <row r="31" spans="1:37" x14ac:dyDescent="0.35">
      <c r="A31" s="236"/>
      <c r="B31" s="11">
        <f t="shared" ref="B31:M31" si="18">IF(B8="","",(B8/$O$23))</f>
        <v>5.7165725647310067E-2</v>
      </c>
      <c r="C31" s="11">
        <f t="shared" si="18"/>
        <v>5.3213031552209042E-3</v>
      </c>
      <c r="D31" s="11">
        <f t="shared" si="18"/>
        <v>4.2313247527552507E-2</v>
      </c>
      <c r="E31" s="11">
        <f t="shared" si="18"/>
        <v>0.31593616706375938</v>
      </c>
      <c r="F31" s="11">
        <f t="shared" si="18"/>
        <v>0.28251036308252547</v>
      </c>
      <c r="G31" s="11">
        <f t="shared" si="18"/>
        <v>1.4603535244538888</v>
      </c>
      <c r="H31" s="11">
        <f t="shared" si="18"/>
        <v>2.4847559032457753</v>
      </c>
      <c r="I31" s="11">
        <f t="shared" si="18"/>
        <v>5.5450921322479314E-2</v>
      </c>
      <c r="J31" s="11">
        <f t="shared" si="18"/>
        <v>0.12086007286782403</v>
      </c>
      <c r="K31" s="11">
        <f t="shared" si="18"/>
        <v>4.4359506268700069E-2</v>
      </c>
      <c r="L31" s="11">
        <f t="shared" si="18"/>
        <v>3.2261992533268322E-2</v>
      </c>
      <c r="M31" s="11">
        <f t="shared" si="18"/>
        <v>6.3688050159064064E-2</v>
      </c>
      <c r="N31" s="6"/>
      <c r="O31" s="11">
        <f t="shared" si="12"/>
        <v>1.5518151934827809</v>
      </c>
      <c r="P31" s="11">
        <f t="shared" si="12"/>
        <v>1.4636192663908201</v>
      </c>
      <c r="Q31" s="11">
        <f t="shared" si="12"/>
        <v>6.4944886378448446E-2</v>
      </c>
      <c r="R31" s="11">
        <f t="shared" si="12"/>
        <v>0.2424631989867348</v>
      </c>
      <c r="S31" s="11">
        <f t="shared" si="12"/>
        <v>9.0499506662355851E-3</v>
      </c>
      <c r="T31" s="11">
        <f t="shared" ref="T31:AK31" si="19">IF(T8="","",(T8/$O$23))</f>
        <v>0.1169720667676173</v>
      </c>
      <c r="U31" s="11">
        <f t="shared" si="19"/>
        <v>4.4418326547243335E-2</v>
      </c>
      <c r="V31" s="11">
        <f t="shared" si="19"/>
        <v>4.6588236676861412E-2</v>
      </c>
      <c r="W31" s="11" t="str">
        <f t="shared" si="19"/>
        <v/>
      </c>
      <c r="X31" s="11" t="str">
        <f t="shared" si="19"/>
        <v/>
      </c>
      <c r="Y31" s="11" t="str">
        <f t="shared" si="19"/>
        <v/>
      </c>
      <c r="Z31" s="11" t="str">
        <f t="shared" si="19"/>
        <v/>
      </c>
      <c r="AA31" s="11" t="str">
        <f t="shared" si="19"/>
        <v/>
      </c>
      <c r="AB31" s="11" t="str">
        <f t="shared" si="19"/>
        <v/>
      </c>
      <c r="AC31" s="11" t="str">
        <f t="shared" si="19"/>
        <v/>
      </c>
      <c r="AD31" s="11" t="str">
        <f t="shared" si="19"/>
        <v/>
      </c>
      <c r="AE31" s="11" t="str">
        <f t="shared" si="19"/>
        <v/>
      </c>
      <c r="AF31" s="11" t="str">
        <f t="shared" si="19"/>
        <v/>
      </c>
      <c r="AG31" s="11" t="str">
        <f t="shared" si="19"/>
        <v/>
      </c>
      <c r="AH31" s="11" t="str">
        <f t="shared" si="19"/>
        <v/>
      </c>
      <c r="AI31" s="11" t="str">
        <f t="shared" si="19"/>
        <v/>
      </c>
      <c r="AJ31" s="11" t="str">
        <f t="shared" si="19"/>
        <v/>
      </c>
      <c r="AK31" s="11" t="str">
        <f t="shared" si="19"/>
        <v/>
      </c>
    </row>
    <row r="32" spans="1:37" x14ac:dyDescent="0.35">
      <c r="A32" s="236"/>
      <c r="B32" s="11">
        <f t="shared" ref="B32:M32" si="20">IF(B9="","",(B9/$O$23))</f>
        <v>3.0574809409797312E-2</v>
      </c>
      <c r="C32" s="11">
        <f t="shared" si="20"/>
        <v>5.6695163418963926E-2</v>
      </c>
      <c r="D32" s="11">
        <f t="shared" si="20"/>
        <v>1.3583477122572258E-2</v>
      </c>
      <c r="E32" s="11">
        <f t="shared" si="20"/>
        <v>9.3634584574202151E-2</v>
      </c>
      <c r="F32" s="11">
        <f t="shared" si="20"/>
        <v>0.7468541001318727</v>
      </c>
      <c r="G32" s="11">
        <f t="shared" si="20"/>
        <v>1.5855937760202414</v>
      </c>
      <c r="H32" s="11">
        <f t="shared" si="20"/>
        <v>1.6055324192960796</v>
      </c>
      <c r="I32" s="11">
        <f t="shared" si="20"/>
        <v>7.6729693766880103E-2</v>
      </c>
      <c r="J32" s="11">
        <f t="shared" si="20"/>
        <v>3.4091575114526568E-2</v>
      </c>
      <c r="K32" s="11">
        <f t="shared" si="20"/>
        <v>0.21779760928752517</v>
      </c>
      <c r="L32" s="11">
        <f t="shared" si="20"/>
        <v>3.1813183789930879E-2</v>
      </c>
      <c r="M32" s="11">
        <f t="shared" si="20"/>
        <v>4.8157779243245893E-2</v>
      </c>
      <c r="N32" s="6"/>
      <c r="O32" s="11">
        <f t="shared" si="12"/>
        <v>1.4710672589357077</v>
      </c>
      <c r="P32" s="11">
        <f t="shared" si="12"/>
        <v>0.50810888658619768</v>
      </c>
      <c r="Q32" s="11">
        <f t="shared" si="12"/>
        <v>0.16538659437997907</v>
      </c>
      <c r="R32" s="11">
        <f t="shared" si="12"/>
        <v>1.0832706008711936</v>
      </c>
      <c r="S32" s="11">
        <f t="shared" si="12"/>
        <v>0.35619084795733047</v>
      </c>
      <c r="T32" s="11">
        <f t="shared" ref="T32:AK32" si="21">IF(T9="","",(T9/$O$23))</f>
        <v>0.45606474706562405</v>
      </c>
      <c r="U32" s="11">
        <f t="shared" si="21"/>
        <v>2.282055069439257E-2</v>
      </c>
      <c r="V32" s="11">
        <f t="shared" si="21"/>
        <v>8.3846518125516675E-2</v>
      </c>
      <c r="W32" s="11" t="str">
        <f t="shared" si="21"/>
        <v/>
      </c>
      <c r="X32" s="11" t="str">
        <f t="shared" si="21"/>
        <v/>
      </c>
      <c r="Y32" s="11" t="str">
        <f t="shared" si="21"/>
        <v/>
      </c>
      <c r="Z32" s="11" t="str">
        <f t="shared" si="21"/>
        <v/>
      </c>
      <c r="AA32" s="11" t="str">
        <f t="shared" si="21"/>
        <v/>
      </c>
      <c r="AB32" s="11" t="str">
        <f t="shared" si="21"/>
        <v/>
      </c>
      <c r="AC32" s="11" t="str">
        <f t="shared" si="21"/>
        <v/>
      </c>
      <c r="AD32" s="11" t="str">
        <f t="shared" si="21"/>
        <v/>
      </c>
      <c r="AE32" s="11" t="str">
        <f t="shared" si="21"/>
        <v/>
      </c>
      <c r="AF32" s="11" t="str">
        <f t="shared" si="21"/>
        <v/>
      </c>
      <c r="AG32" s="11" t="str">
        <f t="shared" si="21"/>
        <v/>
      </c>
      <c r="AH32" s="11" t="str">
        <f t="shared" si="21"/>
        <v/>
      </c>
      <c r="AI32" s="11" t="str">
        <f t="shared" si="21"/>
        <v/>
      </c>
      <c r="AJ32" s="11" t="str">
        <f t="shared" si="21"/>
        <v/>
      </c>
      <c r="AK32" s="11" t="str">
        <f t="shared" si="21"/>
        <v/>
      </c>
    </row>
    <row r="33" spans="1:37" x14ac:dyDescent="0.35">
      <c r="A33" s="236"/>
      <c r="B33" s="11">
        <f t="shared" ref="B33:M33" si="22">IF(B10="","",(B10/$O$23))</f>
        <v>5.6038980992879045E-2</v>
      </c>
      <c r="C33" s="11">
        <f t="shared" si="22"/>
        <v>2.8429658180879926E-2</v>
      </c>
      <c r="D33" s="11">
        <f t="shared" si="22"/>
        <v>1.3345047477674241E-2</v>
      </c>
      <c r="E33" s="11">
        <f t="shared" si="22"/>
        <v>0.21780991718035903</v>
      </c>
      <c r="F33" s="11">
        <f t="shared" si="22"/>
        <v>0.32344913383360707</v>
      </c>
      <c r="G33" s="11">
        <f t="shared" si="22"/>
        <v>1.8516544972152653</v>
      </c>
      <c r="H33" s="11">
        <f t="shared" si="22"/>
        <v>1.5891876807277316</v>
      </c>
      <c r="I33" s="11">
        <f t="shared" si="22"/>
        <v>6.145617122017779E-2</v>
      </c>
      <c r="J33" s="11">
        <f t="shared" si="22"/>
        <v>3.9774816188083061E-2</v>
      </c>
      <c r="K33" s="11">
        <f t="shared" si="22"/>
        <v>5.244192775466372E-2</v>
      </c>
      <c r="L33" s="11">
        <f t="shared" si="22"/>
        <v>6.5919929097950358E-2</v>
      </c>
      <c r="M33" s="11">
        <f t="shared" si="22"/>
        <v>8.4341696139530548E-2</v>
      </c>
      <c r="N33" s="6"/>
      <c r="O33" s="11">
        <f t="shared" si="12"/>
        <v>0.71010673935085611</v>
      </c>
      <c r="P33" s="11">
        <f t="shared" si="12"/>
        <v>0.77589357146816107</v>
      </c>
      <c r="Q33" s="11">
        <f t="shared" si="12"/>
        <v>1.8548566960775659E-2</v>
      </c>
      <c r="R33" s="11">
        <f t="shared" si="12"/>
        <v>0.10312869274520423</v>
      </c>
      <c r="S33" s="11">
        <f t="shared" si="12"/>
        <v>0.76873667490029796</v>
      </c>
      <c r="T33" s="11">
        <f t="shared" ref="T33:AK33" si="23">IF(T10="","",(T10/$O$23))</f>
        <v>1.7920291966116421E-2</v>
      </c>
      <c r="U33" s="11">
        <f t="shared" si="23"/>
        <v>7.2652346478077898E-3</v>
      </c>
      <c r="V33" s="11">
        <f t="shared" si="23"/>
        <v>2.6897325523062968E-2</v>
      </c>
      <c r="W33" s="11" t="str">
        <f t="shared" si="23"/>
        <v/>
      </c>
      <c r="X33" s="11" t="str">
        <f t="shared" si="23"/>
        <v/>
      </c>
      <c r="Y33" s="11" t="str">
        <f t="shared" si="23"/>
        <v/>
      </c>
      <c r="Z33" s="11" t="str">
        <f t="shared" si="23"/>
        <v/>
      </c>
      <c r="AA33" s="11" t="str">
        <f t="shared" si="23"/>
        <v/>
      </c>
      <c r="AB33" s="11" t="str">
        <f t="shared" si="23"/>
        <v/>
      </c>
      <c r="AC33" s="11" t="str">
        <f t="shared" si="23"/>
        <v/>
      </c>
      <c r="AD33" s="11" t="str">
        <f t="shared" si="23"/>
        <v/>
      </c>
      <c r="AE33" s="11" t="str">
        <f t="shared" si="23"/>
        <v/>
      </c>
      <c r="AF33" s="11" t="str">
        <f t="shared" si="23"/>
        <v/>
      </c>
      <c r="AG33" s="11" t="str">
        <f t="shared" si="23"/>
        <v/>
      </c>
      <c r="AH33" s="11" t="str">
        <f t="shared" si="23"/>
        <v/>
      </c>
      <c r="AI33" s="11" t="str">
        <f t="shared" si="23"/>
        <v/>
      </c>
      <c r="AJ33" s="11" t="str">
        <f t="shared" si="23"/>
        <v/>
      </c>
      <c r="AK33" s="11" t="str">
        <f t="shared" si="23"/>
        <v/>
      </c>
    </row>
    <row r="34" spans="1:37" x14ac:dyDescent="0.35">
      <c r="A34" s="236"/>
      <c r="B34" s="11">
        <f t="shared" ref="B34:M34" si="24">IF(B11="","",(B11/$O$23))</f>
        <v>3.4871408929081964E-2</v>
      </c>
      <c r="C34" s="11">
        <f t="shared" si="24"/>
        <v>1.2784609008634248E-2</v>
      </c>
      <c r="D34" s="11">
        <f t="shared" si="24"/>
        <v>3.0030113594382034E-2</v>
      </c>
      <c r="E34" s="11">
        <f t="shared" si="24"/>
        <v>0.13876161676462376</v>
      </c>
      <c r="F34" s="11">
        <f t="shared" si="24"/>
        <v>0.68688074376811059</v>
      </c>
      <c r="G34" s="11">
        <f t="shared" si="24"/>
        <v>1.439306884592936</v>
      </c>
      <c r="H34" s="11">
        <f t="shared" si="24"/>
        <v>1.9721074078143408</v>
      </c>
      <c r="I34" s="11">
        <f t="shared" si="24"/>
        <v>3.8994839258494708E-2</v>
      </c>
      <c r="J34" s="11">
        <f t="shared" si="24"/>
        <v>4.2876834527317449E-2</v>
      </c>
      <c r="K34" s="11" t="str">
        <f t="shared" si="24"/>
        <v/>
      </c>
      <c r="L34" s="11" t="str">
        <f t="shared" si="24"/>
        <v/>
      </c>
      <c r="M34" s="11" t="str">
        <f t="shared" si="24"/>
        <v/>
      </c>
      <c r="N34" s="6"/>
      <c r="O34" s="11">
        <f t="shared" si="12"/>
        <v>0.59660793131795065</v>
      </c>
      <c r="P34" s="11">
        <f t="shared" si="12"/>
        <v>1.9458028647577648</v>
      </c>
      <c r="Q34" s="11">
        <f t="shared" si="12"/>
        <v>0.15403828784205098</v>
      </c>
      <c r="R34" s="11">
        <f t="shared" si="12"/>
        <v>0.25916042988124349</v>
      </c>
      <c r="S34" s="11">
        <f t="shared" si="12"/>
        <v>1.0352274567693425</v>
      </c>
      <c r="T34" s="11">
        <f t="shared" ref="T34:AK34" si="25">IF(T11="","",(T11/$O$23))</f>
        <v>0.20825398331512168</v>
      </c>
      <c r="U34" s="11" t="str">
        <f t="shared" si="25"/>
        <v/>
      </c>
      <c r="V34" s="11">
        <f t="shared" si="25"/>
        <v>4.342911543947918E-2</v>
      </c>
      <c r="W34" s="11" t="str">
        <f t="shared" si="25"/>
        <v/>
      </c>
      <c r="X34" s="11" t="str">
        <f t="shared" si="25"/>
        <v/>
      </c>
      <c r="Y34" s="11" t="str">
        <f t="shared" si="25"/>
        <v/>
      </c>
      <c r="Z34" s="11" t="str">
        <f t="shared" si="25"/>
        <v/>
      </c>
      <c r="AA34" s="11" t="str">
        <f t="shared" si="25"/>
        <v/>
      </c>
      <c r="AB34" s="11" t="str">
        <f t="shared" si="25"/>
        <v/>
      </c>
      <c r="AC34" s="11" t="str">
        <f t="shared" si="25"/>
        <v/>
      </c>
      <c r="AD34" s="11" t="str">
        <f t="shared" si="25"/>
        <v/>
      </c>
      <c r="AE34" s="11" t="str">
        <f t="shared" si="25"/>
        <v/>
      </c>
      <c r="AF34" s="11" t="str">
        <f t="shared" si="25"/>
        <v/>
      </c>
      <c r="AG34" s="11" t="str">
        <f t="shared" si="25"/>
        <v/>
      </c>
      <c r="AH34" s="11" t="str">
        <f t="shared" si="25"/>
        <v/>
      </c>
      <c r="AI34" s="11" t="str">
        <f t="shared" si="25"/>
        <v/>
      </c>
      <c r="AJ34" s="11" t="str">
        <f t="shared" si="25"/>
        <v/>
      </c>
      <c r="AK34" s="11" t="str">
        <f t="shared" si="25"/>
        <v/>
      </c>
    </row>
    <row r="35" spans="1:37" x14ac:dyDescent="0.35">
      <c r="A35" s="236"/>
      <c r="B35" s="11">
        <f t="shared" ref="B35:M35" si="26">IF(B12="","",(B12/$O$23))</f>
        <v>2.8856856554241615E-2</v>
      </c>
      <c r="C35" s="11">
        <f t="shared" si="26"/>
        <v>1.9867371989428249E-2</v>
      </c>
      <c r="D35" s="11">
        <f t="shared" si="26"/>
        <v>0.28151056146232289</v>
      </c>
      <c r="E35" s="11">
        <f t="shared" si="26"/>
        <v>8.4895980662153606E-2</v>
      </c>
      <c r="F35" s="11">
        <f t="shared" si="26"/>
        <v>1.0334413811581016</v>
      </c>
      <c r="G35" s="11">
        <f t="shared" si="26"/>
        <v>1.7367873663523057</v>
      </c>
      <c r="H35" s="11">
        <f t="shared" si="26"/>
        <v>2.4197274376880831</v>
      </c>
      <c r="I35" s="11">
        <f t="shared" si="26"/>
        <v>6.6799227860407387E-2</v>
      </c>
      <c r="J35" s="11">
        <f t="shared" si="26"/>
        <v>0.10787410100782632</v>
      </c>
      <c r="K35" s="11">
        <f t="shared" si="26"/>
        <v>6.0567713095611826E-2</v>
      </c>
      <c r="L35" s="11">
        <f t="shared" si="26"/>
        <v>1.3645159701774566E-2</v>
      </c>
      <c r="M35" s="11">
        <f t="shared" si="26"/>
        <v>1.420860358650655E-2</v>
      </c>
      <c r="N35" s="6"/>
      <c r="O35" s="11">
        <f t="shared" si="12"/>
        <v>1.7109300577737048</v>
      </c>
      <c r="P35" s="11">
        <f t="shared" si="12"/>
        <v>2.0131870037578472</v>
      </c>
      <c r="Q35" s="11">
        <f t="shared" si="12"/>
        <v>1.7620036626983148E-2</v>
      </c>
      <c r="R35" s="11">
        <f t="shared" si="12"/>
        <v>1.2179059250057456</v>
      </c>
      <c r="S35" s="11">
        <f t="shared" si="12"/>
        <v>4.3229613083544102E-2</v>
      </c>
      <c r="T35" s="11" t="str">
        <f t="shared" ref="T35:AK35" si="27">IF(T12="","",(T12/$O$23))</f>
        <v/>
      </c>
      <c r="U35" s="11">
        <f t="shared" si="27"/>
        <v>7.0151554392274815E-2</v>
      </c>
      <c r="V35" s="11">
        <f t="shared" si="27"/>
        <v>4.398497422746471E-2</v>
      </c>
      <c r="W35" s="11" t="str">
        <f t="shared" si="27"/>
        <v/>
      </c>
      <c r="X35" s="11" t="str">
        <f t="shared" si="27"/>
        <v/>
      </c>
      <c r="Y35" s="11" t="str">
        <f t="shared" si="27"/>
        <v/>
      </c>
      <c r="Z35" s="11" t="str">
        <f t="shared" si="27"/>
        <v/>
      </c>
      <c r="AA35" s="11" t="str">
        <f t="shared" si="27"/>
        <v/>
      </c>
      <c r="AB35" s="11" t="str">
        <f t="shared" si="27"/>
        <v/>
      </c>
      <c r="AC35" s="11" t="str">
        <f t="shared" si="27"/>
        <v/>
      </c>
      <c r="AD35" s="11" t="str">
        <f t="shared" si="27"/>
        <v/>
      </c>
      <c r="AE35" s="11" t="str">
        <f t="shared" si="27"/>
        <v/>
      </c>
      <c r="AF35" s="11" t="str">
        <f t="shared" si="27"/>
        <v/>
      </c>
      <c r="AG35" s="11" t="str">
        <f t="shared" si="27"/>
        <v/>
      </c>
      <c r="AH35" s="11" t="str">
        <f t="shared" si="27"/>
        <v/>
      </c>
      <c r="AI35" s="11" t="str">
        <f t="shared" si="27"/>
        <v/>
      </c>
      <c r="AJ35" s="11" t="str">
        <f t="shared" si="27"/>
        <v/>
      </c>
      <c r="AK35" s="11" t="str">
        <f t="shared" si="27"/>
        <v/>
      </c>
    </row>
    <row r="36" spans="1:37" x14ac:dyDescent="0.35">
      <c r="A36" s="236"/>
      <c r="B36" s="11" t="str">
        <f t="shared" ref="B36:M36" si="28">IF(B13="","",(B13/$O$23))</f>
        <v/>
      </c>
      <c r="C36" s="11" t="str">
        <f t="shared" si="28"/>
        <v/>
      </c>
      <c r="D36" s="11" t="str">
        <f t="shared" si="28"/>
        <v/>
      </c>
      <c r="E36" s="11" t="str">
        <f t="shared" si="28"/>
        <v/>
      </c>
      <c r="F36" s="11" t="str">
        <f t="shared" si="28"/>
        <v/>
      </c>
      <c r="G36" s="11" t="str">
        <f t="shared" si="28"/>
        <v/>
      </c>
      <c r="H36" s="11" t="str">
        <f t="shared" si="28"/>
        <v/>
      </c>
      <c r="I36" s="11" t="str">
        <f t="shared" si="28"/>
        <v/>
      </c>
      <c r="J36" s="11" t="str">
        <f t="shared" si="28"/>
        <v/>
      </c>
      <c r="K36" s="11" t="str">
        <f t="shared" si="28"/>
        <v/>
      </c>
      <c r="L36" s="11" t="str">
        <f t="shared" si="28"/>
        <v/>
      </c>
      <c r="M36" s="11" t="str">
        <f t="shared" si="28"/>
        <v/>
      </c>
      <c r="N36" s="6"/>
      <c r="O36" s="11">
        <f t="shared" si="12"/>
        <v>1.3251640589117466</v>
      </c>
      <c r="P36" s="11" t="str">
        <f t="shared" si="12"/>
        <v/>
      </c>
      <c r="Q36" s="11" t="str">
        <f t="shared" si="12"/>
        <v/>
      </c>
      <c r="R36" s="11" t="str">
        <f t="shared" si="12"/>
        <v/>
      </c>
      <c r="S36" s="11" t="str">
        <f t="shared" si="12"/>
        <v/>
      </c>
      <c r="T36" s="11" t="str">
        <f t="shared" ref="T36:AK36" si="29">IF(T13="","",(T13/$O$23))</f>
        <v/>
      </c>
      <c r="U36" s="11" t="str">
        <f t="shared" si="29"/>
        <v/>
      </c>
      <c r="V36" s="11" t="str">
        <f t="shared" si="29"/>
        <v/>
      </c>
      <c r="W36" s="11" t="str">
        <f t="shared" si="29"/>
        <v/>
      </c>
      <c r="X36" s="11" t="str">
        <f t="shared" si="29"/>
        <v/>
      </c>
      <c r="Y36" s="11" t="str">
        <f t="shared" si="29"/>
        <v/>
      </c>
      <c r="Z36" s="11" t="str">
        <f t="shared" si="29"/>
        <v/>
      </c>
      <c r="AA36" s="11" t="str">
        <f t="shared" si="29"/>
        <v/>
      </c>
      <c r="AB36" s="11" t="str">
        <f t="shared" si="29"/>
        <v/>
      </c>
      <c r="AC36" s="11" t="str">
        <f t="shared" si="29"/>
        <v/>
      </c>
      <c r="AD36" s="11" t="str">
        <f t="shared" si="29"/>
        <v/>
      </c>
      <c r="AE36" s="11" t="str">
        <f t="shared" si="29"/>
        <v/>
      </c>
      <c r="AF36" s="11" t="str">
        <f t="shared" si="29"/>
        <v/>
      </c>
      <c r="AG36" s="11" t="str">
        <f t="shared" si="29"/>
        <v/>
      </c>
      <c r="AH36" s="11" t="str">
        <f t="shared" si="29"/>
        <v/>
      </c>
      <c r="AI36" s="11" t="str">
        <f t="shared" si="29"/>
        <v/>
      </c>
      <c r="AJ36" s="11" t="str">
        <f t="shared" si="29"/>
        <v/>
      </c>
      <c r="AK36" s="11" t="str">
        <f t="shared" si="29"/>
        <v/>
      </c>
    </row>
    <row r="37" spans="1:37" x14ac:dyDescent="0.35">
      <c r="A37" s="236"/>
      <c r="B37" s="11" t="str">
        <f t="shared" ref="B37:M37" si="30">IF(B14="","",(B14/$O$23))</f>
        <v/>
      </c>
      <c r="C37" s="11" t="str">
        <f t="shared" si="30"/>
        <v/>
      </c>
      <c r="D37" s="11" t="str">
        <f t="shared" si="30"/>
        <v/>
      </c>
      <c r="E37" s="11" t="str">
        <f t="shared" si="30"/>
        <v/>
      </c>
      <c r="F37" s="11" t="str">
        <f t="shared" si="30"/>
        <v/>
      </c>
      <c r="G37" s="11" t="str">
        <f t="shared" si="30"/>
        <v/>
      </c>
      <c r="H37" s="11" t="str">
        <f t="shared" si="30"/>
        <v/>
      </c>
      <c r="I37" s="11" t="str">
        <f t="shared" si="30"/>
        <v/>
      </c>
      <c r="J37" s="11" t="str">
        <f t="shared" si="30"/>
        <v/>
      </c>
      <c r="K37" s="11" t="str">
        <f t="shared" si="30"/>
        <v/>
      </c>
      <c r="L37" s="11" t="str">
        <f t="shared" si="30"/>
        <v/>
      </c>
      <c r="M37" s="11" t="str">
        <f t="shared" si="30"/>
        <v/>
      </c>
      <c r="N37" s="6"/>
      <c r="O37" s="11">
        <f t="shared" si="12"/>
        <v>0.46244002088101988</v>
      </c>
      <c r="P37" s="11" t="str">
        <f t="shared" si="12"/>
        <v/>
      </c>
      <c r="Q37" s="11" t="str">
        <f t="shared" si="12"/>
        <v/>
      </c>
      <c r="R37" s="11" t="str">
        <f t="shared" si="12"/>
        <v/>
      </c>
      <c r="S37" s="11" t="str">
        <f t="shared" si="12"/>
        <v/>
      </c>
      <c r="T37" s="11" t="str">
        <f t="shared" ref="T37:AK37" si="31">IF(T14="","",(T14/$O$23))</f>
        <v/>
      </c>
      <c r="U37" s="11" t="str">
        <f t="shared" si="31"/>
        <v/>
      </c>
      <c r="V37" s="11" t="str">
        <f t="shared" si="31"/>
        <v/>
      </c>
      <c r="W37" s="11" t="str">
        <f t="shared" si="31"/>
        <v/>
      </c>
      <c r="X37" s="11" t="str">
        <f t="shared" si="31"/>
        <v/>
      </c>
      <c r="Y37" s="11" t="str">
        <f t="shared" si="31"/>
        <v/>
      </c>
      <c r="Z37" s="11" t="str">
        <f t="shared" si="31"/>
        <v/>
      </c>
      <c r="AA37" s="11" t="str">
        <f t="shared" si="31"/>
        <v/>
      </c>
      <c r="AB37" s="11" t="str">
        <f t="shared" si="31"/>
        <v/>
      </c>
      <c r="AC37" s="11" t="str">
        <f t="shared" si="31"/>
        <v/>
      </c>
      <c r="AD37" s="11" t="str">
        <f t="shared" si="31"/>
        <v/>
      </c>
      <c r="AE37" s="11" t="str">
        <f t="shared" si="31"/>
        <v/>
      </c>
      <c r="AF37" s="11" t="str">
        <f t="shared" si="31"/>
        <v/>
      </c>
      <c r="AG37" s="11" t="str">
        <f t="shared" si="31"/>
        <v/>
      </c>
      <c r="AH37" s="11" t="str">
        <f t="shared" si="31"/>
        <v/>
      </c>
      <c r="AI37" s="11" t="str">
        <f t="shared" si="31"/>
        <v/>
      </c>
      <c r="AJ37" s="11" t="str">
        <f t="shared" si="31"/>
        <v/>
      </c>
      <c r="AK37" s="11" t="str">
        <f t="shared" si="31"/>
        <v/>
      </c>
    </row>
    <row r="38" spans="1:37" x14ac:dyDescent="0.35">
      <c r="A38" s="236"/>
      <c r="B38" s="11" t="str">
        <f t="shared" ref="B38:M38" si="32">IF(B15="","",(B15/$O$23))</f>
        <v/>
      </c>
      <c r="C38" s="11" t="str">
        <f t="shared" si="32"/>
        <v/>
      </c>
      <c r="D38" s="11" t="str">
        <f t="shared" si="32"/>
        <v/>
      </c>
      <c r="E38" s="11" t="str">
        <f t="shared" si="32"/>
        <v/>
      </c>
      <c r="F38" s="11" t="str">
        <f t="shared" si="32"/>
        <v/>
      </c>
      <c r="G38" s="11" t="str">
        <f t="shared" si="32"/>
        <v/>
      </c>
      <c r="H38" s="11" t="str">
        <f t="shared" si="32"/>
        <v/>
      </c>
      <c r="I38" s="11" t="str">
        <f t="shared" si="32"/>
        <v/>
      </c>
      <c r="J38" s="11" t="str">
        <f t="shared" si="32"/>
        <v/>
      </c>
      <c r="K38" s="11" t="str">
        <f t="shared" si="32"/>
        <v/>
      </c>
      <c r="L38" s="11" t="str">
        <f t="shared" si="32"/>
        <v/>
      </c>
      <c r="M38" s="11" t="str">
        <f t="shared" si="32"/>
        <v/>
      </c>
      <c r="N38" s="6"/>
      <c r="O38" s="11">
        <f t="shared" ref="O38:AK38" si="33">IF(O15="","",(O15/$O$23))</f>
        <v>0.40839763771285403</v>
      </c>
      <c r="P38" s="11" t="str">
        <f t="shared" si="33"/>
        <v/>
      </c>
      <c r="Q38" s="11" t="str">
        <f t="shared" si="33"/>
        <v/>
      </c>
      <c r="R38" s="11" t="str">
        <f t="shared" si="33"/>
        <v/>
      </c>
      <c r="S38" s="11" t="str">
        <f t="shared" si="33"/>
        <v/>
      </c>
      <c r="T38" s="11" t="str">
        <f t="shared" si="33"/>
        <v/>
      </c>
      <c r="U38" s="11" t="str">
        <f t="shared" si="33"/>
        <v/>
      </c>
      <c r="V38" s="11" t="str">
        <f t="shared" si="33"/>
        <v/>
      </c>
      <c r="W38" s="11" t="str">
        <f t="shared" si="33"/>
        <v/>
      </c>
      <c r="X38" s="11" t="str">
        <f t="shared" si="33"/>
        <v/>
      </c>
      <c r="Y38" s="11" t="str">
        <f t="shared" si="33"/>
        <v/>
      </c>
      <c r="Z38" s="11" t="str">
        <f t="shared" si="33"/>
        <v/>
      </c>
      <c r="AA38" s="11" t="str">
        <f t="shared" si="33"/>
        <v/>
      </c>
      <c r="AB38" s="11" t="str">
        <f t="shared" si="33"/>
        <v/>
      </c>
      <c r="AC38" s="11" t="str">
        <f t="shared" si="33"/>
        <v/>
      </c>
      <c r="AD38" s="11" t="str">
        <f t="shared" si="33"/>
        <v/>
      </c>
      <c r="AE38" s="11" t="str">
        <f t="shared" si="33"/>
        <v/>
      </c>
      <c r="AF38" s="11" t="str">
        <f t="shared" si="33"/>
        <v/>
      </c>
      <c r="AG38" s="11" t="str">
        <f t="shared" si="33"/>
        <v/>
      </c>
      <c r="AH38" s="11" t="str">
        <f t="shared" si="33"/>
        <v/>
      </c>
      <c r="AI38" s="11" t="str">
        <f t="shared" si="33"/>
        <v/>
      </c>
      <c r="AJ38" s="11" t="str">
        <f t="shared" si="33"/>
        <v/>
      </c>
      <c r="AK38" s="11" t="str">
        <f t="shared" si="33"/>
        <v/>
      </c>
    </row>
    <row r="39" spans="1:37" x14ac:dyDescent="0.35">
      <c r="A39" s="236"/>
      <c r="B39" s="11" t="str">
        <f t="shared" ref="B39:M39" si="34">IF(B16="","",(B16/$O$23))</f>
        <v/>
      </c>
      <c r="C39" s="11" t="str">
        <f t="shared" si="34"/>
        <v/>
      </c>
      <c r="D39" s="11" t="str">
        <f t="shared" si="34"/>
        <v/>
      </c>
      <c r="E39" s="11" t="str">
        <f t="shared" si="34"/>
        <v/>
      </c>
      <c r="F39" s="11" t="str">
        <f t="shared" si="34"/>
        <v/>
      </c>
      <c r="G39" s="11" t="str">
        <f t="shared" si="34"/>
        <v/>
      </c>
      <c r="H39" s="11" t="str">
        <f t="shared" si="34"/>
        <v/>
      </c>
      <c r="I39" s="11" t="str">
        <f t="shared" si="34"/>
        <v/>
      </c>
      <c r="J39" s="11" t="str">
        <f t="shared" si="34"/>
        <v/>
      </c>
      <c r="K39" s="11" t="str">
        <f t="shared" si="34"/>
        <v/>
      </c>
      <c r="L39" s="11" t="str">
        <f t="shared" si="34"/>
        <v/>
      </c>
      <c r="M39" s="11" t="str">
        <f t="shared" si="34"/>
        <v/>
      </c>
      <c r="N39" s="6"/>
      <c r="O39" s="11">
        <f t="shared" ref="O39:AK39" si="35">IF(O16="","",(O16/$O$23))</f>
        <v>1.2040532485061908</v>
      </c>
      <c r="P39" s="11" t="str">
        <f t="shared" si="35"/>
        <v/>
      </c>
      <c r="Q39" s="11" t="str">
        <f t="shared" si="35"/>
        <v/>
      </c>
      <c r="R39" s="11" t="str">
        <f t="shared" si="35"/>
        <v/>
      </c>
      <c r="S39" s="11" t="str">
        <f t="shared" si="35"/>
        <v/>
      </c>
      <c r="T39" s="11" t="str">
        <f t="shared" si="35"/>
        <v/>
      </c>
      <c r="U39" s="11" t="str">
        <f t="shared" si="35"/>
        <v/>
      </c>
      <c r="V39" s="11" t="str">
        <f t="shared" si="35"/>
        <v/>
      </c>
      <c r="W39" s="11" t="str">
        <f t="shared" si="35"/>
        <v/>
      </c>
      <c r="X39" s="11" t="str">
        <f t="shared" si="35"/>
        <v/>
      </c>
      <c r="Y39" s="11" t="str">
        <f t="shared" si="35"/>
        <v/>
      </c>
      <c r="Z39" s="11" t="str">
        <f t="shared" si="35"/>
        <v/>
      </c>
      <c r="AA39" s="11" t="str">
        <f t="shared" si="35"/>
        <v/>
      </c>
      <c r="AB39" s="11" t="str">
        <f t="shared" si="35"/>
        <v/>
      </c>
      <c r="AC39" s="11" t="str">
        <f t="shared" si="35"/>
        <v/>
      </c>
      <c r="AD39" s="11" t="str">
        <f t="shared" si="35"/>
        <v/>
      </c>
      <c r="AE39" s="11" t="str">
        <f t="shared" si="35"/>
        <v/>
      </c>
      <c r="AF39" s="11" t="str">
        <f t="shared" si="35"/>
        <v/>
      </c>
      <c r="AG39" s="11" t="str">
        <f t="shared" si="35"/>
        <v/>
      </c>
      <c r="AH39" s="11" t="str">
        <f t="shared" si="35"/>
        <v/>
      </c>
      <c r="AI39" s="11" t="str">
        <f t="shared" si="35"/>
        <v/>
      </c>
      <c r="AJ39" s="11" t="str">
        <f t="shared" si="35"/>
        <v/>
      </c>
      <c r="AK39" s="11" t="str">
        <f t="shared" si="35"/>
        <v/>
      </c>
    </row>
    <row r="40" spans="1:37" x14ac:dyDescent="0.35">
      <c r="A40" s="236"/>
      <c r="B40" s="11" t="str">
        <f t="shared" ref="B40:M40" si="36">IF(B17="","",(B17/$O$23))</f>
        <v/>
      </c>
      <c r="C40" s="11" t="str">
        <f t="shared" si="36"/>
        <v/>
      </c>
      <c r="D40" s="11" t="str">
        <f t="shared" si="36"/>
        <v/>
      </c>
      <c r="E40" s="11" t="str">
        <f t="shared" si="36"/>
        <v/>
      </c>
      <c r="F40" s="11" t="str">
        <f t="shared" si="36"/>
        <v/>
      </c>
      <c r="G40" s="11" t="str">
        <f t="shared" si="36"/>
        <v/>
      </c>
      <c r="H40" s="11" t="str">
        <f t="shared" si="36"/>
        <v/>
      </c>
      <c r="I40" s="11" t="str">
        <f t="shared" si="36"/>
        <v/>
      </c>
      <c r="J40" s="11" t="str">
        <f t="shared" si="36"/>
        <v/>
      </c>
      <c r="K40" s="11" t="str">
        <f t="shared" si="36"/>
        <v/>
      </c>
      <c r="L40" s="11" t="str">
        <f t="shared" si="36"/>
        <v/>
      </c>
      <c r="M40" s="11" t="str">
        <f t="shared" si="36"/>
        <v/>
      </c>
      <c r="N40" s="6"/>
      <c r="O40" s="11">
        <f t="shared" ref="O40:AK40" si="37">IF(O17="","",(O17/$O$23))</f>
        <v>0.97691638151331761</v>
      </c>
      <c r="P40" s="11" t="str">
        <f t="shared" si="37"/>
        <v/>
      </c>
      <c r="Q40" s="11" t="str">
        <f t="shared" si="37"/>
        <v/>
      </c>
      <c r="R40" s="11" t="str">
        <f t="shared" si="37"/>
        <v/>
      </c>
      <c r="S40" s="11" t="str">
        <f t="shared" si="37"/>
        <v/>
      </c>
      <c r="T40" s="11" t="str">
        <f t="shared" si="37"/>
        <v/>
      </c>
      <c r="U40" s="11" t="str">
        <f t="shared" si="37"/>
        <v/>
      </c>
      <c r="V40" s="11" t="str">
        <f t="shared" si="37"/>
        <v/>
      </c>
      <c r="W40" s="11" t="str">
        <f t="shared" si="37"/>
        <v/>
      </c>
      <c r="X40" s="11" t="str">
        <f t="shared" si="37"/>
        <v/>
      </c>
      <c r="Y40" s="11" t="str">
        <f t="shared" si="37"/>
        <v/>
      </c>
      <c r="Z40" s="11" t="str">
        <f t="shared" si="37"/>
        <v/>
      </c>
      <c r="AA40" s="11" t="str">
        <f t="shared" si="37"/>
        <v/>
      </c>
      <c r="AB40" s="11" t="str">
        <f t="shared" si="37"/>
        <v/>
      </c>
      <c r="AC40" s="11" t="str">
        <f t="shared" si="37"/>
        <v/>
      </c>
      <c r="AD40" s="11" t="str">
        <f t="shared" si="37"/>
        <v/>
      </c>
      <c r="AE40" s="11" t="str">
        <f t="shared" si="37"/>
        <v/>
      </c>
      <c r="AF40" s="11" t="str">
        <f t="shared" si="37"/>
        <v/>
      </c>
      <c r="AG40" s="11" t="str">
        <f t="shared" si="37"/>
        <v/>
      </c>
      <c r="AH40" s="11" t="str">
        <f t="shared" si="37"/>
        <v/>
      </c>
      <c r="AI40" s="11" t="str">
        <f t="shared" si="37"/>
        <v/>
      </c>
      <c r="AJ40" s="11" t="str">
        <f t="shared" si="37"/>
        <v/>
      </c>
      <c r="AK40" s="11" t="str">
        <f t="shared" si="37"/>
        <v/>
      </c>
    </row>
    <row r="41" spans="1:37" x14ac:dyDescent="0.35">
      <c r="A41" s="236"/>
      <c r="B41" s="11" t="str">
        <f t="shared" ref="B41:M41" si="38">IF(B18="","",(B18/$O$23))</f>
        <v/>
      </c>
      <c r="C41" s="11" t="str">
        <f t="shared" si="38"/>
        <v/>
      </c>
      <c r="D41" s="11" t="str">
        <f t="shared" si="38"/>
        <v/>
      </c>
      <c r="E41" s="11" t="str">
        <f t="shared" si="38"/>
        <v/>
      </c>
      <c r="F41" s="11" t="str">
        <f t="shared" si="38"/>
        <v/>
      </c>
      <c r="G41" s="11" t="str">
        <f t="shared" si="38"/>
        <v/>
      </c>
      <c r="H41" s="11" t="str">
        <f t="shared" si="38"/>
        <v/>
      </c>
      <c r="I41" s="11" t="str">
        <f t="shared" si="38"/>
        <v/>
      </c>
      <c r="J41" s="11" t="str">
        <f t="shared" si="38"/>
        <v/>
      </c>
      <c r="K41" s="11" t="str">
        <f t="shared" si="38"/>
        <v/>
      </c>
      <c r="L41" s="11" t="str">
        <f t="shared" si="38"/>
        <v/>
      </c>
      <c r="M41" s="11" t="str">
        <f t="shared" si="38"/>
        <v/>
      </c>
      <c r="N41" s="6"/>
      <c r="O41" s="11">
        <f t="shared" ref="O41:AK41" si="39">IF(O18="","",(O18/$O$23))</f>
        <v>1.1688226924019158</v>
      </c>
      <c r="P41" s="11" t="str">
        <f t="shared" si="39"/>
        <v/>
      </c>
      <c r="Q41" s="11" t="str">
        <f t="shared" si="39"/>
        <v/>
      </c>
      <c r="R41" s="11" t="str">
        <f t="shared" si="39"/>
        <v/>
      </c>
      <c r="S41" s="11" t="str">
        <f t="shared" si="39"/>
        <v/>
      </c>
      <c r="T41" s="11" t="str">
        <f t="shared" si="39"/>
        <v/>
      </c>
      <c r="U41" s="11" t="str">
        <f t="shared" si="39"/>
        <v/>
      </c>
      <c r="V41" s="11" t="str">
        <f t="shared" si="39"/>
        <v/>
      </c>
      <c r="W41" s="11" t="str">
        <f t="shared" si="39"/>
        <v/>
      </c>
      <c r="X41" s="11" t="str">
        <f t="shared" si="39"/>
        <v/>
      </c>
      <c r="Y41" s="11" t="str">
        <f t="shared" si="39"/>
        <v/>
      </c>
      <c r="Z41" s="11" t="str">
        <f t="shared" si="39"/>
        <v/>
      </c>
      <c r="AA41" s="11" t="str">
        <f t="shared" si="39"/>
        <v/>
      </c>
      <c r="AB41" s="11" t="str">
        <f t="shared" si="39"/>
        <v/>
      </c>
      <c r="AC41" s="11" t="str">
        <f t="shared" si="39"/>
        <v/>
      </c>
      <c r="AD41" s="11" t="str">
        <f t="shared" si="39"/>
        <v/>
      </c>
      <c r="AE41" s="11" t="str">
        <f t="shared" si="39"/>
        <v/>
      </c>
      <c r="AF41" s="11" t="str">
        <f t="shared" si="39"/>
        <v/>
      </c>
      <c r="AG41" s="11" t="str">
        <f t="shared" si="39"/>
        <v/>
      </c>
      <c r="AH41" s="11" t="str">
        <f t="shared" si="39"/>
        <v/>
      </c>
      <c r="AI41" s="11" t="str">
        <f t="shared" si="39"/>
        <v/>
      </c>
      <c r="AJ41" s="11" t="str">
        <f t="shared" si="39"/>
        <v/>
      </c>
      <c r="AK41" s="11" t="str">
        <f t="shared" si="39"/>
        <v/>
      </c>
    </row>
    <row r="42" spans="1:37" x14ac:dyDescent="0.35">
      <c r="A42" s="236"/>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AK42" si="41">IF(O19="","",(O19/$O$23))</f>
        <v>1.5911658167131941</v>
      </c>
      <c r="P42" s="11" t="str">
        <f t="shared" si="41"/>
        <v/>
      </c>
      <c r="Q42" s="11" t="str">
        <f t="shared" si="41"/>
        <v/>
      </c>
      <c r="R42" s="11" t="str">
        <f t="shared" si="41"/>
        <v/>
      </c>
      <c r="S42" s="11" t="str">
        <f t="shared" si="41"/>
        <v/>
      </c>
      <c r="T42" s="11" t="str">
        <f t="shared" si="41"/>
        <v/>
      </c>
      <c r="U42" s="11" t="str">
        <f t="shared" si="41"/>
        <v/>
      </c>
      <c r="V42" s="11" t="str">
        <f t="shared" si="41"/>
        <v/>
      </c>
      <c r="W42" s="11" t="str">
        <f t="shared" si="41"/>
        <v/>
      </c>
      <c r="X42" s="11" t="str">
        <f t="shared" si="41"/>
        <v/>
      </c>
      <c r="Y42" s="11" t="str">
        <f t="shared" si="41"/>
        <v/>
      </c>
      <c r="Z42" s="11" t="str">
        <f t="shared" si="41"/>
        <v/>
      </c>
      <c r="AA42" s="11" t="str">
        <f t="shared" si="41"/>
        <v/>
      </c>
      <c r="AB42" s="11" t="str">
        <f t="shared" si="41"/>
        <v/>
      </c>
      <c r="AC42" s="11" t="str">
        <f t="shared" si="41"/>
        <v/>
      </c>
      <c r="AD42" s="11" t="str">
        <f t="shared" si="41"/>
        <v/>
      </c>
      <c r="AE42" s="11" t="str">
        <f t="shared" si="41"/>
        <v/>
      </c>
      <c r="AF42" s="11" t="str">
        <f t="shared" si="41"/>
        <v/>
      </c>
      <c r="AG42" s="11" t="str">
        <f t="shared" si="41"/>
        <v/>
      </c>
      <c r="AH42" s="11" t="str">
        <f t="shared" si="41"/>
        <v/>
      </c>
      <c r="AI42" s="11" t="str">
        <f t="shared" si="41"/>
        <v/>
      </c>
      <c r="AJ42" s="11" t="str">
        <f t="shared" si="41"/>
        <v/>
      </c>
      <c r="AK42" s="11" t="str">
        <f t="shared" si="41"/>
        <v/>
      </c>
    </row>
    <row r="43" spans="1:37" x14ac:dyDescent="0.35">
      <c r="A43" s="236"/>
      <c r="B43" s="11" t="str">
        <f t="shared" ref="B43:M43" si="42">IF(B20="","",(B20/$O$23))</f>
        <v/>
      </c>
      <c r="C43" s="11" t="str">
        <f t="shared" si="42"/>
        <v/>
      </c>
      <c r="D43" s="11" t="str">
        <f t="shared" si="42"/>
        <v/>
      </c>
      <c r="E43" s="11" t="str">
        <f t="shared" si="42"/>
        <v/>
      </c>
      <c r="F43" s="11" t="str">
        <f t="shared" si="42"/>
        <v/>
      </c>
      <c r="G43" s="11" t="str">
        <f t="shared" si="42"/>
        <v/>
      </c>
      <c r="H43" s="11" t="str">
        <f t="shared" si="42"/>
        <v/>
      </c>
      <c r="I43" s="11" t="str">
        <f t="shared" si="42"/>
        <v/>
      </c>
      <c r="J43" s="11" t="str">
        <f t="shared" si="42"/>
        <v/>
      </c>
      <c r="K43" s="11" t="str">
        <f t="shared" si="42"/>
        <v/>
      </c>
      <c r="L43" s="11" t="str">
        <f t="shared" si="42"/>
        <v/>
      </c>
      <c r="M43" s="11" t="str">
        <f t="shared" si="42"/>
        <v/>
      </c>
      <c r="N43" s="6"/>
      <c r="O43" s="11">
        <f t="shared" ref="O43:AK43" si="43">IF(O20="","",(O20/$O$23))</f>
        <v>1.5890424189692856</v>
      </c>
      <c r="P43" s="11" t="str">
        <f t="shared" si="43"/>
        <v/>
      </c>
      <c r="Q43" s="11" t="str">
        <f t="shared" si="43"/>
        <v/>
      </c>
      <c r="R43" s="11" t="str">
        <f t="shared" si="43"/>
        <v/>
      </c>
      <c r="S43" s="11" t="str">
        <f t="shared" si="43"/>
        <v/>
      </c>
      <c r="T43" s="11" t="str">
        <f t="shared" si="43"/>
        <v/>
      </c>
      <c r="U43" s="11" t="str">
        <f t="shared" si="43"/>
        <v/>
      </c>
      <c r="V43" s="11" t="str">
        <f t="shared" si="43"/>
        <v/>
      </c>
      <c r="W43" s="11" t="str">
        <f t="shared" si="43"/>
        <v/>
      </c>
      <c r="X43" s="11" t="str">
        <f t="shared" si="43"/>
        <v/>
      </c>
      <c r="Y43" s="11" t="str">
        <f t="shared" si="43"/>
        <v/>
      </c>
      <c r="Z43" s="11" t="str">
        <f t="shared" si="43"/>
        <v/>
      </c>
      <c r="AA43" s="11" t="str">
        <f t="shared" si="43"/>
        <v/>
      </c>
      <c r="AB43" s="11" t="str">
        <f t="shared" si="43"/>
        <v/>
      </c>
      <c r="AC43" s="11" t="str">
        <f t="shared" si="43"/>
        <v/>
      </c>
      <c r="AD43" s="11" t="str">
        <f t="shared" si="43"/>
        <v/>
      </c>
      <c r="AE43" s="11" t="str">
        <f t="shared" si="43"/>
        <v/>
      </c>
      <c r="AF43" s="11" t="str">
        <f t="shared" si="43"/>
        <v/>
      </c>
      <c r="AG43" s="11" t="str">
        <f t="shared" si="43"/>
        <v/>
      </c>
      <c r="AH43" s="11" t="str">
        <f t="shared" si="43"/>
        <v/>
      </c>
      <c r="AI43" s="11" t="str">
        <f t="shared" si="43"/>
        <v/>
      </c>
      <c r="AJ43" s="11" t="str">
        <f t="shared" si="43"/>
        <v/>
      </c>
      <c r="AK43" s="11" t="str">
        <f t="shared" si="43"/>
        <v/>
      </c>
    </row>
    <row r="44" spans="1:37" x14ac:dyDescent="0.3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35">
      <c r="A45" s="7" t="str">
        <f>A4</f>
        <v>Noms des groupes</v>
      </c>
      <c r="B45" s="7" t="str">
        <f t="shared" ref="B45:R45" si="44">B4</f>
        <v>Témoin solvant</v>
      </c>
      <c r="C45" s="7" t="str">
        <f t="shared" si="44"/>
        <v>EE2-33,8ng/L</v>
      </c>
      <c r="D45" s="7" t="str">
        <f t="shared" si="44"/>
        <v>EE2-50,6ng/L</v>
      </c>
      <c r="E45" s="7" t="str">
        <f t="shared" si="44"/>
        <v>EE2-76ng/L</v>
      </c>
      <c r="F45" s="7" t="str">
        <f t="shared" si="44"/>
        <v>EE2-114ng/L</v>
      </c>
      <c r="G45" s="7" t="str">
        <f t="shared" si="44"/>
        <v>EE2-170,9ng/L</v>
      </c>
      <c r="H45" s="7" t="str">
        <f t="shared" si="44"/>
        <v>EE2-488ng/L</v>
      </c>
      <c r="I45" s="7" t="str">
        <f t="shared" si="44"/>
        <v>Anastrozole 0,032 ug/L</v>
      </c>
      <c r="J45" s="7" t="str">
        <f t="shared" si="44"/>
        <v>Anastrozole 0,16 ug/L</v>
      </c>
      <c r="K45" s="7" t="str">
        <f t="shared" ref="K45:M45" si="45">K4</f>
        <v>Anastrozole 0,8 ug/L</v>
      </c>
      <c r="L45" s="7" t="str">
        <f t="shared" si="45"/>
        <v>Anastrozole 4 ug/L</v>
      </c>
      <c r="M45" s="7" t="str">
        <f t="shared" si="45"/>
        <v>Anastrozole 20 ug/L</v>
      </c>
      <c r="N45" s="7"/>
      <c r="O45" s="7" t="str">
        <f t="shared" si="44"/>
        <v>Testo -30µg/L</v>
      </c>
      <c r="P45" s="7" t="str">
        <f t="shared" si="44"/>
        <v>Testo 30µg/L + EE2 -64ng/L</v>
      </c>
      <c r="Q45" s="7" t="str">
        <f t="shared" si="44"/>
        <v>Testo 30µg/L + FAD-10mg/L</v>
      </c>
      <c r="R45" s="7" t="str">
        <f t="shared" si="44"/>
        <v>Anastrozole-0,032ug/L + Testostérone</v>
      </c>
      <c r="S45" s="7" t="str">
        <f t="shared" ref="S45:AK45" si="46">S4</f>
        <v>Anastrozole-0,16ug/L + Testostérone</v>
      </c>
      <c r="T45" s="7" t="str">
        <f t="shared" si="46"/>
        <v>Anastrozole-0,8ug/L + Testostérone</v>
      </c>
      <c r="U45" s="7" t="str">
        <f t="shared" si="46"/>
        <v>Anastrozole-4ug/L + Testostérone</v>
      </c>
      <c r="V45" s="7" t="str">
        <f t="shared" si="46"/>
        <v>Anastrozole-20ug/L + Testostérone</v>
      </c>
      <c r="W45" s="7" t="str">
        <f t="shared" si="46"/>
        <v>0-00 + Testostérone</v>
      </c>
      <c r="X45" s="7" t="str">
        <f t="shared" si="46"/>
        <v>0-00 + Testostérone</v>
      </c>
      <c r="Y45" s="7" t="str">
        <f t="shared" si="46"/>
        <v>0-00 + Testostérone</v>
      </c>
      <c r="Z45" s="7" t="str">
        <f t="shared" si="46"/>
        <v>0-00 + Testostérone</v>
      </c>
      <c r="AA45" s="7" t="str">
        <f t="shared" si="46"/>
        <v>0-00 + Testostérone</v>
      </c>
      <c r="AB45" s="7" t="str">
        <f t="shared" si="46"/>
        <v>0-00 + Testostérone</v>
      </c>
      <c r="AC45" s="7" t="str">
        <f t="shared" si="46"/>
        <v>0-00 + Testostérone</v>
      </c>
      <c r="AD45" s="7" t="str">
        <f t="shared" si="46"/>
        <v>0-00 + Testostérone</v>
      </c>
      <c r="AE45" s="7" t="str">
        <f t="shared" si="46"/>
        <v>0-00 + Testostérone</v>
      </c>
      <c r="AF45" s="7" t="str">
        <f t="shared" si="46"/>
        <v>0-00 + Testostérone</v>
      </c>
      <c r="AG45" s="7" t="str">
        <f t="shared" si="46"/>
        <v>0-00 + Testostérone</v>
      </c>
      <c r="AH45" s="7" t="str">
        <f t="shared" si="46"/>
        <v>0-00 + Testostérone</v>
      </c>
      <c r="AI45" s="7" t="str">
        <f t="shared" si="46"/>
        <v>0-00 + Testostérone</v>
      </c>
      <c r="AJ45" s="7" t="str">
        <f t="shared" si="46"/>
        <v>0-00 + Testostérone</v>
      </c>
      <c r="AK45" s="7" t="str">
        <f t="shared" si="46"/>
        <v>0-00 + Testostérone</v>
      </c>
    </row>
    <row r="46" spans="1:37" x14ac:dyDescent="0.35">
      <c r="A46" s="8" t="s">
        <v>0</v>
      </c>
      <c r="B46" s="10">
        <f t="shared" ref="B46:H46" si="47">AVERAGE(B28:B43)</f>
        <v>4.0907070771282729E-2</v>
      </c>
      <c r="C46" s="10">
        <f t="shared" si="47"/>
        <v>4.8686267281179349E-2</v>
      </c>
      <c r="D46" s="10">
        <f t="shared" si="47"/>
        <v>7.7554734042469195E-2</v>
      </c>
      <c r="E46" s="10">
        <f t="shared" si="47"/>
        <v>0.16197920433918336</v>
      </c>
      <c r="F46" s="10">
        <f t="shared" si="47"/>
        <v>0.63743118140337141</v>
      </c>
      <c r="G46" s="10">
        <f t="shared" si="47"/>
        <v>1.4496870358223231</v>
      </c>
      <c r="H46" s="10">
        <f t="shared" si="47"/>
        <v>1.8498086889671457</v>
      </c>
      <c r="I46" s="10">
        <f>AVERAGE(I28:I43)</f>
        <v>4.6448556404700268E-2</v>
      </c>
      <c r="J46" s="9">
        <f>AVERAGE(J28:J43)</f>
        <v>5.6811730613303316E-2</v>
      </c>
      <c r="K46" s="9">
        <f t="shared" ref="K46:M46" si="48">AVERAGE(K28:K43)</f>
        <v>0.10530840625457952</v>
      </c>
      <c r="L46" s="9">
        <f t="shared" si="48"/>
        <v>4.4279382295251649E-2</v>
      </c>
      <c r="M46" s="9">
        <f t="shared" si="48"/>
        <v>4.2688229358891432E-2</v>
      </c>
      <c r="N46" s="8" t="s">
        <v>0</v>
      </c>
      <c r="O46" s="10">
        <f t="shared" ref="O46:R46" si="49">AVERAGE(O28:O43)</f>
        <v>0.99999999999999978</v>
      </c>
      <c r="P46" s="10">
        <f t="shared" si="49"/>
        <v>1.40663121805692</v>
      </c>
      <c r="Q46" s="10">
        <f t="shared" si="49"/>
        <v>0.10523113308147501</v>
      </c>
      <c r="R46" s="10">
        <f t="shared" si="49"/>
        <v>0.67171065761147419</v>
      </c>
      <c r="S46" s="10">
        <f t="shared" ref="S46:AK46" si="50">AVERAGE(S28:S43)</f>
        <v>0.48276875101323757</v>
      </c>
      <c r="T46" s="10">
        <f t="shared" si="50"/>
        <v>0.12526129969869895</v>
      </c>
      <c r="U46" s="10">
        <f t="shared" si="50"/>
        <v>5.7401926786694979E-2</v>
      </c>
      <c r="V46" s="10">
        <f t="shared" si="50"/>
        <v>0.12565258386566644</v>
      </c>
      <c r="W46" s="10" t="e">
        <f t="shared" si="50"/>
        <v>#DIV/0!</v>
      </c>
      <c r="X46" s="10" t="e">
        <f t="shared" si="50"/>
        <v>#DIV/0!</v>
      </c>
      <c r="Y46" s="10" t="e">
        <f t="shared" si="50"/>
        <v>#DIV/0!</v>
      </c>
      <c r="Z46" s="10" t="e">
        <f t="shared" si="50"/>
        <v>#DIV/0!</v>
      </c>
      <c r="AA46" s="10" t="e">
        <f t="shared" si="50"/>
        <v>#DIV/0!</v>
      </c>
      <c r="AB46" s="10" t="e">
        <f t="shared" si="50"/>
        <v>#DIV/0!</v>
      </c>
      <c r="AC46" s="10" t="e">
        <f t="shared" si="50"/>
        <v>#DIV/0!</v>
      </c>
      <c r="AD46" s="10" t="e">
        <f t="shared" si="50"/>
        <v>#DIV/0!</v>
      </c>
      <c r="AE46" s="10" t="e">
        <f t="shared" si="50"/>
        <v>#DIV/0!</v>
      </c>
      <c r="AF46" s="10" t="e">
        <f t="shared" si="50"/>
        <v>#DIV/0!</v>
      </c>
      <c r="AG46" s="10" t="e">
        <f t="shared" si="50"/>
        <v>#DIV/0!</v>
      </c>
      <c r="AH46" s="10" t="e">
        <f t="shared" si="50"/>
        <v>#DIV/0!</v>
      </c>
      <c r="AI46" s="10" t="e">
        <f t="shared" si="50"/>
        <v>#DIV/0!</v>
      </c>
      <c r="AJ46" s="10" t="e">
        <f t="shared" si="50"/>
        <v>#DIV/0!</v>
      </c>
      <c r="AK46" s="10" t="e">
        <f t="shared" si="50"/>
        <v>#DIV/0!</v>
      </c>
    </row>
    <row r="47" spans="1:37" x14ac:dyDescent="0.35">
      <c r="A47" s="8" t="s">
        <v>1</v>
      </c>
      <c r="B47" s="8">
        <f t="shared" ref="B47:J47" si="51">STDEV(B28:B43)</f>
        <v>1.8690892323296269E-2</v>
      </c>
      <c r="C47" s="8">
        <f t="shared" si="51"/>
        <v>4.1426661525598589E-2</v>
      </c>
      <c r="D47" s="8">
        <f t="shared" si="51"/>
        <v>9.4026600215183609E-2</v>
      </c>
      <c r="E47" s="8">
        <f t="shared" si="51"/>
        <v>0.10436720779577977</v>
      </c>
      <c r="F47" s="8">
        <f t="shared" si="51"/>
        <v>0.37341764025667662</v>
      </c>
      <c r="G47" s="8">
        <f t="shared" si="51"/>
        <v>0.4920417931649545</v>
      </c>
      <c r="H47" s="8">
        <f t="shared" si="51"/>
        <v>0.56064311298146496</v>
      </c>
      <c r="I47" s="8">
        <f t="shared" si="51"/>
        <v>2.1779568659481083E-2</v>
      </c>
      <c r="J47" s="8">
        <f t="shared" si="51"/>
        <v>3.780288981100044E-2</v>
      </c>
      <c r="K47" s="8">
        <f t="shared" ref="K47:M47" si="52">STDEV(K28:K43)</f>
        <v>7.5317356021544102E-2</v>
      </c>
      <c r="L47" s="8">
        <f t="shared" si="52"/>
        <v>2.2025481073285801E-2</v>
      </c>
      <c r="M47" s="8">
        <f t="shared" si="52"/>
        <v>3.02382524264663E-2</v>
      </c>
      <c r="N47" s="8" t="s">
        <v>1</v>
      </c>
      <c r="O47" s="8">
        <f t="shared" ref="O47:R47" si="53">STDEV(O28:O43)</f>
        <v>0.54772605494182725</v>
      </c>
      <c r="P47" s="8">
        <f t="shared" si="53"/>
        <v>0.54024413944279448</v>
      </c>
      <c r="Q47" s="8">
        <f t="shared" si="53"/>
        <v>6.7075859470351745E-2</v>
      </c>
      <c r="R47" s="8">
        <f t="shared" si="53"/>
        <v>0.41891023724380672</v>
      </c>
      <c r="S47" s="8">
        <f t="shared" ref="S47:AK47" si="54">STDEV(S28:S43)</f>
        <v>0.43923772608293676</v>
      </c>
      <c r="T47" s="8">
        <f t="shared" si="54"/>
        <v>0.16321021261516772</v>
      </c>
      <c r="U47" s="8">
        <f t="shared" si="54"/>
        <v>5.791383017276662E-2</v>
      </c>
      <c r="V47" s="8">
        <f t="shared" si="54"/>
        <v>0.20087210885327378</v>
      </c>
      <c r="W47" s="8" t="e">
        <f t="shared" si="54"/>
        <v>#DIV/0!</v>
      </c>
      <c r="X47" s="8" t="e">
        <f t="shared" si="54"/>
        <v>#DIV/0!</v>
      </c>
      <c r="Y47" s="8" t="e">
        <f t="shared" si="54"/>
        <v>#DIV/0!</v>
      </c>
      <c r="Z47" s="8" t="e">
        <f t="shared" si="54"/>
        <v>#DIV/0!</v>
      </c>
      <c r="AA47" s="8" t="e">
        <f t="shared" si="54"/>
        <v>#DIV/0!</v>
      </c>
      <c r="AB47" s="8" t="e">
        <f t="shared" si="54"/>
        <v>#DIV/0!</v>
      </c>
      <c r="AC47" s="8" t="e">
        <f t="shared" si="54"/>
        <v>#DIV/0!</v>
      </c>
      <c r="AD47" s="8" t="e">
        <f t="shared" si="54"/>
        <v>#DIV/0!</v>
      </c>
      <c r="AE47" s="8" t="e">
        <f t="shared" si="54"/>
        <v>#DIV/0!</v>
      </c>
      <c r="AF47" s="8" t="e">
        <f t="shared" si="54"/>
        <v>#DIV/0!</v>
      </c>
      <c r="AG47" s="8" t="e">
        <f t="shared" si="54"/>
        <v>#DIV/0!</v>
      </c>
      <c r="AH47" s="8" t="e">
        <f t="shared" si="54"/>
        <v>#DIV/0!</v>
      </c>
      <c r="AI47" s="8" t="e">
        <f t="shared" si="54"/>
        <v>#DIV/0!</v>
      </c>
      <c r="AJ47" s="8" t="e">
        <f t="shared" si="54"/>
        <v>#DIV/0!</v>
      </c>
      <c r="AK47" s="8" t="e">
        <f t="shared" si="54"/>
        <v>#DIV/0!</v>
      </c>
    </row>
    <row r="48" spans="1:37" x14ac:dyDescent="0.35">
      <c r="A48" s="8" t="s">
        <v>2</v>
      </c>
      <c r="B48" s="8">
        <f t="shared" ref="B48:J48" si="55" xml:space="preserve"> B47/SQRT(COUNT(B28:B43))</f>
        <v>6.6082283541151875E-3</v>
      </c>
      <c r="C48" s="8">
        <f t="shared" si="55"/>
        <v>1.4646536643335303E-2</v>
      </c>
      <c r="D48" s="8">
        <f t="shared" si="55"/>
        <v>3.3243423312036405E-2</v>
      </c>
      <c r="E48" s="8">
        <f t="shared" si="55"/>
        <v>3.6899380182950685E-2</v>
      </c>
      <c r="F48" s="8">
        <f t="shared" si="55"/>
        <v>0.13202307282008738</v>
      </c>
      <c r="G48" s="8">
        <f t="shared" si="55"/>
        <v>0.17396304428706397</v>
      </c>
      <c r="H48" s="8">
        <f t="shared" si="55"/>
        <v>0.19821727350736479</v>
      </c>
      <c r="I48" s="8">
        <f t="shared" si="55"/>
        <v>7.7002403452185392E-3</v>
      </c>
      <c r="J48" s="8">
        <f t="shared" si="55"/>
        <v>1.3365339866903126E-2</v>
      </c>
      <c r="K48" s="8">
        <f t="shared" ref="K48:M48" si="56" xml:space="preserve"> K47/SQRT(COUNT(K28:K43))</f>
        <v>2.8467284777131261E-2</v>
      </c>
      <c r="L48" s="8">
        <f t="shared" si="56"/>
        <v>8.3248493466391762E-3</v>
      </c>
      <c r="M48" s="8">
        <f t="shared" si="56"/>
        <v>1.1428985143089321E-2</v>
      </c>
      <c r="N48" s="8" t="s">
        <v>2</v>
      </c>
      <c r="O48" s="8">
        <f t="shared" ref="O48:R48" si="57" xml:space="preserve"> O47/SQRT(COUNT(O28:O43))</f>
        <v>0.13693151373545681</v>
      </c>
      <c r="P48" s="8">
        <f t="shared" si="57"/>
        <v>0.19100514724814535</v>
      </c>
      <c r="Q48" s="8">
        <f t="shared" si="57"/>
        <v>2.371489754270081E-2</v>
      </c>
      <c r="R48" s="8">
        <f t="shared" si="57"/>
        <v>0.14810713473178055</v>
      </c>
      <c r="S48" s="8">
        <f t="shared" ref="S48:AK48" si="58" xml:space="preserve"> S47/SQRT(COUNT(S28:S43))</f>
        <v>0.15529398733310193</v>
      </c>
      <c r="T48" s="8">
        <f t="shared" si="58"/>
        <v>6.1687662000815789E-2</v>
      </c>
      <c r="U48" s="8">
        <f t="shared" si="58"/>
        <v>2.1889370301195619E-2</v>
      </c>
      <c r="V48" s="8">
        <f t="shared" si="58"/>
        <v>7.10190151606961E-2</v>
      </c>
      <c r="W48" s="8" t="e">
        <f t="shared" si="58"/>
        <v>#DIV/0!</v>
      </c>
      <c r="X48" s="8" t="e">
        <f t="shared" si="58"/>
        <v>#DIV/0!</v>
      </c>
      <c r="Y48" s="8" t="e">
        <f t="shared" si="58"/>
        <v>#DIV/0!</v>
      </c>
      <c r="Z48" s="8" t="e">
        <f t="shared" si="58"/>
        <v>#DIV/0!</v>
      </c>
      <c r="AA48" s="8" t="e">
        <f t="shared" si="58"/>
        <v>#DIV/0!</v>
      </c>
      <c r="AB48" s="8" t="e">
        <f t="shared" si="58"/>
        <v>#DIV/0!</v>
      </c>
      <c r="AC48" s="8" t="e">
        <f t="shared" si="58"/>
        <v>#DIV/0!</v>
      </c>
      <c r="AD48" s="8" t="e">
        <f t="shared" si="58"/>
        <v>#DIV/0!</v>
      </c>
      <c r="AE48" s="8" t="e">
        <f t="shared" si="58"/>
        <v>#DIV/0!</v>
      </c>
      <c r="AF48" s="8" t="e">
        <f t="shared" si="58"/>
        <v>#DIV/0!</v>
      </c>
      <c r="AG48" s="8" t="e">
        <f t="shared" si="58"/>
        <v>#DIV/0!</v>
      </c>
      <c r="AH48" s="8" t="e">
        <f t="shared" si="58"/>
        <v>#DIV/0!</v>
      </c>
      <c r="AI48" s="8" t="e">
        <f t="shared" si="58"/>
        <v>#DIV/0!</v>
      </c>
      <c r="AJ48" s="8" t="e">
        <f t="shared" si="58"/>
        <v>#DIV/0!</v>
      </c>
      <c r="AK48" s="8" t="e">
        <f t="shared" si="58"/>
        <v>#DIV/0!</v>
      </c>
    </row>
    <row r="49" spans="1:37"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6.5" thickBot="1" x14ac:dyDescent="0.65">
      <c r="A50" s="225" t="s">
        <v>44</v>
      </c>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7"/>
    </row>
    <row r="51" spans="1:37" customFormat="1" ht="15" thickBot="1" x14ac:dyDescent="0.4">
      <c r="AE51" s="1"/>
      <c r="AF51" s="1"/>
      <c r="AG51" s="1"/>
      <c r="AH51" s="1"/>
      <c r="AI51" s="1"/>
      <c r="AJ51" s="1"/>
    </row>
    <row r="52" spans="1:37" x14ac:dyDescent="0.35">
      <c r="A52" s="45" t="str">
        <f t="shared" ref="A52:H52" si="59">A27</f>
        <v>Noms des groupes</v>
      </c>
      <c r="B52" s="46" t="str">
        <f t="shared" si="59"/>
        <v>Témoin solvant</v>
      </c>
      <c r="C52" s="46" t="str">
        <f t="shared" si="59"/>
        <v>EE2-33,8ng/L</v>
      </c>
      <c r="D52" s="46" t="str">
        <f t="shared" si="59"/>
        <v>EE2-50,6ng/L</v>
      </c>
      <c r="E52" s="46" t="str">
        <f t="shared" si="59"/>
        <v>EE2-76ng/L</v>
      </c>
      <c r="F52" s="46" t="str">
        <f t="shared" si="59"/>
        <v>EE2-114ng/L</v>
      </c>
      <c r="G52" s="46" t="str">
        <f t="shared" si="59"/>
        <v>EE2-170,9ng/L</v>
      </c>
      <c r="H52" s="46" t="str">
        <f t="shared" si="59"/>
        <v>EE2-488ng/L</v>
      </c>
      <c r="I52" s="46" t="str">
        <f>I4</f>
        <v>Anastrozole 0,032 ug/L</v>
      </c>
      <c r="J52" s="46" t="str">
        <f>J4</f>
        <v>Anastrozole 0,16 ug/L</v>
      </c>
      <c r="K52" s="46" t="str">
        <f t="shared" ref="K52:M52" si="60">K4</f>
        <v>Anastrozole 0,8 ug/L</v>
      </c>
      <c r="L52" s="46" t="str">
        <f t="shared" si="60"/>
        <v>Anastrozole 4 ug/L</v>
      </c>
      <c r="M52" s="46" t="str">
        <f t="shared" si="60"/>
        <v>Anastrozole 20 ug/L</v>
      </c>
      <c r="N52" s="47"/>
      <c r="O52" s="46" t="str">
        <f>O27</f>
        <v>Testo -30µg/L</v>
      </c>
      <c r="P52" s="46" t="str">
        <f>P27</f>
        <v>Testo 30µg/L + EE2 -64ng/L</v>
      </c>
      <c r="Q52" s="46" t="str">
        <f>Q27</f>
        <v>Testo 30µg/L + FAD-10mg/L</v>
      </c>
      <c r="R52" s="46" t="str">
        <f>R27</f>
        <v>Anastrozole-0,032ug/L + Testostérone</v>
      </c>
      <c r="S52" s="46" t="str">
        <f t="shared" ref="S52:AC52" si="61">S27</f>
        <v>Anastrozole-0,16ug/L + Testostérone</v>
      </c>
      <c r="T52" s="46" t="str">
        <f t="shared" si="61"/>
        <v>Anastrozole-0,8ug/L + Testostérone</v>
      </c>
      <c r="U52" s="46" t="str">
        <f t="shared" si="61"/>
        <v>Anastrozole-4ug/L + Testostérone</v>
      </c>
      <c r="V52" s="46" t="str">
        <f t="shared" si="61"/>
        <v>Anastrozole-20ug/L + Testostérone</v>
      </c>
      <c r="W52" s="46" t="str">
        <f t="shared" si="61"/>
        <v>0-00 + Testostérone</v>
      </c>
      <c r="X52" s="46" t="str">
        <f t="shared" si="61"/>
        <v>0-00 + Testostérone</v>
      </c>
      <c r="Y52" s="46" t="str">
        <f t="shared" si="61"/>
        <v>0-00 + Testostérone</v>
      </c>
      <c r="Z52" s="46" t="str">
        <f t="shared" si="61"/>
        <v>0-00 + Testostérone</v>
      </c>
      <c r="AA52" s="46" t="str">
        <f t="shared" si="61"/>
        <v>0-00 + Testostérone</v>
      </c>
      <c r="AB52" s="46" t="str">
        <f t="shared" si="61"/>
        <v>0-00 + Testostérone</v>
      </c>
      <c r="AC52" s="46" t="str">
        <f t="shared" si="61"/>
        <v>0-00 + Testostérone</v>
      </c>
      <c r="AD52" s="46" t="str">
        <f t="shared" ref="AD52:AK52" si="62">AD27</f>
        <v>0-00 + Testostérone</v>
      </c>
      <c r="AE52" s="46" t="str">
        <f t="shared" si="62"/>
        <v>0-00 + Testostérone</v>
      </c>
      <c r="AF52" s="46" t="str">
        <f t="shared" si="62"/>
        <v>0-00 + Testostérone</v>
      </c>
      <c r="AG52" s="46" t="str">
        <f t="shared" si="62"/>
        <v>0-00 + Testostérone</v>
      </c>
      <c r="AH52" s="46" t="str">
        <f t="shared" si="62"/>
        <v>0-00 + Testostérone</v>
      </c>
      <c r="AI52" s="46" t="str">
        <f t="shared" si="62"/>
        <v>0-00 + Testostérone</v>
      </c>
      <c r="AJ52" s="46" t="str">
        <f t="shared" si="62"/>
        <v>0-00 + Testostérone</v>
      </c>
      <c r="AK52" s="46" t="str">
        <f t="shared" si="62"/>
        <v>0-00 + Testostérone</v>
      </c>
    </row>
    <row r="53" spans="1:37" s="3" customFormat="1" x14ac:dyDescent="0.35">
      <c r="A53" s="64" t="s">
        <v>32</v>
      </c>
      <c r="B53" s="145">
        <f t="shared" ref="B53" si="63">B46</f>
        <v>4.0907070771282729E-2</v>
      </c>
      <c r="C53" s="145">
        <f t="shared" ref="C53:AK53" si="64">C46</f>
        <v>4.8686267281179349E-2</v>
      </c>
      <c r="D53" s="145">
        <f t="shared" si="64"/>
        <v>7.7554734042469195E-2</v>
      </c>
      <c r="E53" s="145">
        <f t="shared" si="64"/>
        <v>0.16197920433918336</v>
      </c>
      <c r="F53" s="145">
        <f t="shared" si="64"/>
        <v>0.63743118140337141</v>
      </c>
      <c r="G53" s="145">
        <f t="shared" si="64"/>
        <v>1.4496870358223231</v>
      </c>
      <c r="H53" s="145">
        <f t="shared" si="64"/>
        <v>1.8498086889671457</v>
      </c>
      <c r="I53" s="145">
        <f t="shared" si="64"/>
        <v>4.6448556404700268E-2</v>
      </c>
      <c r="J53" s="145">
        <f t="shared" si="64"/>
        <v>5.6811730613303316E-2</v>
      </c>
      <c r="K53" s="145">
        <f t="shared" si="64"/>
        <v>0.10530840625457952</v>
      </c>
      <c r="L53" s="145">
        <f t="shared" si="64"/>
        <v>4.4279382295251649E-2</v>
      </c>
      <c r="M53" s="145">
        <f t="shared" si="64"/>
        <v>4.2688229358891432E-2</v>
      </c>
      <c r="N53" s="145"/>
      <c r="O53" s="145">
        <f t="shared" si="64"/>
        <v>0.99999999999999978</v>
      </c>
      <c r="P53" s="145">
        <f t="shared" si="64"/>
        <v>1.40663121805692</v>
      </c>
      <c r="Q53" s="145">
        <f t="shared" si="64"/>
        <v>0.10523113308147501</v>
      </c>
      <c r="R53" s="145">
        <f t="shared" si="64"/>
        <v>0.67171065761147419</v>
      </c>
      <c r="S53" s="145">
        <f t="shared" si="64"/>
        <v>0.48276875101323757</v>
      </c>
      <c r="T53" s="145">
        <f t="shared" si="64"/>
        <v>0.12526129969869895</v>
      </c>
      <c r="U53" s="145">
        <f t="shared" si="64"/>
        <v>5.7401926786694979E-2</v>
      </c>
      <c r="V53" s="145">
        <f t="shared" si="64"/>
        <v>0.12565258386566644</v>
      </c>
      <c r="W53" s="145" t="e">
        <f t="shared" si="64"/>
        <v>#DIV/0!</v>
      </c>
      <c r="X53" s="145" t="e">
        <f t="shared" si="64"/>
        <v>#DIV/0!</v>
      </c>
      <c r="Y53" s="145" t="e">
        <f t="shared" si="64"/>
        <v>#DIV/0!</v>
      </c>
      <c r="Z53" s="145" t="e">
        <f t="shared" si="64"/>
        <v>#DIV/0!</v>
      </c>
      <c r="AA53" s="145" t="e">
        <f t="shared" si="64"/>
        <v>#DIV/0!</v>
      </c>
      <c r="AB53" s="145" t="e">
        <f t="shared" si="64"/>
        <v>#DIV/0!</v>
      </c>
      <c r="AC53" s="145" t="e">
        <f t="shared" si="64"/>
        <v>#DIV/0!</v>
      </c>
      <c r="AD53" s="145" t="e">
        <f t="shared" si="64"/>
        <v>#DIV/0!</v>
      </c>
      <c r="AE53" s="145" t="e">
        <f t="shared" si="64"/>
        <v>#DIV/0!</v>
      </c>
      <c r="AF53" s="145" t="e">
        <f t="shared" si="64"/>
        <v>#DIV/0!</v>
      </c>
      <c r="AG53" s="145" t="e">
        <f t="shared" si="64"/>
        <v>#DIV/0!</v>
      </c>
      <c r="AH53" s="145" t="e">
        <f t="shared" si="64"/>
        <v>#DIV/0!</v>
      </c>
      <c r="AI53" s="145" t="e">
        <f t="shared" si="64"/>
        <v>#DIV/0!</v>
      </c>
      <c r="AJ53" s="145" t="e">
        <f t="shared" si="64"/>
        <v>#DIV/0!</v>
      </c>
      <c r="AK53" s="145" t="e">
        <f t="shared" si="64"/>
        <v>#DIV/0!</v>
      </c>
    </row>
    <row r="54" spans="1:37" s="3" customFormat="1" x14ac:dyDescent="0.35">
      <c r="A54" s="64" t="s">
        <v>2</v>
      </c>
      <c r="B54" s="145">
        <f t="shared" ref="B54" si="65">B48</f>
        <v>6.6082283541151875E-3</v>
      </c>
      <c r="C54" s="145">
        <f t="shared" ref="C54:AK54" si="66">C48</f>
        <v>1.4646536643335303E-2</v>
      </c>
      <c r="D54" s="145">
        <f t="shared" si="66"/>
        <v>3.3243423312036405E-2</v>
      </c>
      <c r="E54" s="145">
        <f t="shared" si="66"/>
        <v>3.6899380182950685E-2</v>
      </c>
      <c r="F54" s="145">
        <f t="shared" si="66"/>
        <v>0.13202307282008738</v>
      </c>
      <c r="G54" s="145">
        <f t="shared" si="66"/>
        <v>0.17396304428706397</v>
      </c>
      <c r="H54" s="145">
        <f t="shared" si="66"/>
        <v>0.19821727350736479</v>
      </c>
      <c r="I54" s="145">
        <f t="shared" si="66"/>
        <v>7.7002403452185392E-3</v>
      </c>
      <c r="J54" s="145">
        <f t="shared" si="66"/>
        <v>1.3365339866903126E-2</v>
      </c>
      <c r="K54" s="145">
        <f t="shared" si="66"/>
        <v>2.8467284777131261E-2</v>
      </c>
      <c r="L54" s="145">
        <f t="shared" si="66"/>
        <v>8.3248493466391762E-3</v>
      </c>
      <c r="M54" s="145">
        <f t="shared" si="66"/>
        <v>1.1428985143089321E-2</v>
      </c>
      <c r="N54" s="145"/>
      <c r="O54" s="145">
        <f t="shared" si="66"/>
        <v>0.13693151373545681</v>
      </c>
      <c r="P54" s="145">
        <f t="shared" si="66"/>
        <v>0.19100514724814535</v>
      </c>
      <c r="Q54" s="145">
        <f t="shared" si="66"/>
        <v>2.371489754270081E-2</v>
      </c>
      <c r="R54" s="145">
        <f t="shared" si="66"/>
        <v>0.14810713473178055</v>
      </c>
      <c r="S54" s="145">
        <f t="shared" si="66"/>
        <v>0.15529398733310193</v>
      </c>
      <c r="T54" s="145">
        <f t="shared" si="66"/>
        <v>6.1687662000815789E-2</v>
      </c>
      <c r="U54" s="145">
        <f t="shared" si="66"/>
        <v>2.1889370301195619E-2</v>
      </c>
      <c r="V54" s="145">
        <f t="shared" si="66"/>
        <v>7.10190151606961E-2</v>
      </c>
      <c r="W54" s="145" t="e">
        <f t="shared" si="66"/>
        <v>#DIV/0!</v>
      </c>
      <c r="X54" s="145" t="e">
        <f t="shared" si="66"/>
        <v>#DIV/0!</v>
      </c>
      <c r="Y54" s="145" t="e">
        <f t="shared" si="66"/>
        <v>#DIV/0!</v>
      </c>
      <c r="Z54" s="145" t="e">
        <f t="shared" si="66"/>
        <v>#DIV/0!</v>
      </c>
      <c r="AA54" s="145" t="e">
        <f t="shared" si="66"/>
        <v>#DIV/0!</v>
      </c>
      <c r="AB54" s="145" t="e">
        <f t="shared" si="66"/>
        <v>#DIV/0!</v>
      </c>
      <c r="AC54" s="145" t="e">
        <f t="shared" si="66"/>
        <v>#DIV/0!</v>
      </c>
      <c r="AD54" s="145" t="e">
        <f t="shared" si="66"/>
        <v>#DIV/0!</v>
      </c>
      <c r="AE54" s="145" t="e">
        <f t="shared" si="66"/>
        <v>#DIV/0!</v>
      </c>
      <c r="AF54" s="145" t="e">
        <f t="shared" si="66"/>
        <v>#DIV/0!</v>
      </c>
      <c r="AG54" s="145" t="e">
        <f t="shared" si="66"/>
        <v>#DIV/0!</v>
      </c>
      <c r="AH54" s="145" t="e">
        <f t="shared" si="66"/>
        <v>#DIV/0!</v>
      </c>
      <c r="AI54" s="145" t="e">
        <f t="shared" si="66"/>
        <v>#DIV/0!</v>
      </c>
      <c r="AJ54" s="145" t="e">
        <f t="shared" si="66"/>
        <v>#DIV/0!</v>
      </c>
      <c r="AK54" s="145" t="e">
        <f t="shared" si="66"/>
        <v>#DIV/0!</v>
      </c>
    </row>
    <row r="55" spans="1:37" s="3" customFormat="1" x14ac:dyDescent="0.35">
      <c r="A55" s="64" t="s">
        <v>79</v>
      </c>
      <c r="B55" s="145">
        <f>(B53*100/$B53)-100</f>
        <v>0</v>
      </c>
      <c r="C55" s="145">
        <f t="shared" ref="C55:M55" si="67">(C53*100/$B53)-100</f>
        <v>19.016752759910915</v>
      </c>
      <c r="D55" s="145">
        <f t="shared" si="67"/>
        <v>89.587600823556357</v>
      </c>
      <c r="E55" s="145">
        <f t="shared" si="67"/>
        <v>295.96871955176704</v>
      </c>
      <c r="F55" s="145">
        <f t="shared" si="67"/>
        <v>1458.2420578763513</v>
      </c>
      <c r="G55" s="145">
        <f t="shared" si="67"/>
        <v>3443.854420493049</v>
      </c>
      <c r="H55" s="145">
        <f t="shared" si="67"/>
        <v>4421.9778734822885</v>
      </c>
      <c r="I55" s="145">
        <f t="shared" si="67"/>
        <v>13.546522713397835</v>
      </c>
      <c r="J55" s="145">
        <f t="shared" si="67"/>
        <v>38.87997732945928</v>
      </c>
      <c r="K55" s="145">
        <f t="shared" si="67"/>
        <v>157.43326097185945</v>
      </c>
      <c r="L55" s="145">
        <f t="shared" si="67"/>
        <v>8.2438352597378497</v>
      </c>
      <c r="M55" s="145">
        <f t="shared" si="67"/>
        <v>4.3541582274795871</v>
      </c>
      <c r="N55" s="145"/>
      <c r="O55" s="145">
        <f>(O53*100/$O53)-100</f>
        <v>0</v>
      </c>
      <c r="P55" s="145">
        <f t="shared" ref="P55:AK55" si="68">(P53*100/$O53)-100</f>
        <v>40.663121805692043</v>
      </c>
      <c r="Q55" s="145">
        <f t="shared" si="68"/>
        <v>-89.476886691852499</v>
      </c>
      <c r="R55" s="145">
        <f t="shared" si="68"/>
        <v>-32.828934238852568</v>
      </c>
      <c r="S55" s="145">
        <f t="shared" si="68"/>
        <v>-51.723124898676225</v>
      </c>
      <c r="T55" s="145">
        <f t="shared" si="68"/>
        <v>-87.473870030130101</v>
      </c>
      <c r="U55" s="145">
        <f t="shared" si="68"/>
        <v>-94.259807321330499</v>
      </c>
      <c r="V55" s="145">
        <f t="shared" si="68"/>
        <v>-87.434741613433346</v>
      </c>
      <c r="W55" s="145" t="e">
        <f t="shared" si="68"/>
        <v>#DIV/0!</v>
      </c>
      <c r="X55" s="145" t="e">
        <f t="shared" si="68"/>
        <v>#DIV/0!</v>
      </c>
      <c r="Y55" s="145" t="e">
        <f t="shared" si="68"/>
        <v>#DIV/0!</v>
      </c>
      <c r="Z55" s="145" t="e">
        <f t="shared" si="68"/>
        <v>#DIV/0!</v>
      </c>
      <c r="AA55" s="145" t="e">
        <f t="shared" si="68"/>
        <v>#DIV/0!</v>
      </c>
      <c r="AB55" s="145" t="e">
        <f t="shared" si="68"/>
        <v>#DIV/0!</v>
      </c>
      <c r="AC55" s="145" t="e">
        <f t="shared" si="68"/>
        <v>#DIV/0!</v>
      </c>
      <c r="AD55" s="145" t="e">
        <f t="shared" si="68"/>
        <v>#DIV/0!</v>
      </c>
      <c r="AE55" s="145" t="e">
        <f t="shared" si="68"/>
        <v>#DIV/0!</v>
      </c>
      <c r="AF55" s="145" t="e">
        <f t="shared" si="68"/>
        <v>#DIV/0!</v>
      </c>
      <c r="AG55" s="145" t="e">
        <f t="shared" si="68"/>
        <v>#DIV/0!</v>
      </c>
      <c r="AH55" s="145" t="e">
        <f t="shared" si="68"/>
        <v>#DIV/0!</v>
      </c>
      <c r="AI55" s="145" t="e">
        <f t="shared" si="68"/>
        <v>#DIV/0!</v>
      </c>
      <c r="AJ55" s="145" t="e">
        <f t="shared" si="68"/>
        <v>#DIV/0!</v>
      </c>
      <c r="AK55" s="145" t="e">
        <f t="shared" si="68"/>
        <v>#DIV/0!</v>
      </c>
    </row>
    <row r="56" spans="1:37" s="3" customFormat="1" x14ac:dyDescent="0.35">
      <c r="A56" s="64" t="s">
        <v>81</v>
      </c>
      <c r="B56" s="145">
        <f>[1]!SWTEST(B28:B43)</f>
        <v>0.85269300305382667</v>
      </c>
      <c r="C56" s="145">
        <f>[1]!SWTEST(C28:C43)</f>
        <v>0.36140750585034132</v>
      </c>
      <c r="D56" s="145">
        <f>[1]!SWTEST(D28:D43)</f>
        <v>5.1512884116796664E-3</v>
      </c>
      <c r="E56" s="145">
        <f>[1]!SWTEST(E28:E43)</f>
        <v>9.1571704924781838E-2</v>
      </c>
      <c r="F56" s="145">
        <f>[1]!SWTEST(F28:F43)</f>
        <v>0.57681774181255696</v>
      </c>
      <c r="G56" s="145">
        <f>[1]!SWTEST(G28:G43)</f>
        <v>0.42138525336871357</v>
      </c>
      <c r="H56" s="145">
        <f>[1]!SWTEST(H28:H43)</f>
        <v>0.41720737772772631</v>
      </c>
      <c r="I56" s="145">
        <f>[1]!SWTEST(I28:I43)</f>
        <v>0.59455553044452258</v>
      </c>
      <c r="J56" s="145">
        <f>[1]!SWTEST(J28:J43)</f>
        <v>7.9894198856615195E-2</v>
      </c>
      <c r="K56" s="145">
        <f>[1]!SWTEST(K28:K43)</f>
        <v>0.11853244482226155</v>
      </c>
      <c r="L56" s="145">
        <f>[1]!SWTEST(L28:L43)</f>
        <v>0.64305709986080084</v>
      </c>
      <c r="M56" s="145">
        <f>[1]!SWTEST(M28:M43)</f>
        <v>0.17075765484621275</v>
      </c>
      <c r="N56" s="145" t="e">
        <f>[1]!SWTEST(N28:N43)</f>
        <v>#VALUE!</v>
      </c>
      <c r="O56" s="145">
        <f>[1]!SWTEST(O28:O43)</f>
        <v>0.23364704812243908</v>
      </c>
      <c r="P56" s="145">
        <f>[1]!SWTEST(P28:P43)</f>
        <v>0.44230695338590109</v>
      </c>
      <c r="Q56" s="145">
        <f>[1]!SWTEST(Q28:Q43)</f>
        <v>0.5617276328478743</v>
      </c>
      <c r="R56" s="145">
        <f>[1]!SWTEST(R28:R43)</f>
        <v>0.35007026393125373</v>
      </c>
      <c r="S56" s="145">
        <f>[1]!SWTEST(S28:S43)</f>
        <v>0.14035495215717564</v>
      </c>
      <c r="T56" s="145">
        <f>[1]!SWTEST(T28:T43)</f>
        <v>3.2711400895221732E-2</v>
      </c>
      <c r="U56" s="145">
        <f>[1]!SWTEST(U28:U43)</f>
        <v>3.2041552626846603E-2</v>
      </c>
      <c r="V56" s="145">
        <f>[1]!SWTEST(V28:V43)</f>
        <v>2.196958803657445E-5</v>
      </c>
      <c r="W56" s="145" t="e">
        <f ca="1">[2]!SWTEST(W28:W43)</f>
        <v>#NAME?</v>
      </c>
      <c r="X56" s="145" t="e">
        <f ca="1">[2]!SWTEST(X28:X43)</f>
        <v>#NAME?</v>
      </c>
      <c r="Y56" s="145" t="e">
        <f ca="1">[2]!SWTEST(Y28:Y43)</f>
        <v>#NAME?</v>
      </c>
      <c r="Z56" s="145" t="e">
        <f ca="1">[2]!SWTEST(Z28:Z43)</f>
        <v>#NAME?</v>
      </c>
      <c r="AA56" s="145" t="e">
        <f ca="1">[2]!SWTEST(AA28:AA43)</f>
        <v>#NAME?</v>
      </c>
      <c r="AB56" s="145" t="e">
        <f ca="1">[2]!SWTEST(AB28:AB43)</f>
        <v>#NAME?</v>
      </c>
      <c r="AC56" s="145" t="e">
        <f ca="1">[2]!SWTEST(AC28:AC43)</f>
        <v>#NAME?</v>
      </c>
      <c r="AD56" s="145" t="e">
        <f ca="1">[2]!SWTEST(AD28:AD43)</f>
        <v>#NAME?</v>
      </c>
      <c r="AE56" s="145" t="e">
        <f ca="1">[2]!SWTEST(AE28:AE43)</f>
        <v>#NAME?</v>
      </c>
      <c r="AF56" s="145" t="e">
        <f ca="1">[2]!SWTEST(AF28:AF43)</f>
        <v>#NAME?</v>
      </c>
      <c r="AG56" s="145" t="e">
        <f ca="1">[2]!SWTEST(AG28:AG43)</f>
        <v>#NAME?</v>
      </c>
      <c r="AH56" s="145" t="e">
        <f ca="1">[2]!SWTEST(AH28:AH43)</f>
        <v>#NAME?</v>
      </c>
      <c r="AI56" s="145" t="e">
        <f ca="1">[2]!SWTEST(AI28:AI43)</f>
        <v>#NAME?</v>
      </c>
      <c r="AJ56" s="145" t="e">
        <f ca="1">[2]!SWTEST(AJ28:AJ43)</f>
        <v>#NAME?</v>
      </c>
      <c r="AK56" s="145" t="e">
        <f ca="1">[2]!SWTEST(AK28:AK43)</f>
        <v>#NAME?</v>
      </c>
    </row>
    <row r="57" spans="1:37" s="3" customFormat="1" x14ac:dyDescent="0.35">
      <c r="A57" s="64" t="s">
        <v>85</v>
      </c>
      <c r="B57" s="145" t="str">
        <f>IF(B56&gt;0.05,"Oui","Non")</f>
        <v>Oui</v>
      </c>
      <c r="C57" s="145" t="str">
        <f t="shared" ref="C57:V57" si="69">IF(C56&gt;0.05,"Oui","Non")</f>
        <v>Oui</v>
      </c>
      <c r="D57" s="145" t="str">
        <f t="shared" si="69"/>
        <v>Non</v>
      </c>
      <c r="E57" s="145" t="str">
        <f t="shared" si="69"/>
        <v>Oui</v>
      </c>
      <c r="F57" s="145" t="str">
        <f t="shared" si="69"/>
        <v>Oui</v>
      </c>
      <c r="G57" s="145" t="str">
        <f t="shared" si="69"/>
        <v>Oui</v>
      </c>
      <c r="H57" s="145" t="str">
        <f t="shared" si="69"/>
        <v>Oui</v>
      </c>
      <c r="I57" s="145" t="str">
        <f t="shared" si="69"/>
        <v>Oui</v>
      </c>
      <c r="J57" s="145" t="str">
        <f t="shared" si="69"/>
        <v>Oui</v>
      </c>
      <c r="K57" s="145" t="str">
        <f t="shared" si="69"/>
        <v>Oui</v>
      </c>
      <c r="L57" s="145" t="str">
        <f t="shared" si="69"/>
        <v>Oui</v>
      </c>
      <c r="M57" s="145" t="str">
        <f t="shared" si="69"/>
        <v>Oui</v>
      </c>
      <c r="N57" s="145" t="e">
        <f t="shared" si="69"/>
        <v>#VALUE!</v>
      </c>
      <c r="O57" s="145" t="str">
        <f t="shared" si="69"/>
        <v>Oui</v>
      </c>
      <c r="P57" s="145" t="str">
        <f t="shared" si="69"/>
        <v>Oui</v>
      </c>
      <c r="Q57" s="145" t="str">
        <f t="shared" si="69"/>
        <v>Oui</v>
      </c>
      <c r="R57" s="145" t="str">
        <f t="shared" si="69"/>
        <v>Oui</v>
      </c>
      <c r="S57" s="145" t="str">
        <f t="shared" si="69"/>
        <v>Oui</v>
      </c>
      <c r="T57" s="145" t="str">
        <f t="shared" si="69"/>
        <v>Non</v>
      </c>
      <c r="U57" s="145" t="str">
        <f t="shared" si="69"/>
        <v>Non</v>
      </c>
      <c r="V57" s="145" t="str">
        <f t="shared" si="69"/>
        <v>Non</v>
      </c>
      <c r="W57" s="145" t="e">
        <f t="shared" ref="W57:AK57" ca="1" si="70">IF(W56&gt;0.05,"Oui","Non")</f>
        <v>#NAME?</v>
      </c>
      <c r="X57" s="145" t="e">
        <f t="shared" ca="1" si="70"/>
        <v>#NAME?</v>
      </c>
      <c r="Y57" s="145" t="e">
        <f t="shared" ca="1" si="70"/>
        <v>#NAME?</v>
      </c>
      <c r="Z57" s="145" t="e">
        <f t="shared" ca="1" si="70"/>
        <v>#NAME?</v>
      </c>
      <c r="AA57" s="145" t="e">
        <f t="shared" ca="1" si="70"/>
        <v>#NAME?</v>
      </c>
      <c r="AB57" s="145" t="e">
        <f t="shared" ca="1" si="70"/>
        <v>#NAME?</v>
      </c>
      <c r="AC57" s="145" t="e">
        <f t="shared" ca="1" si="70"/>
        <v>#NAME?</v>
      </c>
      <c r="AD57" s="145" t="e">
        <f t="shared" ca="1" si="70"/>
        <v>#NAME?</v>
      </c>
      <c r="AE57" s="145" t="e">
        <f t="shared" ca="1" si="70"/>
        <v>#NAME?</v>
      </c>
      <c r="AF57" s="145" t="e">
        <f t="shared" ca="1" si="70"/>
        <v>#NAME?</v>
      </c>
      <c r="AG57" s="145" t="e">
        <f t="shared" ca="1" si="70"/>
        <v>#NAME?</v>
      </c>
      <c r="AH57" s="145" t="e">
        <f t="shared" ca="1" si="70"/>
        <v>#NAME?</v>
      </c>
      <c r="AI57" s="145" t="e">
        <f t="shared" ca="1" si="70"/>
        <v>#NAME?</v>
      </c>
      <c r="AJ57" s="145" t="e">
        <f t="shared" ca="1" si="70"/>
        <v>#NAME?</v>
      </c>
      <c r="AK57" s="145" t="e">
        <f t="shared" ca="1" si="70"/>
        <v>#NAME?</v>
      </c>
    </row>
    <row r="58" spans="1:37" s="3" customFormat="1" x14ac:dyDescent="0.3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35">
      <c r="A59" s="64" t="s">
        <v>82</v>
      </c>
      <c r="B59" s="156"/>
      <c r="C59" s="156" t="str">
        <f t="shared" ref="C59:O59" si="71">IF($B57="Non",IF(C57="Non","MW",IF(C57="Oui","MW","")),IF($B57="Oui",IF(C57="Oui","T-Test Welch",IF(C57="Non","MW",""))))</f>
        <v>T-Test Welch</v>
      </c>
      <c r="D59" s="156" t="str">
        <f t="shared" si="71"/>
        <v>MW</v>
      </c>
      <c r="E59" s="156" t="str">
        <f t="shared" si="71"/>
        <v>T-Test Welch</v>
      </c>
      <c r="F59" s="156" t="str">
        <f t="shared" si="71"/>
        <v>T-Test Welch</v>
      </c>
      <c r="G59" s="156" t="str">
        <f t="shared" si="71"/>
        <v>T-Test Welch</v>
      </c>
      <c r="H59" s="156" t="str">
        <f t="shared" si="71"/>
        <v>T-Test Welch</v>
      </c>
      <c r="I59" s="156" t="str">
        <f t="shared" si="71"/>
        <v>T-Test Welch</v>
      </c>
      <c r="J59" s="156" t="str">
        <f t="shared" si="71"/>
        <v>T-Test Welch</v>
      </c>
      <c r="K59" s="156" t="str">
        <f t="shared" si="71"/>
        <v>T-Test Welch</v>
      </c>
      <c r="L59" s="156" t="str">
        <f t="shared" si="71"/>
        <v>T-Test Welch</v>
      </c>
      <c r="M59" s="156" t="str">
        <f t="shared" si="71"/>
        <v>T-Test Welch</v>
      </c>
      <c r="N59" s="156"/>
      <c r="O59" s="156" t="str">
        <f t="shared" si="71"/>
        <v>T-Test Welch</v>
      </c>
      <c r="P59" s="156" t="str">
        <f>IF($O57="Non",IF(P57="Non","MW",IF(P57="Oui","MW","")),IF($O57="Oui",IF(P57="Oui","T-Test Welch",IF(P57="Non","MW",""))))</f>
        <v>T-Test Welch</v>
      </c>
      <c r="Q59" s="156" t="str">
        <f t="shared" ref="Q59:AK59" si="72">IF($O57="Non",IF(Q57="Non","MW",IF(Q57="Oui","MW","")),IF($O57="Oui",IF(Q57="Oui","T-Test Welch",IF(Q57="Non","MW",""))))</f>
        <v>T-Test Welch</v>
      </c>
      <c r="R59" s="156" t="str">
        <f t="shared" si="72"/>
        <v>T-Test Welch</v>
      </c>
      <c r="S59" s="156" t="str">
        <f t="shared" si="72"/>
        <v>T-Test Welch</v>
      </c>
      <c r="T59" s="156" t="str">
        <f t="shared" si="72"/>
        <v>MW</v>
      </c>
      <c r="U59" s="156" t="str">
        <f t="shared" si="72"/>
        <v>MW</v>
      </c>
      <c r="V59" s="156" t="str">
        <f t="shared" si="72"/>
        <v>MW</v>
      </c>
      <c r="W59" s="156" t="e">
        <f t="shared" ca="1" si="72"/>
        <v>#NAME?</v>
      </c>
      <c r="X59" s="156" t="e">
        <f t="shared" ca="1" si="72"/>
        <v>#NAME?</v>
      </c>
      <c r="Y59" s="156" t="e">
        <f t="shared" ca="1" si="72"/>
        <v>#NAME?</v>
      </c>
      <c r="Z59" s="156" t="e">
        <f t="shared" ca="1" si="72"/>
        <v>#NAME?</v>
      </c>
      <c r="AA59" s="156" t="e">
        <f t="shared" ca="1" si="72"/>
        <v>#NAME?</v>
      </c>
      <c r="AB59" s="156" t="e">
        <f t="shared" ca="1" si="72"/>
        <v>#NAME?</v>
      </c>
      <c r="AC59" s="156" t="e">
        <f t="shared" ca="1" si="72"/>
        <v>#NAME?</v>
      </c>
      <c r="AD59" s="156" t="e">
        <f t="shared" ca="1" si="72"/>
        <v>#NAME?</v>
      </c>
      <c r="AE59" s="156" t="e">
        <f t="shared" ca="1" si="72"/>
        <v>#NAME?</v>
      </c>
      <c r="AF59" s="156" t="e">
        <f t="shared" ca="1" si="72"/>
        <v>#NAME?</v>
      </c>
      <c r="AG59" s="156" t="e">
        <f t="shared" ca="1" si="72"/>
        <v>#NAME?</v>
      </c>
      <c r="AH59" s="156" t="e">
        <f t="shared" ca="1" si="72"/>
        <v>#NAME?</v>
      </c>
      <c r="AI59" s="156" t="e">
        <f t="shared" ca="1" si="72"/>
        <v>#NAME?</v>
      </c>
      <c r="AJ59" s="156" t="e">
        <f t="shared" ca="1" si="72"/>
        <v>#NAME?</v>
      </c>
      <c r="AK59" s="156" t="e">
        <f t="shared" ca="1" si="72"/>
        <v>#NAME?</v>
      </c>
    </row>
    <row r="60" spans="1:37" s="3" customFormat="1" x14ac:dyDescent="0.35">
      <c r="A60" s="64" t="s">
        <v>83</v>
      </c>
      <c r="B60" s="157"/>
      <c r="C60" s="157">
        <f>IF(C59="MW",[1]!MTEST($B28:$B43,C28:C43,2), IF(C59="T-Test Welch",_xlfn.T.TEST($B28:$B43,C28:C43,2,3),""))</f>
        <v>0.63899560107580411</v>
      </c>
      <c r="D60" s="157">
        <f>IF(D59="MW",[1]!MTEST($B28:$B43,D28:D43,2), IF(D59="T-Test Welch",_xlfn.T.TEST($B28:$B43,D28:D43,2,3),""))</f>
        <v>0.91635914027348853</v>
      </c>
      <c r="E60" s="157">
        <f>IF(E59="MW",[1]!MTEST($B28:$B43,E28:E43,2), IF(E59="T-Test Welch",_xlfn.T.TEST($B28:$B43,E28:E43,2,3),""))</f>
        <v>1.3280270424947033E-2</v>
      </c>
      <c r="F60" s="157">
        <f>IF(F59="MW",[1]!MTEST($B28:$B43,F28:F43,2), IF(F59="T-Test Welch",_xlfn.T.TEST($B28:$B43,F28:F43,2,3),""))</f>
        <v>2.7217842027975163E-3</v>
      </c>
      <c r="G60" s="157">
        <f>IF(G59="MW",[1]!MTEST($B28:$B43,G28:G43,2), IF(G59="T-Test Welch",_xlfn.T.TEST($B28:$B43,G28:G43,2,3),""))</f>
        <v>8.3386076296641264E-5</v>
      </c>
      <c r="H60" s="157">
        <f>IF(H59="MW",[1]!MTEST($B28:$B43,H28:H43,2), IF(H59="T-Test Welch",_xlfn.T.TEST($B28:$B43,H28:H43,2,3),""))</f>
        <v>3.8580575829581913E-5</v>
      </c>
      <c r="I60" s="157">
        <f>IF(I59="MW",[1]!MTEST($B28:$B43,I28:I43,2), IF(I59="T-Test Welch",_xlfn.T.TEST($B28:$B43,I28:I43,2,3),""))</f>
        <v>0.59377645113834432</v>
      </c>
      <c r="J60" s="157">
        <f>IF(J59="MW",[1]!MTEST($B28:$B43,J28:J43,2), IF(J59="T-Test Welch",_xlfn.T.TEST($B28:$B43,J28:J43,2,3),""))</f>
        <v>0.31062330584464987</v>
      </c>
      <c r="K60" s="157">
        <f>IF(K59="MW",[1]!MTEST($B28:$B43,K28:K43,2), IF(K59="T-Test Welch",_xlfn.T.TEST($B28:$B43,K28:K43,2,3),""))</f>
        <v>6.5402058021747062E-2</v>
      </c>
      <c r="L60" s="157">
        <f>IF(L59="MW",[1]!MTEST($B28:$B43,L28:L43,2), IF(L59="T-Test Welch",_xlfn.T.TEST($B28:$B43,L28:L43,2,3),""))</f>
        <v>0.75653094058918868</v>
      </c>
      <c r="M60" s="157">
        <f>IF(M59="MW",[1]!MTEST($B28:$B43,M28:M43,2), IF(M59="T-Test Welch",_xlfn.T.TEST($B28:$B43,M28:M43,2,3),""))</f>
        <v>0.89542261419679625</v>
      </c>
      <c r="N60" s="157"/>
      <c r="O60" s="157">
        <f>IF(O59="MW",[2]!MTEST($B28:$B43,O28:O43,2), IF(O59="T-Test Welch",_xlfn.T.TEST($B28:$B43,O28:O43,2,3),""))</f>
        <v>4.1998712189931349E-6</v>
      </c>
      <c r="P60" s="157">
        <f>IF(P59="MW",[2]!MTEST($O28:$O43,P28:P43,2), IF(P59="T-Test Welch",_xlfn.T.TEST($O28:$O43,P28:P43,2,3),""))</f>
        <v>0.10512973107629657</v>
      </c>
      <c r="Q60" s="157">
        <f>IF(Q59="MW",[2]!MTEST($O28:$O43,Q28:Q43,2), IF(Q59="T-Test Welch",_xlfn.T.TEST($O28:$O43,Q28:Q43,2,3),""))</f>
        <v>8.4865330792874332E-6</v>
      </c>
      <c r="R60" s="157">
        <f>IF(R59="MW",[2]!MTEST($O28:$O43,R28:R43,2), IF(R59="T-Test Welch",_xlfn.T.TEST($O28:$O43,R28:R43,2,3),""))</f>
        <v>0.12103763486855114</v>
      </c>
      <c r="S60" s="157">
        <f>IF(S59="MW",[1]!MTEST($O28:$O43,S28:S43,2), IF(S59="T-Test Welch",_xlfn.T.TEST($O28:$O43,S28:S43,2,3),""))</f>
        <v>2.2865009250147797E-2</v>
      </c>
      <c r="T60" s="157">
        <f>IF(T59="MW",[1]!MTEST($O28:$O43,T28:T43,2), IF(T59="T-Test Welch",_xlfn.T.TEST($O28:$O43,T28:T43,2,3),""))</f>
        <v>1.0605529531426683E-3</v>
      </c>
      <c r="U60" s="157">
        <f>IF(U59="MW",[1]!MTEST($O28:$O43,U28:U43,2), IF(U59="T-Test Welch",_xlfn.T.TEST($O28:$O43,U28:U43,2,3),""))</f>
        <v>6.5541492183851524E-4</v>
      </c>
      <c r="V60" s="157">
        <f>IF(V59="MW",[1]!MTEST($O28:$O43,V28:V43,2), IF(V59="T-Test Welch",_xlfn.T.TEST($O28:$O43,V28:V43,2,3),""))</f>
        <v>1.1721413353646959E-3</v>
      </c>
      <c r="W60" s="157" t="e">
        <f ca="1">IF(W59="MW",[2]!MTEST($O28:$O43,W28:W43,2), IF(W59="T-Test Welch",_xlfn.T.TEST($O28:$O43,W28:W43,2,3),""))</f>
        <v>#NAME?</v>
      </c>
      <c r="X60" s="157" t="e">
        <f ca="1">IF(X59="MW",[2]!MTEST($O28:$O43,X28:X43,2), IF(X59="T-Test Welch",_xlfn.T.TEST($O28:$O43,X28:X43,2,3),""))</f>
        <v>#NAME?</v>
      </c>
      <c r="Y60" s="157" t="e">
        <f ca="1">IF(Y59="MW",[2]!MTEST($O28:$O43,Y28:Y43,2), IF(Y59="T-Test Welch",_xlfn.T.TEST($O28:$O43,Y28:Y43,2,3),""))</f>
        <v>#NAME?</v>
      </c>
      <c r="Z60" s="157" t="e">
        <f ca="1">IF(Z59="MW",[2]!MTEST($O28:$O43,Z28:Z43,2), IF(Z59="T-Test Welch",_xlfn.T.TEST($O28:$O43,Z28:Z43,2,3),""))</f>
        <v>#NAME?</v>
      </c>
      <c r="AA60" s="157" t="e">
        <f ca="1">IF(AA59="MW",[2]!MTEST($O28:$O43,AA28:AA43,2), IF(AA59="T-Test Welch",_xlfn.T.TEST($O28:$O43,AA28:AA43,2,3),""))</f>
        <v>#NAME?</v>
      </c>
      <c r="AB60" s="157" t="e">
        <f ca="1">IF(AB59="MW",[2]!MTEST($O28:$O43,AB28:AB43,2), IF(AB59="T-Test Welch",_xlfn.T.TEST($O28:$O43,AB28:AB43,2,3),""))</f>
        <v>#NAME?</v>
      </c>
      <c r="AC60" s="157" t="e">
        <f ca="1">IF(AC59="MW",[2]!MTEST($O28:$O43,AC28:AC43,2), IF(AC59="T-Test Welch",_xlfn.T.TEST($O28:$O43,AC28:AC43,2,3),""))</f>
        <v>#NAME?</v>
      </c>
      <c r="AD60" s="157" t="e">
        <f ca="1">IF(AD59="MW",[2]!MTEST($O28:$O43,AD28:AD43,2), IF(AD59="T-Test Welch",_xlfn.T.TEST($O28:$O43,AD28:AD43,2,3),""))</f>
        <v>#NAME?</v>
      </c>
      <c r="AE60" s="157" t="e">
        <f ca="1">IF(AE59="MW",[2]!MTEST($O28:$O43,AE28:AE43,2), IF(AE59="T-Test Welch",_xlfn.T.TEST($O28:$O43,AE28:AE43,2,3),""))</f>
        <v>#NAME?</v>
      </c>
      <c r="AF60" s="157" t="e">
        <f ca="1">IF(AF59="MW",[2]!MTEST($O28:$O43,AF28:AF43,2), IF(AF59="T-Test Welch",_xlfn.T.TEST($O28:$O43,AF28:AF43,2,3),""))</f>
        <v>#NAME?</v>
      </c>
      <c r="AG60" s="157" t="e">
        <f ca="1">IF(AG59="MW",[2]!MTEST($O28:$O43,AG28:AG43,2), IF(AG59="T-Test Welch",_xlfn.T.TEST($O28:$O43,AG28:AG43,2,3),""))</f>
        <v>#NAME?</v>
      </c>
      <c r="AH60" s="157" t="e">
        <f ca="1">IF(AH59="MW",[2]!MTEST($O28:$O43,AH28:AH43,2), IF(AH59="T-Test Welch",_xlfn.T.TEST($O28:$O43,AH28:AH43,2,3),""))</f>
        <v>#NAME?</v>
      </c>
      <c r="AI60" s="157" t="e">
        <f ca="1">IF(AI59="MW",[2]!MTEST($O28:$O43,AI28:AI43,2), IF(AI59="T-Test Welch",_xlfn.T.TEST($O28:$O43,AI28:AI43,2,3),""))</f>
        <v>#NAME?</v>
      </c>
      <c r="AJ60" s="157" t="e">
        <f ca="1">IF(AJ59="MW",[2]!MTEST($O28:$O43,AJ28:AJ43,2), IF(AJ59="T-Test Welch",_xlfn.T.TEST($O28:$O43,AJ28:AJ43,2,3),""))</f>
        <v>#NAME?</v>
      </c>
      <c r="AK60" s="157" t="e">
        <f ca="1">IF(AK59="MW",[2]!MTEST($O28:$O43,AK28:AK43,2), IF(AK59="T-Test Welch",_xlfn.T.TEST($O28:$O43,AK28:AK43,2,3),""))</f>
        <v>#NAME?</v>
      </c>
    </row>
    <row r="61" spans="1:37" s="3" customFormat="1" ht="15" thickBot="1" x14ac:dyDescent="0.4">
      <c r="A61" s="65" t="s">
        <v>84</v>
      </c>
      <c r="B61" s="146"/>
      <c r="C61" s="146" t="str">
        <f t="shared" ref="C61:M61" si="73">IF(C60&gt;0.05,"NS",IF(C60&gt;0.01,"*",IF(C60&gt;0.001,"**","***")))</f>
        <v>NS</v>
      </c>
      <c r="D61" s="146" t="str">
        <f t="shared" si="73"/>
        <v>NS</v>
      </c>
      <c r="E61" s="146" t="str">
        <f t="shared" si="73"/>
        <v>*</v>
      </c>
      <c r="F61" s="146" t="str">
        <f t="shared" si="73"/>
        <v>**</v>
      </c>
      <c r="G61" s="146" t="str">
        <f t="shared" si="73"/>
        <v>***</v>
      </c>
      <c r="H61" s="146" t="str">
        <f t="shared" si="73"/>
        <v>***</v>
      </c>
      <c r="I61" s="146" t="str">
        <f t="shared" si="73"/>
        <v>NS</v>
      </c>
      <c r="J61" s="146" t="str">
        <f t="shared" si="73"/>
        <v>NS</v>
      </c>
      <c r="K61" s="146" t="str">
        <f t="shared" si="73"/>
        <v>NS</v>
      </c>
      <c r="L61" s="146" t="str">
        <f t="shared" si="73"/>
        <v>NS</v>
      </c>
      <c r="M61" s="146" t="str">
        <f t="shared" si="73"/>
        <v>NS</v>
      </c>
      <c r="N61" s="146"/>
      <c r="O61" s="146" t="str">
        <f>IF(O60&gt;0.05,"NS",IF(O60&gt;0.01,"*",IF(O60&gt;0.001,"**","***")))</f>
        <v>***</v>
      </c>
      <c r="P61" s="146" t="str">
        <f>IF(P60&gt;0.05,"NS",IF(P60&gt;0.01,"*",IF(P60&gt;0.001,"**","***")))</f>
        <v>NS</v>
      </c>
      <c r="Q61" s="146" t="str">
        <f t="shared" ref="Q61:AK61" si="74">IF(Q60&gt;0.05,"NS",IF(Q60&gt;0.01,"*",IF(Q60&gt;0.001,"**","***")))</f>
        <v>***</v>
      </c>
      <c r="R61" s="146" t="str">
        <f t="shared" si="74"/>
        <v>NS</v>
      </c>
      <c r="S61" s="146" t="str">
        <f t="shared" si="74"/>
        <v>*</v>
      </c>
      <c r="T61" s="146" t="str">
        <f t="shared" si="74"/>
        <v>**</v>
      </c>
      <c r="U61" s="146" t="str">
        <f t="shared" si="74"/>
        <v>***</v>
      </c>
      <c r="V61" s="146" t="str">
        <f t="shared" si="74"/>
        <v>**</v>
      </c>
      <c r="W61" s="146" t="e">
        <f t="shared" ca="1" si="74"/>
        <v>#NAME?</v>
      </c>
      <c r="X61" s="146" t="e">
        <f t="shared" ca="1" si="74"/>
        <v>#NAME?</v>
      </c>
      <c r="Y61" s="146" t="e">
        <f t="shared" ca="1" si="74"/>
        <v>#NAME?</v>
      </c>
      <c r="Z61" s="146" t="e">
        <f t="shared" ca="1" si="74"/>
        <v>#NAME?</v>
      </c>
      <c r="AA61" s="146" t="e">
        <f t="shared" ca="1" si="74"/>
        <v>#NAME?</v>
      </c>
      <c r="AB61" s="146" t="e">
        <f t="shared" ca="1" si="74"/>
        <v>#NAME?</v>
      </c>
      <c r="AC61" s="146" t="e">
        <f t="shared" ca="1" si="74"/>
        <v>#NAME?</v>
      </c>
      <c r="AD61" s="146" t="e">
        <f t="shared" ca="1" si="74"/>
        <v>#NAME?</v>
      </c>
      <c r="AE61" s="146" t="e">
        <f t="shared" ca="1" si="74"/>
        <v>#NAME?</v>
      </c>
      <c r="AF61" s="146" t="e">
        <f t="shared" ca="1" si="74"/>
        <v>#NAME?</v>
      </c>
      <c r="AG61" s="146" t="e">
        <f t="shared" ca="1" si="74"/>
        <v>#NAME?</v>
      </c>
      <c r="AH61" s="146" t="e">
        <f t="shared" ca="1" si="74"/>
        <v>#NAME?</v>
      </c>
      <c r="AI61" s="146" t="e">
        <f t="shared" ca="1" si="74"/>
        <v>#NAME?</v>
      </c>
      <c r="AJ61" s="146" t="e">
        <f t="shared" ca="1" si="74"/>
        <v>#NAME?</v>
      </c>
      <c r="AK61" s="146" t="e">
        <f t="shared" ca="1" si="74"/>
        <v>#NAME?</v>
      </c>
    </row>
    <row r="63" spans="1:37" x14ac:dyDescent="0.35">
      <c r="A63" s="2" t="s">
        <v>39</v>
      </c>
    </row>
    <row r="64" spans="1:37" x14ac:dyDescent="0.35">
      <c r="A64" s="1" t="s">
        <v>23</v>
      </c>
      <c r="B64" s="1">
        <f>B46+(3*B47)</f>
        <v>9.6979747741171546E-2</v>
      </c>
    </row>
    <row r="65" spans="1:37" x14ac:dyDescent="0.35">
      <c r="A65" s="1" t="s">
        <v>24</v>
      </c>
      <c r="B65" s="1">
        <f>B46+(10*B47)</f>
        <v>0.2278159940042454</v>
      </c>
    </row>
    <row r="66" spans="1:37" ht="15" thickBot="1" x14ac:dyDescent="0.4"/>
    <row r="67" spans="1:37" ht="26.5" thickBot="1" x14ac:dyDescent="0.65">
      <c r="A67" s="225" t="s">
        <v>45</v>
      </c>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7"/>
    </row>
    <row r="68" spans="1:37" ht="16.5" x14ac:dyDescent="0.3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3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3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3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3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3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3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V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1574</v>
      </c>
      <c r="K1" s="122"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3023</v>
      </c>
      <c r="D2" s="1" t="s">
        <v>3024</v>
      </c>
      <c r="E2" s="1" t="s">
        <v>3025</v>
      </c>
      <c r="F2" s="1" t="s">
        <v>112</v>
      </c>
      <c r="G2" s="1">
        <v>161727</v>
      </c>
      <c r="K2" s="161" t="s">
        <v>120</v>
      </c>
      <c r="L2" s="161"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3026</v>
      </c>
      <c r="D3" s="1" t="s">
        <v>1619</v>
      </c>
      <c r="E3" s="1" t="s">
        <v>3027</v>
      </c>
      <c r="F3" s="1" t="s">
        <v>112</v>
      </c>
      <c r="G3" s="1">
        <v>134257</v>
      </c>
      <c r="K3" s="122" t="s">
        <v>154</v>
      </c>
      <c r="L3" s="122"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3028</v>
      </c>
      <c r="D4" s="1" t="s">
        <v>2247</v>
      </c>
      <c r="E4" s="1" t="s">
        <v>3029</v>
      </c>
      <c r="F4" s="1" t="s">
        <v>112</v>
      </c>
      <c r="G4" s="1">
        <v>76635</v>
      </c>
      <c r="K4" s="122" t="s">
        <v>100</v>
      </c>
      <c r="L4" s="1" t="s">
        <v>3002</v>
      </c>
      <c r="M4" s="1" t="s">
        <v>3003</v>
      </c>
      <c r="N4" s="1" t="s">
        <v>3004</v>
      </c>
      <c r="O4" s="1" t="s">
        <v>3005</v>
      </c>
      <c r="P4" s="1" t="s">
        <v>3006</v>
      </c>
      <c r="Q4" s="1" t="s">
        <v>3007</v>
      </c>
      <c r="R4" s="1" t="s">
        <v>3008</v>
      </c>
      <c r="S4" s="1" t="s">
        <v>3009</v>
      </c>
      <c r="T4" s="1" t="s">
        <v>3010</v>
      </c>
      <c r="U4" s="1" t="s">
        <v>3011</v>
      </c>
      <c r="V4" s="1" t="s">
        <v>3012</v>
      </c>
      <c r="W4" s="1" t="s">
        <v>3013</v>
      </c>
      <c r="X4" s="1" t="s">
        <v>3014</v>
      </c>
      <c r="Y4" s="1" t="s">
        <v>3015</v>
      </c>
      <c r="Z4" s="1" t="s">
        <v>3016</v>
      </c>
      <c r="AA4" s="1" t="s">
        <v>3017</v>
      </c>
      <c r="AB4" s="1" t="s">
        <v>3018</v>
      </c>
      <c r="AC4" s="1" t="s">
        <v>3019</v>
      </c>
      <c r="AD4" s="1" t="s">
        <v>3020</v>
      </c>
      <c r="AE4" s="1" t="s">
        <v>4307</v>
      </c>
      <c r="AF4" s="1" t="s">
        <v>4308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3030</v>
      </c>
      <c r="D5" s="1" t="s">
        <v>3031</v>
      </c>
      <c r="E5" s="1" t="s">
        <v>3032</v>
      </c>
      <c r="F5" s="1" t="s">
        <v>112</v>
      </c>
      <c r="G5" s="1">
        <v>99671</v>
      </c>
      <c r="K5" s="149" t="s">
        <v>164</v>
      </c>
      <c r="L5" s="44">
        <v>124206.33333333333</v>
      </c>
      <c r="M5" s="44">
        <v>113723</v>
      </c>
      <c r="N5" s="44">
        <v>952833</v>
      </c>
      <c r="O5" s="44">
        <v>246898</v>
      </c>
      <c r="P5" s="44">
        <v>4816083.666666667</v>
      </c>
      <c r="Q5" s="44">
        <v>2810242.3333333335</v>
      </c>
      <c r="R5" s="44">
        <v>2534490</v>
      </c>
      <c r="S5" s="44">
        <v>59266</v>
      </c>
      <c r="T5" s="44">
        <v>30548.333333333332</v>
      </c>
      <c r="U5" s="44">
        <v>100427.33333333333</v>
      </c>
      <c r="V5" s="44">
        <v>204359.33333333334</v>
      </c>
      <c r="W5" s="44">
        <v>76440</v>
      </c>
      <c r="X5" s="44">
        <v>2781878.3333333335</v>
      </c>
      <c r="Y5" s="44">
        <v>1284772.6666666667</v>
      </c>
      <c r="Z5" s="44">
        <v>3473328.3333333335</v>
      </c>
      <c r="AA5" s="44">
        <v>146607.66666666666</v>
      </c>
      <c r="AB5" s="44">
        <v>1981103.6666666667</v>
      </c>
      <c r="AC5" s="44">
        <v>689640.33333333337</v>
      </c>
      <c r="AD5" s="44">
        <v>40304</v>
      </c>
      <c r="AE5" s="44">
        <v>81811.333333333328</v>
      </c>
      <c r="AF5" s="44">
        <v>216010.33333333334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3033</v>
      </c>
      <c r="D6" s="1" t="s">
        <v>2189</v>
      </c>
      <c r="E6" s="1" t="s">
        <v>3034</v>
      </c>
      <c r="F6" s="1" t="s">
        <v>112</v>
      </c>
      <c r="G6" s="1">
        <v>31709</v>
      </c>
      <c r="K6" s="149" t="s">
        <v>1596</v>
      </c>
      <c r="L6" s="44">
        <v>64132.666666666664</v>
      </c>
      <c r="M6" s="44">
        <v>58768.333333333336</v>
      </c>
      <c r="N6" s="44">
        <v>100593</v>
      </c>
      <c r="O6" s="44">
        <v>49099.666666666664</v>
      </c>
      <c r="P6" s="44">
        <v>408762</v>
      </c>
      <c r="Q6" s="44">
        <v>2820884.5</v>
      </c>
      <c r="R6" s="44">
        <v>1931109.6666666667</v>
      </c>
      <c r="S6" s="44">
        <v>76288.333333333328</v>
      </c>
      <c r="T6" s="44">
        <v>415503</v>
      </c>
      <c r="U6" s="44">
        <v>660187.66666666663</v>
      </c>
      <c r="V6" s="44">
        <v>104177</v>
      </c>
      <c r="W6" s="44">
        <v>1075211</v>
      </c>
      <c r="X6" s="44">
        <v>1226645.6666666667</v>
      </c>
      <c r="Y6" s="44">
        <v>46273.333333333336</v>
      </c>
      <c r="Z6" s="44">
        <v>962155.33333333337</v>
      </c>
      <c r="AA6" s="44">
        <v>18306</v>
      </c>
      <c r="AB6" s="44">
        <v>3229848</v>
      </c>
      <c r="AC6" s="44">
        <v>1328371</v>
      </c>
      <c r="AD6" s="44">
        <v>258304.33333333334</v>
      </c>
      <c r="AE6" s="44">
        <v>273986</v>
      </c>
      <c r="AF6" s="44">
        <v>485115.5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3035</v>
      </c>
      <c r="D7" s="1" t="s">
        <v>2319</v>
      </c>
      <c r="E7" s="1" t="s">
        <v>3036</v>
      </c>
      <c r="F7" s="1" t="s">
        <v>112</v>
      </c>
      <c r="G7" s="1">
        <v>61018</v>
      </c>
      <c r="K7" s="149" t="s">
        <v>1597</v>
      </c>
      <c r="L7" s="44">
        <v>39373.333333333336</v>
      </c>
      <c r="M7" s="44">
        <v>74529.333333333328</v>
      </c>
      <c r="N7" s="44">
        <v>46374.333333333336</v>
      </c>
      <c r="O7" s="44">
        <v>904036</v>
      </c>
      <c r="P7" s="44">
        <v>545988.66666666663</v>
      </c>
      <c r="Q7" s="44">
        <v>1753910.3333333333</v>
      </c>
      <c r="R7" s="44">
        <v>2723838</v>
      </c>
      <c r="S7" s="44">
        <v>251296</v>
      </c>
      <c r="T7" s="44">
        <v>218512.33333333334</v>
      </c>
      <c r="U7" s="44">
        <v>169016</v>
      </c>
      <c r="V7" s="44">
        <v>42135</v>
      </c>
      <c r="W7" s="44">
        <v>103938.66666666667</v>
      </c>
      <c r="X7" s="44">
        <v>982855.33333333337</v>
      </c>
      <c r="Y7" s="44">
        <v>3029346</v>
      </c>
      <c r="Z7" s="44">
        <v>3997327.3333333335</v>
      </c>
      <c r="AA7" s="44">
        <v>218433</v>
      </c>
      <c r="AB7" s="44">
        <v>3495795</v>
      </c>
      <c r="AC7" s="44">
        <v>896609.66666666663</v>
      </c>
      <c r="AD7" s="44">
        <v>189823.66666666666</v>
      </c>
      <c r="AE7" s="44">
        <v>317252.66666666669</v>
      </c>
      <c r="AF7" s="44">
        <v>27448.333333333332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3037</v>
      </c>
      <c r="D8" s="1" t="s">
        <v>1680</v>
      </c>
      <c r="E8" s="1" t="s">
        <v>3038</v>
      </c>
      <c r="F8" s="1" t="s">
        <v>112</v>
      </c>
      <c r="G8" s="1">
        <v>27556</v>
      </c>
      <c r="K8" s="149" t="s">
        <v>1598</v>
      </c>
      <c r="L8" s="44">
        <v>295226.66666666669</v>
      </c>
      <c r="M8" s="44">
        <v>248873.33333333334</v>
      </c>
      <c r="N8" s="44">
        <v>252824.66666666666</v>
      </c>
      <c r="O8" s="44">
        <v>1584159</v>
      </c>
      <c r="P8" s="44">
        <v>2798735.3333333335</v>
      </c>
      <c r="Q8" s="44">
        <v>2914787</v>
      </c>
      <c r="R8" s="44">
        <v>8134866.333333333</v>
      </c>
      <c r="S8" s="44">
        <v>60751.333333333336</v>
      </c>
      <c r="T8" s="44">
        <v>238505.66666666666</v>
      </c>
      <c r="U8" s="44">
        <v>467076</v>
      </c>
      <c r="V8" s="44">
        <v>37254</v>
      </c>
      <c r="W8" s="44">
        <v>217430.66666666666</v>
      </c>
      <c r="X8" s="44">
        <v>2096239.6666666667</v>
      </c>
      <c r="Y8" s="44">
        <v>1036353.3333333334</v>
      </c>
      <c r="Z8" s="44">
        <v>4040017.3333333335</v>
      </c>
      <c r="AA8" s="44">
        <v>451993</v>
      </c>
      <c r="AB8" s="44">
        <v>4097675.3333333335</v>
      </c>
      <c r="AC8" s="44">
        <v>924382</v>
      </c>
      <c r="AD8" s="44">
        <v>336272.66666666669</v>
      </c>
      <c r="AE8" s="44">
        <v>240135</v>
      </c>
      <c r="AF8" s="44">
        <v>121452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3039</v>
      </c>
      <c r="D9" s="1" t="s">
        <v>1652</v>
      </c>
      <c r="E9" s="1" t="s">
        <v>3040</v>
      </c>
      <c r="F9" s="1" t="s">
        <v>112</v>
      </c>
      <c r="G9" s="1">
        <v>49619</v>
      </c>
      <c r="K9" s="149" t="s">
        <v>1599</v>
      </c>
      <c r="L9" s="44">
        <v>368169.66666666669</v>
      </c>
      <c r="M9" s="44">
        <v>24917.666666666668</v>
      </c>
      <c r="N9" s="44">
        <v>78992.333333333328</v>
      </c>
      <c r="O9" s="44"/>
      <c r="P9" s="44">
        <v>2476789</v>
      </c>
      <c r="Q9" s="44">
        <v>3120220.5</v>
      </c>
      <c r="R9" s="44">
        <v>3759924.6666666665</v>
      </c>
      <c r="S9" s="44">
        <v>57283.333333333336</v>
      </c>
      <c r="T9" s="44">
        <v>73549</v>
      </c>
      <c r="U9" s="44">
        <v>156391.33333333334</v>
      </c>
      <c r="V9" s="44">
        <v>412925.5</v>
      </c>
      <c r="W9" s="44">
        <v>13533</v>
      </c>
      <c r="X9" s="44">
        <v>2676245</v>
      </c>
      <c r="Y9" s="44">
        <v>4524527</v>
      </c>
      <c r="Z9" s="44">
        <v>2173624</v>
      </c>
      <c r="AA9" s="44">
        <v>258174.66666666666</v>
      </c>
      <c r="AB9" s="44">
        <v>800796.33333333337</v>
      </c>
      <c r="AC9" s="44">
        <v>2532456.6666666665</v>
      </c>
      <c r="AD9" s="44">
        <v>175245</v>
      </c>
      <c r="AE9" s="44">
        <v>236162.66666666666</v>
      </c>
      <c r="AF9" s="44">
        <v>24690.5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3041</v>
      </c>
      <c r="D10" s="1" t="s">
        <v>1720</v>
      </c>
      <c r="E10" s="1" t="s">
        <v>3042</v>
      </c>
      <c r="F10" s="1" t="s">
        <v>112</v>
      </c>
      <c r="G10" s="1">
        <v>40945</v>
      </c>
      <c r="K10" s="149" t="s">
        <v>1600</v>
      </c>
      <c r="L10" s="44">
        <v>36330.666666666664</v>
      </c>
      <c r="M10" s="44">
        <v>132104.5</v>
      </c>
      <c r="N10" s="44">
        <v>29049</v>
      </c>
      <c r="O10" s="44">
        <v>109436.5</v>
      </c>
      <c r="P10" s="44">
        <v>1992070</v>
      </c>
      <c r="Q10" s="44">
        <v>2725554</v>
      </c>
      <c r="R10" s="44">
        <v>3905890</v>
      </c>
      <c r="S10" s="44">
        <v>316085</v>
      </c>
      <c r="T10" s="44">
        <v>85488.666666666672</v>
      </c>
      <c r="U10" s="44">
        <v>12696.666666666666</v>
      </c>
      <c r="V10" s="44">
        <v>15681.666666666666</v>
      </c>
      <c r="W10" s="44">
        <v>307253</v>
      </c>
      <c r="X10" s="44">
        <v>330620</v>
      </c>
      <c r="Y10" s="44">
        <v>2228910</v>
      </c>
      <c r="Z10" s="44">
        <v>1467264</v>
      </c>
      <c r="AA10" s="44">
        <v>24989.666666666668</v>
      </c>
      <c r="AB10" s="44">
        <v>1158439.3333333333</v>
      </c>
      <c r="AC10" s="44">
        <v>357261</v>
      </c>
      <c r="AD10" s="44">
        <v>430910.66666666669</v>
      </c>
      <c r="AE10" s="44">
        <v>88077</v>
      </c>
      <c r="AF10" s="44">
        <v>241649.33333333334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3043</v>
      </c>
      <c r="D11" s="1" t="s">
        <v>3044</v>
      </c>
      <c r="E11" s="1" t="s">
        <v>3045</v>
      </c>
      <c r="F11" s="1" t="s">
        <v>112</v>
      </c>
      <c r="G11" s="1">
        <v>496428</v>
      </c>
      <c r="K11" s="149" t="s">
        <v>1601</v>
      </c>
      <c r="L11" s="44">
        <v>130551</v>
      </c>
      <c r="M11" s="44">
        <v>68350</v>
      </c>
      <c r="N11" s="44">
        <v>32524</v>
      </c>
      <c r="O11" s="44">
        <v>1075503.3333333333</v>
      </c>
      <c r="P11" s="44">
        <v>3407032.6666666665</v>
      </c>
      <c r="Q11" s="44">
        <v>3613432.3333333335</v>
      </c>
      <c r="R11" s="44">
        <v>4849775.666666667</v>
      </c>
      <c r="S11" s="44">
        <v>28263</v>
      </c>
      <c r="T11" s="44">
        <v>43699.666666666664</v>
      </c>
      <c r="U11" s="44">
        <v>173096.66666666666</v>
      </c>
      <c r="V11" s="44">
        <v>35177.666666666664</v>
      </c>
      <c r="W11" s="44">
        <v>486016.33333333331</v>
      </c>
      <c r="X11" s="44">
        <v>4570519.666666667</v>
      </c>
      <c r="Y11" s="44">
        <v>312602.33333333331</v>
      </c>
      <c r="Z11" s="44">
        <v>1567201</v>
      </c>
      <c r="AA11" s="44">
        <v>38793.5</v>
      </c>
      <c r="AB11" s="44">
        <v>1211432.6666666667</v>
      </c>
      <c r="AC11" s="44">
        <v>316510.33333333331</v>
      </c>
      <c r="AD11" s="44">
        <v>55055.333333333336</v>
      </c>
      <c r="AE11" s="44">
        <v>72431.333333333328</v>
      </c>
      <c r="AF11" s="44">
        <v>77637</v>
      </c>
      <c r="AG11"/>
    </row>
    <row r="12" spans="1:144" x14ac:dyDescent="0.3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3046</v>
      </c>
      <c r="D12" s="1" t="s">
        <v>2854</v>
      </c>
      <c r="E12" s="1" t="s">
        <v>3047</v>
      </c>
      <c r="F12" s="1" t="s">
        <v>112</v>
      </c>
      <c r="G12" s="1">
        <v>363404</v>
      </c>
      <c r="K12" s="149" t="s">
        <v>1602</v>
      </c>
      <c r="L12" s="44"/>
      <c r="M12" s="44">
        <v>32142</v>
      </c>
      <c r="N12" s="44">
        <v>381493.66666666669</v>
      </c>
      <c r="O12" s="44">
        <v>69655.666666666672</v>
      </c>
      <c r="P12" s="44">
        <v>1077788.6666666667</v>
      </c>
      <c r="Q12" s="44">
        <v>3695647.6666666665</v>
      </c>
      <c r="R12" s="44">
        <v>7854535.666666667</v>
      </c>
      <c r="S12" s="44">
        <v>349928.66666666669</v>
      </c>
      <c r="T12" s="44">
        <v>86707</v>
      </c>
      <c r="U12" s="44">
        <v>94897.666666666672</v>
      </c>
      <c r="V12" s="44">
        <v>130049.5</v>
      </c>
      <c r="W12" s="44">
        <v>977022.33333333337</v>
      </c>
      <c r="X12" s="44">
        <v>1425071.3333333333</v>
      </c>
      <c r="Y12" s="44">
        <v>503425</v>
      </c>
      <c r="Z12" s="44">
        <v>2076924</v>
      </c>
      <c r="AA12" s="44">
        <v>33555.333333333336</v>
      </c>
      <c r="AB12" s="44">
        <v>522246.66666666669</v>
      </c>
      <c r="AC12" s="44">
        <v>1329308.3333333333</v>
      </c>
      <c r="AD12" s="44">
        <v>120053</v>
      </c>
      <c r="AE12" s="44">
        <v>6835</v>
      </c>
      <c r="AF12" s="44">
        <v>93088</v>
      </c>
      <c r="AG12"/>
    </row>
    <row r="13" spans="1:144" x14ac:dyDescent="0.3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3048</v>
      </c>
      <c r="D13" s="1" t="s">
        <v>1646</v>
      </c>
      <c r="E13" s="1" t="s">
        <v>3049</v>
      </c>
      <c r="F13" s="1" t="s">
        <v>112</v>
      </c>
      <c r="G13" s="1">
        <v>25848</v>
      </c>
      <c r="K13"/>
      <c r="L13"/>
      <c r="M13"/>
      <c r="N13"/>
      <c r="O13"/>
      <c r="P13"/>
      <c r="Q13"/>
      <c r="R13"/>
      <c r="S13"/>
      <c r="T13"/>
      <c r="U13"/>
      <c r="V13"/>
      <c r="W13"/>
      <c r="X13"/>
      <c r="Y13"/>
      <c r="Z13"/>
      <c r="AA13"/>
      <c r="AB13"/>
      <c r="AC13"/>
      <c r="AD13"/>
      <c r="AE13"/>
      <c r="AF13"/>
      <c r="AG13"/>
    </row>
    <row r="14" spans="1:144" x14ac:dyDescent="0.3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3050</v>
      </c>
      <c r="D14" s="1" t="s">
        <v>2653</v>
      </c>
      <c r="E14" s="1" t="s">
        <v>3051</v>
      </c>
      <c r="F14" s="1" t="s">
        <v>112</v>
      </c>
      <c r="G14" s="1">
        <v>399591</v>
      </c>
      <c r="K14"/>
      <c r="L14"/>
      <c r="M14"/>
      <c r="N14"/>
      <c r="O14"/>
      <c r="P14"/>
      <c r="Q14"/>
      <c r="R14"/>
      <c r="S14"/>
      <c r="T14"/>
      <c r="U14"/>
      <c r="V14"/>
      <c r="W14"/>
      <c r="X14"/>
      <c r="Y14"/>
      <c r="Z14"/>
      <c r="AA14"/>
      <c r="AB14"/>
      <c r="AC14"/>
      <c r="AD14"/>
      <c r="AE14"/>
      <c r="AF14"/>
      <c r="AG14"/>
    </row>
    <row r="15" spans="1:144" x14ac:dyDescent="0.3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3052</v>
      </c>
      <c r="D15" s="1" t="s">
        <v>3053</v>
      </c>
      <c r="E15" s="1" t="s">
        <v>3054</v>
      </c>
      <c r="F15" s="1" t="s">
        <v>112</v>
      </c>
      <c r="G15" s="1">
        <v>566054</v>
      </c>
    </row>
    <row r="16" spans="1:144" x14ac:dyDescent="0.3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3055</v>
      </c>
      <c r="D16" s="1" t="s">
        <v>3056</v>
      </c>
      <c r="E16" s="1" t="s">
        <v>3057</v>
      </c>
      <c r="F16" s="1" t="s">
        <v>112</v>
      </c>
      <c r="G16" s="1">
        <v>138864</v>
      </c>
    </row>
    <row r="17" spans="1:10" x14ac:dyDescent="0.3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3058</v>
      </c>
      <c r="D17" s="1" t="s">
        <v>1604</v>
      </c>
      <c r="E17" s="1" t="s">
        <v>3059</v>
      </c>
      <c r="F17" s="1" t="s">
        <v>112</v>
      </c>
      <c r="G17" s="1">
        <v>47261</v>
      </c>
    </row>
    <row r="18" spans="1:10" x14ac:dyDescent="0.3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3060</v>
      </c>
      <c r="D18" s="1" t="s">
        <v>1655</v>
      </c>
      <c r="E18" s="1" t="s">
        <v>3061</v>
      </c>
      <c r="F18" s="1" t="s">
        <v>112</v>
      </c>
      <c r="G18" s="1">
        <v>43930</v>
      </c>
    </row>
    <row r="19" spans="1:10" x14ac:dyDescent="0.3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3062</v>
      </c>
      <c r="D19" s="1" t="s">
        <v>1706</v>
      </c>
      <c r="E19" s="1" t="s">
        <v>3063</v>
      </c>
      <c r="F19" s="1" t="s">
        <v>112</v>
      </c>
      <c r="G19" s="1">
        <v>17801</v>
      </c>
    </row>
    <row r="20" spans="1:10" x14ac:dyDescent="0.3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3064</v>
      </c>
      <c r="D20" s="1" t="s">
        <v>1652</v>
      </c>
      <c r="E20" s="1" t="s">
        <v>3065</v>
      </c>
      <c r="F20" s="1" t="s">
        <v>112</v>
      </c>
      <c r="G20" s="1">
        <v>47456</v>
      </c>
    </row>
    <row r="21" spans="1:10" x14ac:dyDescent="0.3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3066</v>
      </c>
      <c r="D21" s="1" t="s">
        <v>3067</v>
      </c>
      <c r="E21" s="1" t="s">
        <v>3068</v>
      </c>
      <c r="F21" s="1" t="s">
        <v>112</v>
      </c>
      <c r="G21" s="1">
        <v>142801</v>
      </c>
    </row>
    <row r="22" spans="1:10" x14ac:dyDescent="0.3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3069</v>
      </c>
      <c r="D22" s="1" t="s">
        <v>3070</v>
      </c>
      <c r="E22" s="1" t="s">
        <v>3071</v>
      </c>
      <c r="F22" s="1" t="s">
        <v>112</v>
      </c>
      <c r="G22" s="1">
        <v>201396</v>
      </c>
    </row>
    <row r="23" spans="1:10" x14ac:dyDescent="0.3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3072</v>
      </c>
    </row>
    <row r="24" spans="1:10" x14ac:dyDescent="0.3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3073</v>
      </c>
    </row>
    <row r="25" spans="1:10" x14ac:dyDescent="0.3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3074</v>
      </c>
    </row>
    <row r="26" spans="1:10"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227</v>
      </c>
      <c r="D27" s="1" t="s">
        <v>112</v>
      </c>
      <c r="E27" s="1" t="s">
        <v>228</v>
      </c>
      <c r="F27" s="1" t="s">
        <v>229</v>
      </c>
      <c r="G27" s="1" t="s">
        <v>230</v>
      </c>
      <c r="H27" s="1" t="s">
        <v>231</v>
      </c>
      <c r="I27" s="1" t="s">
        <v>232</v>
      </c>
      <c r="J27" s="1" t="s">
        <v>233</v>
      </c>
    </row>
    <row r="28" spans="1:10" x14ac:dyDescent="0.3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3075</v>
      </c>
      <c r="D28" s="1" t="s">
        <v>112</v>
      </c>
      <c r="E28" s="1" t="s">
        <v>3076</v>
      </c>
      <c r="F28" s="1" t="s">
        <v>3077</v>
      </c>
      <c r="G28" s="1" t="s">
        <v>3078</v>
      </c>
      <c r="H28" s="1" t="s">
        <v>3079</v>
      </c>
      <c r="I28" s="1">
        <v>24</v>
      </c>
      <c r="J28" s="1">
        <v>24</v>
      </c>
    </row>
    <row r="29" spans="1:10"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239</v>
      </c>
      <c r="D34" s="1" t="s">
        <v>110</v>
      </c>
      <c r="E34" s="1" t="s">
        <v>111</v>
      </c>
      <c r="F34" s="1" t="s">
        <v>112</v>
      </c>
      <c r="G34" s="1" t="s">
        <v>113</v>
      </c>
    </row>
    <row r="35" spans="1:7" x14ac:dyDescent="0.3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3080</v>
      </c>
      <c r="D35" s="1" t="s">
        <v>2689</v>
      </c>
      <c r="E35" s="1" t="s">
        <v>3081</v>
      </c>
      <c r="F35" s="1" t="s">
        <v>112</v>
      </c>
      <c r="G35" s="1">
        <v>12048</v>
      </c>
    </row>
    <row r="36" spans="1:7" x14ac:dyDescent="0.3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3082</v>
      </c>
      <c r="D36" s="1" t="s">
        <v>3083</v>
      </c>
      <c r="E36" s="1" t="s">
        <v>3084</v>
      </c>
      <c r="F36" s="1" t="s">
        <v>112</v>
      </c>
      <c r="G36" s="1">
        <v>313850</v>
      </c>
    </row>
    <row r="37" spans="1:7" x14ac:dyDescent="0.3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3085</v>
      </c>
      <c r="D37" s="1" t="s">
        <v>1734</v>
      </c>
      <c r="E37" s="1" t="s">
        <v>3086</v>
      </c>
      <c r="F37" s="1" t="s">
        <v>112</v>
      </c>
      <c r="G37" s="1">
        <v>15271</v>
      </c>
    </row>
    <row r="38" spans="1:7" x14ac:dyDescent="0.3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3087</v>
      </c>
      <c r="D38" s="1" t="s">
        <v>1613</v>
      </c>
      <c r="E38" s="1" t="s">
        <v>3088</v>
      </c>
      <c r="F38" s="1" t="s">
        <v>112</v>
      </c>
      <c r="G38" s="1">
        <v>77716</v>
      </c>
    </row>
    <row r="39" spans="1:7" x14ac:dyDescent="0.3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3089</v>
      </c>
      <c r="D39" s="1" t="s">
        <v>2680</v>
      </c>
      <c r="E39" s="1">
        <v>64</v>
      </c>
      <c r="F39" s="1" t="s">
        <v>112</v>
      </c>
      <c r="G39" s="1">
        <v>58141</v>
      </c>
    </row>
    <row r="40" spans="1:7" x14ac:dyDescent="0.3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3090</v>
      </c>
      <c r="D40" s="1" t="s">
        <v>1700</v>
      </c>
      <c r="E40" s="1" t="s">
        <v>3091</v>
      </c>
      <c r="F40" s="1" t="s">
        <v>112</v>
      </c>
      <c r="G40" s="1">
        <v>40448</v>
      </c>
    </row>
    <row r="41" spans="1:7" x14ac:dyDescent="0.3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3092</v>
      </c>
      <c r="D41" s="1" t="s">
        <v>2189</v>
      </c>
      <c r="E41" s="1" t="s">
        <v>3093</v>
      </c>
      <c r="F41" s="1" t="s">
        <v>112</v>
      </c>
      <c r="G41" s="1">
        <v>31623</v>
      </c>
    </row>
    <row r="42" spans="1:7" x14ac:dyDescent="0.3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3094</v>
      </c>
      <c r="D42" s="1" t="s">
        <v>2203</v>
      </c>
      <c r="E42" s="1" t="s">
        <v>3095</v>
      </c>
      <c r="F42" s="1" t="s">
        <v>112</v>
      </c>
      <c r="G42" s="1">
        <v>69756</v>
      </c>
    </row>
    <row r="43" spans="1:7" x14ac:dyDescent="0.3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3096</v>
      </c>
      <c r="D43" s="1" t="s">
        <v>2849</v>
      </c>
      <c r="E43" s="1" t="s">
        <v>3097</v>
      </c>
      <c r="F43" s="1" t="s">
        <v>112</v>
      </c>
      <c r="G43" s="1">
        <v>122209</v>
      </c>
    </row>
    <row r="44" spans="1:7" x14ac:dyDescent="0.3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3098</v>
      </c>
      <c r="D44" s="1" t="s">
        <v>3099</v>
      </c>
      <c r="E44" s="1" t="s">
        <v>3100</v>
      </c>
      <c r="F44" s="1" t="s">
        <v>112</v>
      </c>
      <c r="G44" s="1">
        <v>671911</v>
      </c>
    </row>
    <row r="45" spans="1:7" x14ac:dyDescent="0.3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3101</v>
      </c>
      <c r="D45" s="1" t="s">
        <v>3102</v>
      </c>
      <c r="E45" s="1" t="s">
        <v>2222</v>
      </c>
      <c r="F45" s="1" t="s">
        <v>112</v>
      </c>
      <c r="G45" s="1">
        <v>9625</v>
      </c>
    </row>
    <row r="46" spans="1:7" x14ac:dyDescent="0.3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3103</v>
      </c>
      <c r="D46" s="1" t="s">
        <v>1661</v>
      </c>
      <c r="E46" s="1" t="s">
        <v>3104</v>
      </c>
      <c r="F46" s="1" t="s">
        <v>112</v>
      </c>
      <c r="G46" s="1">
        <v>65084</v>
      </c>
    </row>
    <row r="47" spans="1:7" x14ac:dyDescent="0.3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3105</v>
      </c>
      <c r="D47" s="1" t="s">
        <v>2123</v>
      </c>
      <c r="E47" s="1" t="s">
        <v>3106</v>
      </c>
      <c r="F47" s="1" t="s">
        <v>112</v>
      </c>
      <c r="G47" s="1">
        <v>52409</v>
      </c>
    </row>
    <row r="48" spans="1:7" x14ac:dyDescent="0.3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3107</v>
      </c>
      <c r="D48" s="1" t="s">
        <v>3102</v>
      </c>
      <c r="E48" s="1">
        <v>65</v>
      </c>
      <c r="F48" s="1" t="s">
        <v>112</v>
      </c>
      <c r="G48" s="1">
        <v>9842</v>
      </c>
    </row>
    <row r="49" spans="1:10" x14ac:dyDescent="0.3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3108</v>
      </c>
      <c r="D49" s="1" t="s">
        <v>2689</v>
      </c>
      <c r="E49" s="1" t="s">
        <v>3109</v>
      </c>
      <c r="F49" s="1" t="s">
        <v>112</v>
      </c>
      <c r="G49" s="1">
        <v>12502</v>
      </c>
    </row>
    <row r="50" spans="1:10" x14ac:dyDescent="0.3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3110</v>
      </c>
    </row>
    <row r="51" spans="1:10" x14ac:dyDescent="0.3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3111</v>
      </c>
      <c r="D51" s="1" t="s">
        <v>2366</v>
      </c>
      <c r="E51" s="1" t="s">
        <v>3112</v>
      </c>
      <c r="F51" s="1" t="s">
        <v>112</v>
      </c>
      <c r="G51" s="1">
        <v>206847</v>
      </c>
    </row>
    <row r="52" spans="1:10" x14ac:dyDescent="0.3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3113</v>
      </c>
      <c r="D52" s="1" t="s">
        <v>2283</v>
      </c>
      <c r="E52" s="1" t="s">
        <v>3114</v>
      </c>
      <c r="F52" s="1" t="s">
        <v>112</v>
      </c>
      <c r="G52" s="1">
        <v>57362</v>
      </c>
    </row>
    <row r="53" spans="1:10" x14ac:dyDescent="0.3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3115</v>
      </c>
    </row>
    <row r="54" spans="1:10" x14ac:dyDescent="0.3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3116</v>
      </c>
      <c r="D54" s="1" t="s">
        <v>1798</v>
      </c>
      <c r="E54" s="1" t="s">
        <v>3117</v>
      </c>
      <c r="F54" s="1" t="s">
        <v>112</v>
      </c>
      <c r="G54" s="1">
        <v>68350</v>
      </c>
    </row>
    <row r="55" spans="1:10" x14ac:dyDescent="0.3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3118</v>
      </c>
    </row>
    <row r="56" spans="1:10" x14ac:dyDescent="0.3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3119</v>
      </c>
      <c r="D56" s="1" t="s">
        <v>3120</v>
      </c>
      <c r="E56" s="1" t="s">
        <v>3121</v>
      </c>
      <c r="F56" s="1" t="s">
        <v>112</v>
      </c>
      <c r="G56" s="1">
        <v>58768</v>
      </c>
    </row>
    <row r="57" spans="1:10" x14ac:dyDescent="0.3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3122</v>
      </c>
      <c r="D57" s="1" t="s">
        <v>2374</v>
      </c>
      <c r="E57" s="1" t="s">
        <v>3123</v>
      </c>
      <c r="F57" s="1" t="s">
        <v>112</v>
      </c>
      <c r="G57" s="1">
        <v>22820</v>
      </c>
    </row>
    <row r="58" spans="1:10" x14ac:dyDescent="0.3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3124</v>
      </c>
      <c r="D58" s="1" t="s">
        <v>1734</v>
      </c>
      <c r="E58" s="1" t="s">
        <v>3125</v>
      </c>
      <c r="F58" s="1" t="s">
        <v>112</v>
      </c>
      <c r="G58" s="1">
        <v>14838</v>
      </c>
    </row>
    <row r="59" spans="1:10"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227</v>
      </c>
      <c r="D60" s="1" t="s">
        <v>112</v>
      </c>
      <c r="E60" s="1" t="s">
        <v>228</v>
      </c>
      <c r="F60" s="1" t="s">
        <v>229</v>
      </c>
      <c r="G60" s="1" t="s">
        <v>230</v>
      </c>
      <c r="H60" s="1" t="s">
        <v>231</v>
      </c>
      <c r="I60" s="1" t="s">
        <v>232</v>
      </c>
      <c r="J60" s="1" t="s">
        <v>233</v>
      </c>
    </row>
    <row r="61" spans="1:10" x14ac:dyDescent="0.3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3126</v>
      </c>
      <c r="D61" s="1" t="s">
        <v>112</v>
      </c>
      <c r="E61" s="1" t="s">
        <v>3127</v>
      </c>
      <c r="F61" s="1" t="s">
        <v>3128</v>
      </c>
      <c r="G61" s="1" t="s">
        <v>3129</v>
      </c>
      <c r="H61" s="1" t="s">
        <v>3130</v>
      </c>
      <c r="I61" s="1">
        <v>24</v>
      </c>
      <c r="J61" s="1">
        <v>24</v>
      </c>
    </row>
    <row r="62" spans="1:10"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239</v>
      </c>
      <c r="D67" s="1" t="s">
        <v>110</v>
      </c>
      <c r="E67" s="1" t="s">
        <v>111</v>
      </c>
      <c r="F67" s="1" t="s">
        <v>112</v>
      </c>
      <c r="G67" s="1" t="s">
        <v>113</v>
      </c>
    </row>
    <row r="68" spans="1:7" x14ac:dyDescent="0.3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3131</v>
      </c>
      <c r="D68" s="1" t="s">
        <v>3132</v>
      </c>
      <c r="E68" s="1" t="s">
        <v>3133</v>
      </c>
      <c r="F68" s="1" t="s">
        <v>112</v>
      </c>
      <c r="G68" s="1">
        <v>1567973</v>
      </c>
    </row>
    <row r="69" spans="1:7" x14ac:dyDescent="0.3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3134</v>
      </c>
      <c r="D69" s="1" t="s">
        <v>1884</v>
      </c>
      <c r="E69" s="1" t="s">
        <v>3135</v>
      </c>
      <c r="F69" s="1" t="s">
        <v>112</v>
      </c>
      <c r="G69" s="1">
        <v>466578</v>
      </c>
    </row>
    <row r="70" spans="1:7" x14ac:dyDescent="0.3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3136</v>
      </c>
      <c r="D70" s="1" t="s">
        <v>3137</v>
      </c>
      <c r="E70" s="1" t="s">
        <v>3138</v>
      </c>
      <c r="F70" s="1" t="s">
        <v>112</v>
      </c>
      <c r="G70" s="1">
        <v>823948</v>
      </c>
    </row>
    <row r="71" spans="1:7" x14ac:dyDescent="0.3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3139</v>
      </c>
      <c r="D71" s="1" t="s">
        <v>1643</v>
      </c>
      <c r="E71" s="1" t="s">
        <v>3140</v>
      </c>
      <c r="F71" s="1" t="s">
        <v>112</v>
      </c>
      <c r="G71" s="1">
        <v>72741</v>
      </c>
    </row>
    <row r="72" spans="1:7" x14ac:dyDescent="0.3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3141</v>
      </c>
      <c r="D72" s="1" t="s">
        <v>3142</v>
      </c>
      <c r="E72" s="1" t="s">
        <v>3143</v>
      </c>
      <c r="F72" s="1" t="s">
        <v>112</v>
      </c>
      <c r="G72" s="1">
        <v>126967</v>
      </c>
    </row>
    <row r="73" spans="1:7" x14ac:dyDescent="0.3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3144</v>
      </c>
      <c r="D73" s="1" t="s">
        <v>2305</v>
      </c>
      <c r="E73" s="1" t="s">
        <v>3145</v>
      </c>
      <c r="F73" s="1" t="s">
        <v>112</v>
      </c>
      <c r="G73" s="1">
        <v>102071</v>
      </c>
    </row>
    <row r="74" spans="1:7" x14ac:dyDescent="0.3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3146</v>
      </c>
      <c r="D74" s="1" t="s">
        <v>2319</v>
      </c>
      <c r="E74" s="1" t="s">
        <v>2320</v>
      </c>
      <c r="F74" s="1" t="s">
        <v>112</v>
      </c>
      <c r="G74" s="1">
        <v>60996</v>
      </c>
    </row>
    <row r="75" spans="1:7" x14ac:dyDescent="0.3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3147</v>
      </c>
      <c r="D75" s="1" t="s">
        <v>2131</v>
      </c>
      <c r="E75" s="1" t="s">
        <v>3148</v>
      </c>
      <c r="F75" s="1" t="s">
        <v>112</v>
      </c>
      <c r="G75" s="1">
        <v>43541</v>
      </c>
    </row>
    <row r="76" spans="1:7" x14ac:dyDescent="0.3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3149</v>
      </c>
      <c r="D76" s="1" t="s">
        <v>1703</v>
      </c>
      <c r="E76" s="1" t="s">
        <v>3150</v>
      </c>
      <c r="F76" s="1" t="s">
        <v>112</v>
      </c>
      <c r="G76" s="1">
        <v>34586</v>
      </c>
    </row>
    <row r="77" spans="1:7" x14ac:dyDescent="0.3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3151</v>
      </c>
      <c r="D77" s="1" t="s">
        <v>3152</v>
      </c>
      <c r="E77" s="1" t="s">
        <v>3153</v>
      </c>
      <c r="F77" s="1" t="s">
        <v>112</v>
      </c>
      <c r="G77" s="1">
        <v>366129</v>
      </c>
    </row>
    <row r="78" spans="1:7" x14ac:dyDescent="0.3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3154</v>
      </c>
      <c r="D78" s="1" t="s">
        <v>3155</v>
      </c>
      <c r="E78" s="1" t="s">
        <v>3156</v>
      </c>
      <c r="F78" s="1" t="s">
        <v>112</v>
      </c>
      <c r="G78" s="1">
        <v>310908</v>
      </c>
    </row>
    <row r="79" spans="1:7" x14ac:dyDescent="0.3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3157</v>
      </c>
      <c r="D79" s="1" t="s">
        <v>1622</v>
      </c>
      <c r="E79" s="1" t="s">
        <v>3158</v>
      </c>
      <c r="F79" s="1" t="s">
        <v>112</v>
      </c>
      <c r="G79" s="1">
        <v>81437</v>
      </c>
    </row>
    <row r="80" spans="1:7" x14ac:dyDescent="0.3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3159</v>
      </c>
      <c r="D80" s="1" t="s">
        <v>2895</v>
      </c>
      <c r="E80" s="1" t="s">
        <v>3160</v>
      </c>
      <c r="F80" s="1" t="s">
        <v>112</v>
      </c>
      <c r="G80" s="1">
        <v>72071</v>
      </c>
    </row>
    <row r="81" spans="1:10" x14ac:dyDescent="0.3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3161</v>
      </c>
      <c r="D81" s="1" t="s">
        <v>1661</v>
      </c>
      <c r="E81" s="1" t="s">
        <v>3162</v>
      </c>
      <c r="F81" s="1" t="s">
        <v>112</v>
      </c>
      <c r="G81" s="1">
        <v>63051</v>
      </c>
    </row>
    <row r="82" spans="1:10" x14ac:dyDescent="0.3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3163</v>
      </c>
      <c r="D82" s="1" t="s">
        <v>2305</v>
      </c>
      <c r="E82" s="1" t="s">
        <v>3164</v>
      </c>
      <c r="F82" s="1" t="s">
        <v>112</v>
      </c>
      <c r="G82" s="1">
        <v>101855</v>
      </c>
    </row>
    <row r="83" spans="1:10" x14ac:dyDescent="0.3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3165</v>
      </c>
      <c r="D83" s="1" t="s">
        <v>1783</v>
      </c>
      <c r="E83" s="1" t="s">
        <v>3166</v>
      </c>
      <c r="F83" s="1" t="s">
        <v>112</v>
      </c>
      <c r="G83" s="1">
        <v>28595</v>
      </c>
    </row>
    <row r="84" spans="1:10" x14ac:dyDescent="0.3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3167</v>
      </c>
      <c r="D84" s="1" t="s">
        <v>1670</v>
      </c>
      <c r="E84" s="1">
        <v>62</v>
      </c>
      <c r="F84" s="1" t="s">
        <v>112</v>
      </c>
      <c r="G84" s="1">
        <v>29503</v>
      </c>
    </row>
    <row r="85" spans="1:10" x14ac:dyDescent="0.3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3168</v>
      </c>
    </row>
    <row r="86" spans="1:10" x14ac:dyDescent="0.3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3169</v>
      </c>
      <c r="D86" s="1" t="s">
        <v>1655</v>
      </c>
      <c r="E86" s="1" t="s">
        <v>3170</v>
      </c>
      <c r="F86" s="1" t="s">
        <v>112</v>
      </c>
      <c r="G86" s="1">
        <v>43541</v>
      </c>
    </row>
    <row r="87" spans="1:10" x14ac:dyDescent="0.3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3171</v>
      </c>
      <c r="D87" s="1" t="s">
        <v>2107</v>
      </c>
      <c r="E87" s="1" t="s">
        <v>3172</v>
      </c>
      <c r="F87" s="1" t="s">
        <v>112</v>
      </c>
      <c r="G87" s="1">
        <v>24809</v>
      </c>
    </row>
    <row r="88" spans="1:10" x14ac:dyDescent="0.3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3173</v>
      </c>
      <c r="D88" s="1" t="s">
        <v>1783</v>
      </c>
      <c r="E88" s="1" t="s">
        <v>2121</v>
      </c>
      <c r="F88" s="1" t="s">
        <v>112</v>
      </c>
      <c r="G88" s="1">
        <v>29222</v>
      </c>
    </row>
    <row r="89" spans="1:10" x14ac:dyDescent="0.3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3174</v>
      </c>
      <c r="D89" s="1" t="s">
        <v>3175</v>
      </c>
      <c r="E89" s="1">
        <v>67</v>
      </c>
      <c r="F89" s="1" t="s">
        <v>112</v>
      </c>
      <c r="G89" s="1">
        <v>355055</v>
      </c>
    </row>
    <row r="90" spans="1:10" x14ac:dyDescent="0.3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3176</v>
      </c>
      <c r="D90" s="1" t="s">
        <v>3177</v>
      </c>
      <c r="E90" s="1" t="s">
        <v>3178</v>
      </c>
      <c r="F90" s="1" t="s">
        <v>112</v>
      </c>
      <c r="G90" s="1">
        <v>414710</v>
      </c>
    </row>
    <row r="91" spans="1:10" x14ac:dyDescent="0.3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3179</v>
      </c>
      <c r="D91" s="1" t="s">
        <v>149</v>
      </c>
      <c r="E91" s="1" t="s">
        <v>3180</v>
      </c>
      <c r="F91" s="1" t="s">
        <v>112</v>
      </c>
      <c r="G91" s="1">
        <v>374716</v>
      </c>
    </row>
    <row r="92" spans="1:10"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227</v>
      </c>
      <c r="D93" s="1" t="s">
        <v>112</v>
      </c>
      <c r="E93" s="1" t="s">
        <v>228</v>
      </c>
      <c r="F93" s="1" t="s">
        <v>229</v>
      </c>
      <c r="G93" s="1" t="s">
        <v>230</v>
      </c>
      <c r="H93" s="1" t="s">
        <v>231</v>
      </c>
      <c r="I93" s="1" t="s">
        <v>232</v>
      </c>
      <c r="J93" s="1" t="s">
        <v>233</v>
      </c>
    </row>
    <row r="94" spans="1:10" x14ac:dyDescent="0.3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3181</v>
      </c>
      <c r="D94" s="1" t="s">
        <v>112</v>
      </c>
      <c r="E94" s="1" t="s">
        <v>3182</v>
      </c>
      <c r="F94" s="1" t="s">
        <v>3183</v>
      </c>
      <c r="G94" s="1" t="s">
        <v>3184</v>
      </c>
      <c r="H94" s="1" t="s">
        <v>3185</v>
      </c>
      <c r="I94" s="1">
        <v>24</v>
      </c>
      <c r="J94" s="1">
        <v>24</v>
      </c>
    </row>
    <row r="95" spans="1:10"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239</v>
      </c>
      <c r="D100" s="1" t="s">
        <v>110</v>
      </c>
      <c r="E100" s="1" t="s">
        <v>111</v>
      </c>
      <c r="F100" s="1" t="s">
        <v>112</v>
      </c>
      <c r="G100" s="1" t="s">
        <v>113</v>
      </c>
    </row>
    <row r="101" spans="1:7" x14ac:dyDescent="0.3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3186</v>
      </c>
      <c r="D101" s="1" t="s">
        <v>1752</v>
      </c>
      <c r="E101" s="1" t="s">
        <v>3187</v>
      </c>
      <c r="F101" s="1" t="s">
        <v>112</v>
      </c>
      <c r="G101" s="1">
        <v>347181</v>
      </c>
    </row>
    <row r="102" spans="1:7" x14ac:dyDescent="0.3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3188</v>
      </c>
      <c r="D102" s="1" t="s">
        <v>3189</v>
      </c>
      <c r="E102" s="1" t="s">
        <v>3190</v>
      </c>
      <c r="F102" s="1" t="s">
        <v>112</v>
      </c>
      <c r="G102" s="1">
        <v>147884</v>
      </c>
    </row>
    <row r="103" spans="1:7" x14ac:dyDescent="0.3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3191</v>
      </c>
      <c r="D103" s="1" t="s">
        <v>3192</v>
      </c>
      <c r="E103" s="1" t="s">
        <v>3193</v>
      </c>
      <c r="F103" s="1" t="s">
        <v>112</v>
      </c>
      <c r="G103" s="1">
        <v>245629</v>
      </c>
    </row>
    <row r="104" spans="1:7" x14ac:dyDescent="0.3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3194</v>
      </c>
      <c r="D104" s="1" t="s">
        <v>1661</v>
      </c>
      <c r="E104" s="1" t="s">
        <v>3195</v>
      </c>
      <c r="F104" s="1" t="s">
        <v>112</v>
      </c>
      <c r="G104" s="1">
        <v>62943</v>
      </c>
    </row>
    <row r="105" spans="1:7" x14ac:dyDescent="0.3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3196</v>
      </c>
      <c r="D105" s="1" t="s">
        <v>2283</v>
      </c>
      <c r="E105" s="1" t="s">
        <v>3197</v>
      </c>
      <c r="F105" s="1" t="s">
        <v>112</v>
      </c>
      <c r="G105" s="1">
        <v>55610</v>
      </c>
    </row>
    <row r="106" spans="1:7" x14ac:dyDescent="0.3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3198</v>
      </c>
      <c r="D106" s="1" t="s">
        <v>1783</v>
      </c>
      <c r="E106" s="1" t="s">
        <v>3199</v>
      </c>
      <c r="F106" s="1" t="s">
        <v>112</v>
      </c>
      <c r="G106" s="1">
        <v>28746</v>
      </c>
    </row>
    <row r="107" spans="1:7" x14ac:dyDescent="0.3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3200</v>
      </c>
      <c r="D107" s="1" t="s">
        <v>3201</v>
      </c>
      <c r="E107" s="1" t="s">
        <v>3202</v>
      </c>
      <c r="F107" s="1" t="s">
        <v>112</v>
      </c>
      <c r="G107" s="1">
        <v>703274</v>
      </c>
    </row>
    <row r="108" spans="1:7" x14ac:dyDescent="0.3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3203</v>
      </c>
      <c r="D108" s="1" t="s">
        <v>3204</v>
      </c>
      <c r="E108" s="1" t="s">
        <v>3205</v>
      </c>
      <c r="F108" s="1" t="s">
        <v>112</v>
      </c>
      <c r="G108" s="1">
        <v>996533</v>
      </c>
    </row>
    <row r="109" spans="1:7" x14ac:dyDescent="0.3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3206</v>
      </c>
      <c r="D109" s="1" t="s">
        <v>3207</v>
      </c>
      <c r="E109" s="1" t="s">
        <v>3208</v>
      </c>
      <c r="F109" s="1" t="s">
        <v>112</v>
      </c>
      <c r="G109" s="1">
        <v>1012301</v>
      </c>
    </row>
    <row r="110" spans="1:7" x14ac:dyDescent="0.3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3209</v>
      </c>
      <c r="D110" s="1" t="s">
        <v>1980</v>
      </c>
      <c r="E110" s="1" t="s">
        <v>3210</v>
      </c>
      <c r="F110" s="1" t="s">
        <v>112</v>
      </c>
      <c r="G110" s="1">
        <v>1706620</v>
      </c>
    </row>
    <row r="111" spans="1:7" x14ac:dyDescent="0.3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3211</v>
      </c>
      <c r="D111" s="1" t="s">
        <v>3212</v>
      </c>
      <c r="E111" s="1" t="s">
        <v>3213</v>
      </c>
      <c r="F111" s="1" t="s">
        <v>112</v>
      </c>
      <c r="G111" s="1">
        <v>1813559</v>
      </c>
    </row>
    <row r="112" spans="1:7" x14ac:dyDescent="0.3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3214</v>
      </c>
      <c r="D112" s="1" t="s">
        <v>3215</v>
      </c>
      <c r="E112" s="1" t="s">
        <v>3216</v>
      </c>
      <c r="F112" s="1" t="s">
        <v>112</v>
      </c>
      <c r="G112" s="1">
        <v>1232298</v>
      </c>
    </row>
    <row r="113" spans="1:10" x14ac:dyDescent="0.3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3217</v>
      </c>
    </row>
    <row r="114" spans="1:10" x14ac:dyDescent="0.3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3218</v>
      </c>
    </row>
    <row r="115" spans="1:10" x14ac:dyDescent="0.3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3219</v>
      </c>
    </row>
    <row r="116" spans="1:10" x14ac:dyDescent="0.3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3220</v>
      </c>
    </row>
    <row r="117" spans="1:10" x14ac:dyDescent="0.3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3221</v>
      </c>
      <c r="D117" s="1" t="s">
        <v>3056</v>
      </c>
      <c r="E117" s="1" t="s">
        <v>3222</v>
      </c>
      <c r="F117" s="1" t="s">
        <v>112</v>
      </c>
      <c r="G117" s="1">
        <v>134819</v>
      </c>
    </row>
    <row r="118" spans="1:10" x14ac:dyDescent="0.3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3223</v>
      </c>
      <c r="D118" s="1" t="s">
        <v>3224</v>
      </c>
      <c r="E118" s="1" t="s">
        <v>3225</v>
      </c>
      <c r="F118" s="1" t="s">
        <v>112</v>
      </c>
      <c r="G118" s="1">
        <v>84054</v>
      </c>
    </row>
    <row r="119" spans="1:10" x14ac:dyDescent="0.3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3226</v>
      </c>
      <c r="D119" s="1" t="s">
        <v>3227</v>
      </c>
      <c r="E119" s="1" t="s">
        <v>3228</v>
      </c>
      <c r="F119" s="1" t="s">
        <v>112</v>
      </c>
      <c r="G119" s="1">
        <v>1131222</v>
      </c>
    </row>
    <row r="120" spans="1:10" x14ac:dyDescent="0.3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3229</v>
      </c>
      <c r="D120" s="1" t="s">
        <v>3230</v>
      </c>
      <c r="E120" s="1" t="s">
        <v>3231</v>
      </c>
      <c r="F120" s="1" t="s">
        <v>112</v>
      </c>
      <c r="G120" s="1">
        <v>965018</v>
      </c>
    </row>
    <row r="121" spans="1:10" x14ac:dyDescent="0.3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3232</v>
      </c>
      <c r="D121" s="1" t="s">
        <v>3233</v>
      </c>
      <c r="E121" s="1" t="s">
        <v>3234</v>
      </c>
      <c r="F121" s="1" t="s">
        <v>112</v>
      </c>
      <c r="G121" s="1">
        <v>1130270</v>
      </c>
    </row>
    <row r="122" spans="1:10" x14ac:dyDescent="0.3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3235</v>
      </c>
      <c r="D122" s="1" t="s">
        <v>2247</v>
      </c>
      <c r="E122" s="1" t="s">
        <v>3236</v>
      </c>
      <c r="F122" s="1" t="s">
        <v>112</v>
      </c>
      <c r="G122" s="1">
        <v>73542</v>
      </c>
    </row>
    <row r="123" spans="1:10" x14ac:dyDescent="0.3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3237</v>
      </c>
      <c r="D123" s="1" t="s">
        <v>2109</v>
      </c>
      <c r="E123" s="1" t="s">
        <v>3238</v>
      </c>
      <c r="F123" s="1" t="s">
        <v>112</v>
      </c>
      <c r="G123" s="1">
        <v>78841</v>
      </c>
    </row>
    <row r="124" spans="1:10" x14ac:dyDescent="0.3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3239</v>
      </c>
      <c r="D124" s="1" t="s">
        <v>2680</v>
      </c>
      <c r="E124" s="1" t="s">
        <v>2925</v>
      </c>
      <c r="F124" s="1" t="s">
        <v>112</v>
      </c>
      <c r="G124" s="1">
        <v>56584</v>
      </c>
    </row>
    <row r="125" spans="1:10"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227</v>
      </c>
      <c r="D126" s="1" t="s">
        <v>112</v>
      </c>
      <c r="E126" s="1" t="s">
        <v>228</v>
      </c>
      <c r="F126" s="1" t="s">
        <v>229</v>
      </c>
      <c r="G126" s="1" t="s">
        <v>230</v>
      </c>
      <c r="H126" s="1" t="s">
        <v>231</v>
      </c>
      <c r="I126" s="1" t="s">
        <v>232</v>
      </c>
      <c r="J126" s="1" t="s">
        <v>233</v>
      </c>
    </row>
    <row r="127" spans="1:10" x14ac:dyDescent="0.3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3240</v>
      </c>
      <c r="D127" s="1" t="s">
        <v>112</v>
      </c>
      <c r="E127" s="1" t="s">
        <v>3241</v>
      </c>
      <c r="F127" s="1" t="s">
        <v>3242</v>
      </c>
      <c r="G127" s="1" t="s">
        <v>3243</v>
      </c>
      <c r="H127" s="1" t="s">
        <v>3244</v>
      </c>
      <c r="I127" s="1">
        <v>24</v>
      </c>
      <c r="J127" s="1">
        <v>24</v>
      </c>
    </row>
    <row r="128" spans="1:10"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239</v>
      </c>
      <c r="D133" s="1" t="s">
        <v>110</v>
      </c>
      <c r="E133" s="1" t="s">
        <v>111</v>
      </c>
      <c r="F133" s="1" t="s">
        <v>112</v>
      </c>
      <c r="G133" s="1" t="s">
        <v>113</v>
      </c>
    </row>
    <row r="134" spans="1:7" x14ac:dyDescent="0.3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3245</v>
      </c>
      <c r="D134" s="1" t="s">
        <v>3246</v>
      </c>
      <c r="E134" s="1" t="s">
        <v>3247</v>
      </c>
      <c r="F134" s="1" t="s">
        <v>112</v>
      </c>
      <c r="G134" s="1">
        <v>5309598</v>
      </c>
    </row>
    <row r="135" spans="1:7" x14ac:dyDescent="0.3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3248</v>
      </c>
      <c r="D135" s="1" t="s">
        <v>3249</v>
      </c>
      <c r="E135" s="1" t="s">
        <v>3250</v>
      </c>
      <c r="F135" s="1" t="s">
        <v>112</v>
      </c>
      <c r="G135" s="1">
        <v>4814815</v>
      </c>
    </row>
    <row r="136" spans="1:7" x14ac:dyDescent="0.3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3251</v>
      </c>
      <c r="D136" s="1" t="s">
        <v>3252</v>
      </c>
      <c r="E136" s="1" t="s">
        <v>3253</v>
      </c>
      <c r="F136" s="1" t="s">
        <v>112</v>
      </c>
      <c r="G136" s="1">
        <v>4323838</v>
      </c>
    </row>
    <row r="137" spans="1:7" x14ac:dyDescent="0.3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3254</v>
      </c>
      <c r="D137" s="1" t="s">
        <v>3255</v>
      </c>
      <c r="E137" s="1" t="s">
        <v>3256</v>
      </c>
      <c r="F137" s="1" t="s">
        <v>112</v>
      </c>
      <c r="G137" s="1">
        <v>297909</v>
      </c>
    </row>
    <row r="138" spans="1:7" x14ac:dyDescent="0.3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3257</v>
      </c>
      <c r="D138" s="1" t="s">
        <v>3258</v>
      </c>
      <c r="E138" s="1" t="s">
        <v>3259</v>
      </c>
      <c r="F138" s="1" t="s">
        <v>112</v>
      </c>
      <c r="G138" s="1">
        <v>598521</v>
      </c>
    </row>
    <row r="139" spans="1:7" x14ac:dyDescent="0.3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3260</v>
      </c>
      <c r="D139" s="1" t="s">
        <v>3261</v>
      </c>
      <c r="E139" s="1" t="s">
        <v>3262</v>
      </c>
      <c r="F139" s="1" t="s">
        <v>112</v>
      </c>
      <c r="G139" s="1">
        <v>329856</v>
      </c>
    </row>
    <row r="140" spans="1:7" x14ac:dyDescent="0.3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3263</v>
      </c>
      <c r="D140" s="1" t="s">
        <v>3264</v>
      </c>
      <c r="E140" s="1" t="s">
        <v>3265</v>
      </c>
      <c r="F140" s="1" t="s">
        <v>112</v>
      </c>
      <c r="G140" s="1">
        <v>708703</v>
      </c>
    </row>
    <row r="141" spans="1:7" x14ac:dyDescent="0.3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3266</v>
      </c>
      <c r="D141" s="1" t="s">
        <v>2271</v>
      </c>
      <c r="E141" s="1" t="s">
        <v>3267</v>
      </c>
      <c r="F141" s="1" t="s">
        <v>112</v>
      </c>
      <c r="G141" s="1">
        <v>633085</v>
      </c>
    </row>
    <row r="142" spans="1:7" x14ac:dyDescent="0.3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3268</v>
      </c>
      <c r="D142" s="1" t="s">
        <v>3255</v>
      </c>
      <c r="E142" s="1" t="s">
        <v>3269</v>
      </c>
      <c r="F142" s="1" t="s">
        <v>112</v>
      </c>
      <c r="G142" s="1">
        <v>296178</v>
      </c>
    </row>
    <row r="143" spans="1:7" x14ac:dyDescent="0.3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3270</v>
      </c>
      <c r="D143" s="1" t="s">
        <v>3271</v>
      </c>
      <c r="E143" s="1" t="s">
        <v>3272</v>
      </c>
      <c r="F143" s="1" t="s">
        <v>112</v>
      </c>
      <c r="G143" s="1">
        <v>2940065</v>
      </c>
    </row>
    <row r="144" spans="1:7" x14ac:dyDescent="0.3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3273</v>
      </c>
      <c r="D144" s="1" t="s">
        <v>3274</v>
      </c>
      <c r="E144" s="1" t="s">
        <v>3275</v>
      </c>
      <c r="F144" s="1" t="s">
        <v>112</v>
      </c>
      <c r="G144" s="1">
        <v>2762008</v>
      </c>
    </row>
    <row r="145" spans="1:10" x14ac:dyDescent="0.3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3276</v>
      </c>
      <c r="D145" s="1" t="s">
        <v>3277</v>
      </c>
      <c r="E145" s="1" t="s">
        <v>3278</v>
      </c>
      <c r="F145" s="1" t="s">
        <v>112</v>
      </c>
      <c r="G145" s="1">
        <v>2694133</v>
      </c>
    </row>
    <row r="146" spans="1:10" x14ac:dyDescent="0.3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3279</v>
      </c>
      <c r="D146" s="1" t="s">
        <v>3280</v>
      </c>
      <c r="E146" s="1" t="s">
        <v>3281</v>
      </c>
      <c r="F146" s="1" t="s">
        <v>112</v>
      </c>
      <c r="G146" s="1">
        <v>2413680</v>
      </c>
    </row>
    <row r="147" spans="1:10" x14ac:dyDescent="0.3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3282</v>
      </c>
      <c r="D147" s="1" t="s">
        <v>3283</v>
      </c>
      <c r="E147" s="1" t="s">
        <v>3284</v>
      </c>
      <c r="F147" s="1" t="s">
        <v>112</v>
      </c>
      <c r="G147" s="1">
        <v>2443962</v>
      </c>
    </row>
    <row r="148" spans="1:10" x14ac:dyDescent="0.3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3285</v>
      </c>
      <c r="D148" s="1" t="s">
        <v>3286</v>
      </c>
      <c r="E148" s="1" t="s">
        <v>3287</v>
      </c>
      <c r="F148" s="1" t="s">
        <v>112</v>
      </c>
      <c r="G148" s="1">
        <v>2572725</v>
      </c>
    </row>
    <row r="149" spans="1:10" x14ac:dyDescent="0.3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3288</v>
      </c>
      <c r="D149" s="1" t="s">
        <v>3289</v>
      </c>
      <c r="E149" s="1" t="s">
        <v>3290</v>
      </c>
      <c r="F149" s="1" t="s">
        <v>112</v>
      </c>
      <c r="G149" s="1">
        <v>2029684</v>
      </c>
    </row>
    <row r="150" spans="1:10" x14ac:dyDescent="0.3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3291</v>
      </c>
      <c r="D150" s="1" t="s">
        <v>3292</v>
      </c>
      <c r="E150" s="1" t="s">
        <v>3293</v>
      </c>
      <c r="F150" s="1" t="s">
        <v>112</v>
      </c>
      <c r="G150" s="1">
        <v>1898737</v>
      </c>
    </row>
    <row r="151" spans="1:10" x14ac:dyDescent="0.3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3294</v>
      </c>
      <c r="D151" s="1" t="s">
        <v>3295</v>
      </c>
      <c r="E151" s="1" t="s">
        <v>3296</v>
      </c>
      <c r="F151" s="1" t="s">
        <v>112</v>
      </c>
      <c r="G151" s="1">
        <v>2047789</v>
      </c>
    </row>
    <row r="152" spans="1:10" x14ac:dyDescent="0.3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3297</v>
      </c>
      <c r="D152" s="1" t="s">
        <v>3298</v>
      </c>
      <c r="E152" s="1" t="s">
        <v>3299</v>
      </c>
      <c r="F152" s="1" t="s">
        <v>112</v>
      </c>
      <c r="G152" s="1">
        <v>3347853</v>
      </c>
    </row>
    <row r="153" spans="1:10" x14ac:dyDescent="0.3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3300</v>
      </c>
      <c r="D153" s="1" t="s">
        <v>3301</v>
      </c>
      <c r="E153" s="1" t="s">
        <v>3302</v>
      </c>
      <c r="F153" s="1" t="s">
        <v>112</v>
      </c>
      <c r="G153" s="1">
        <v>3470192</v>
      </c>
    </row>
    <row r="154" spans="1:10" x14ac:dyDescent="0.3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3303</v>
      </c>
      <c r="D154" s="1" t="s">
        <v>3304</v>
      </c>
      <c r="E154" s="1" t="s">
        <v>3305</v>
      </c>
      <c r="F154" s="1" t="s">
        <v>112</v>
      </c>
      <c r="G154" s="1">
        <v>3403053</v>
      </c>
    </row>
    <row r="155" spans="1:10" x14ac:dyDescent="0.3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3306</v>
      </c>
      <c r="D155" s="1" t="s">
        <v>3307</v>
      </c>
      <c r="E155" s="1" t="s">
        <v>3308</v>
      </c>
      <c r="F155" s="1" t="s">
        <v>112</v>
      </c>
      <c r="G155" s="1">
        <v>921369</v>
      </c>
    </row>
    <row r="156" spans="1:10" x14ac:dyDescent="0.3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3309</v>
      </c>
      <c r="D156" s="1" t="s">
        <v>3310</v>
      </c>
      <c r="E156" s="1" t="s">
        <v>3311</v>
      </c>
      <c r="F156" s="1" t="s">
        <v>112</v>
      </c>
      <c r="G156" s="1">
        <v>1065964</v>
      </c>
    </row>
    <row r="157" spans="1:10" x14ac:dyDescent="0.3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3312</v>
      </c>
      <c r="D157" s="1" t="s">
        <v>3313</v>
      </c>
      <c r="E157" s="1" t="s">
        <v>3314</v>
      </c>
      <c r="F157" s="1" t="s">
        <v>112</v>
      </c>
      <c r="G157" s="1">
        <v>1246033</v>
      </c>
    </row>
    <row r="158" spans="1:10"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227</v>
      </c>
      <c r="D159" s="1" t="s">
        <v>112</v>
      </c>
      <c r="E159" s="1" t="s">
        <v>228</v>
      </c>
      <c r="F159" s="1" t="s">
        <v>229</v>
      </c>
      <c r="G159" s="1" t="s">
        <v>230</v>
      </c>
      <c r="H159" s="1" t="s">
        <v>231</v>
      </c>
      <c r="I159" s="1" t="s">
        <v>232</v>
      </c>
      <c r="J159" s="1" t="s">
        <v>233</v>
      </c>
    </row>
    <row r="160" spans="1:10" x14ac:dyDescent="0.3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3315</v>
      </c>
      <c r="D160" s="1" t="s">
        <v>112</v>
      </c>
      <c r="E160" s="1" t="s">
        <v>3316</v>
      </c>
      <c r="F160" s="1" t="s">
        <v>3317</v>
      </c>
      <c r="G160" s="1" t="s">
        <v>3318</v>
      </c>
      <c r="H160" s="1" t="s">
        <v>3319</v>
      </c>
      <c r="I160" s="1">
        <v>24</v>
      </c>
      <c r="J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239</v>
      </c>
      <c r="D166" s="1" t="s">
        <v>110</v>
      </c>
      <c r="E166" s="1" t="s">
        <v>111</v>
      </c>
      <c r="F166" s="1" t="s">
        <v>112</v>
      </c>
      <c r="G166" s="1" t="s">
        <v>113</v>
      </c>
    </row>
    <row r="167" spans="1:7" x14ac:dyDescent="0.3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3320</v>
      </c>
      <c r="D167" s="1" t="s">
        <v>3321</v>
      </c>
      <c r="E167" s="1" t="s">
        <v>3322</v>
      </c>
      <c r="F167" s="1" t="s">
        <v>112</v>
      </c>
      <c r="G167" s="1">
        <v>2593597</v>
      </c>
    </row>
    <row r="168" spans="1:7" x14ac:dyDescent="0.3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3323</v>
      </c>
      <c r="D168" s="1" t="s">
        <v>3324</v>
      </c>
      <c r="E168" s="1" t="s">
        <v>3325</v>
      </c>
      <c r="F168" s="1" t="s">
        <v>112</v>
      </c>
      <c r="G168" s="1">
        <v>3236979</v>
      </c>
    </row>
    <row r="169" spans="1:7" x14ac:dyDescent="0.3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3326</v>
      </c>
      <c r="D169" s="1" t="s">
        <v>3327</v>
      </c>
      <c r="E169" s="1" t="s">
        <v>3328</v>
      </c>
      <c r="F169" s="1" t="s">
        <v>112</v>
      </c>
      <c r="G169" s="1">
        <v>2600151</v>
      </c>
    </row>
    <row r="170" spans="1:7" x14ac:dyDescent="0.3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3329</v>
      </c>
      <c r="D170" s="1" t="s">
        <v>3330</v>
      </c>
      <c r="E170" s="1" t="s">
        <v>3331</v>
      </c>
      <c r="F170" s="1" t="s">
        <v>112</v>
      </c>
      <c r="G170" s="1">
        <v>2884671</v>
      </c>
    </row>
    <row r="171" spans="1:7" x14ac:dyDescent="0.3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3332</v>
      </c>
    </row>
    <row r="172" spans="1:7" x14ac:dyDescent="0.3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3333</v>
      </c>
      <c r="D172" s="1" t="s">
        <v>3321</v>
      </c>
      <c r="E172" s="1" t="s">
        <v>3334</v>
      </c>
      <c r="F172" s="1" t="s">
        <v>112</v>
      </c>
      <c r="G172" s="1">
        <v>2757098</v>
      </c>
    </row>
    <row r="173" spans="1:7" x14ac:dyDescent="0.3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3335</v>
      </c>
      <c r="D173" s="1" t="s">
        <v>3336</v>
      </c>
      <c r="E173" s="1" t="s">
        <v>3337</v>
      </c>
      <c r="F173" s="1" t="s">
        <v>112</v>
      </c>
      <c r="G173" s="1">
        <v>1959257</v>
      </c>
    </row>
    <row r="174" spans="1:7" x14ac:dyDescent="0.3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3338</v>
      </c>
      <c r="D174" s="1" t="s">
        <v>3339</v>
      </c>
      <c r="E174" s="1" t="s">
        <v>3340</v>
      </c>
      <c r="F174" s="1" t="s">
        <v>112</v>
      </c>
      <c r="G174" s="1">
        <v>1574029</v>
      </c>
    </row>
    <row r="175" spans="1:7" x14ac:dyDescent="0.3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3341</v>
      </c>
      <c r="D175" s="1" t="s">
        <v>3342</v>
      </c>
      <c r="E175" s="1" t="s">
        <v>3343</v>
      </c>
      <c r="F175" s="1" t="s">
        <v>112</v>
      </c>
      <c r="G175" s="1">
        <v>1728445</v>
      </c>
    </row>
    <row r="176" spans="1:7" x14ac:dyDescent="0.3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3344</v>
      </c>
      <c r="D176" s="1" t="s">
        <v>3345</v>
      </c>
      <c r="E176" s="1" t="s">
        <v>3346</v>
      </c>
      <c r="F176" s="1" t="s">
        <v>112</v>
      </c>
      <c r="G176" s="1">
        <v>2838210</v>
      </c>
    </row>
    <row r="177" spans="1:10" x14ac:dyDescent="0.3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3347</v>
      </c>
      <c r="D177" s="1" t="s">
        <v>3348</v>
      </c>
      <c r="E177" s="1" t="s">
        <v>3349</v>
      </c>
      <c r="F177" s="1" t="s">
        <v>112</v>
      </c>
      <c r="G177" s="1">
        <v>2592689</v>
      </c>
    </row>
    <row r="178" spans="1:10" x14ac:dyDescent="0.3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3350</v>
      </c>
      <c r="D178" s="1" t="s">
        <v>3351</v>
      </c>
      <c r="E178" s="1" t="s">
        <v>3352</v>
      </c>
      <c r="F178" s="1" t="s">
        <v>112</v>
      </c>
      <c r="G178" s="1">
        <v>3313462</v>
      </c>
    </row>
    <row r="179" spans="1:10" x14ac:dyDescent="0.3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3353</v>
      </c>
      <c r="D179" s="1" t="s">
        <v>3354</v>
      </c>
      <c r="E179" s="1" t="s">
        <v>3355</v>
      </c>
      <c r="F179" s="1" t="s">
        <v>112</v>
      </c>
      <c r="G179" s="1">
        <v>3619092</v>
      </c>
    </row>
    <row r="180" spans="1:10" x14ac:dyDescent="0.3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3356</v>
      </c>
      <c r="D180" s="1" t="s">
        <v>3357</v>
      </c>
      <c r="E180" s="1" t="s">
        <v>3358</v>
      </c>
      <c r="F180" s="1" t="s">
        <v>112</v>
      </c>
      <c r="G180" s="1">
        <v>2621349</v>
      </c>
    </row>
    <row r="181" spans="1:10" x14ac:dyDescent="0.3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3359</v>
      </c>
    </row>
    <row r="182" spans="1:10" x14ac:dyDescent="0.3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3360</v>
      </c>
      <c r="D182" s="1" t="s">
        <v>3361</v>
      </c>
      <c r="E182" s="1" t="s">
        <v>3362</v>
      </c>
      <c r="F182" s="1" t="s">
        <v>112</v>
      </c>
      <c r="G182" s="1">
        <v>2688942</v>
      </c>
    </row>
    <row r="183" spans="1:10" x14ac:dyDescent="0.3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3363</v>
      </c>
      <c r="D183" s="1" t="s">
        <v>3364</v>
      </c>
      <c r="E183" s="1" t="s">
        <v>3365</v>
      </c>
      <c r="F183" s="1" t="s">
        <v>112</v>
      </c>
      <c r="G183" s="1">
        <v>2780912</v>
      </c>
    </row>
    <row r="184" spans="1:10" x14ac:dyDescent="0.3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3366</v>
      </c>
      <c r="D184" s="1" t="s">
        <v>3367</v>
      </c>
      <c r="E184" s="1" t="s">
        <v>3368</v>
      </c>
      <c r="F184" s="1" t="s">
        <v>112</v>
      </c>
      <c r="G184" s="1">
        <v>2706808</v>
      </c>
    </row>
    <row r="185" spans="1:10" x14ac:dyDescent="0.3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3369</v>
      </c>
      <c r="D185" s="1" t="s">
        <v>3370</v>
      </c>
      <c r="E185" s="1" t="s">
        <v>3371</v>
      </c>
      <c r="F185" s="1" t="s">
        <v>112</v>
      </c>
      <c r="G185" s="1">
        <v>3591514</v>
      </c>
    </row>
    <row r="186" spans="1:10" x14ac:dyDescent="0.3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3372</v>
      </c>
      <c r="D186" s="1" t="s">
        <v>3373</v>
      </c>
      <c r="E186" s="1" t="s">
        <v>3374</v>
      </c>
      <c r="F186" s="1" t="s">
        <v>112</v>
      </c>
      <c r="G186" s="1">
        <v>3666051</v>
      </c>
    </row>
    <row r="187" spans="1:10" x14ac:dyDescent="0.3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3375</v>
      </c>
      <c r="D187" s="1" t="s">
        <v>3376</v>
      </c>
      <c r="E187" s="1" t="s">
        <v>3377</v>
      </c>
      <c r="F187" s="1" t="s">
        <v>112</v>
      </c>
      <c r="G187" s="1">
        <v>3582732</v>
      </c>
    </row>
    <row r="188" spans="1:10" x14ac:dyDescent="0.3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3378</v>
      </c>
      <c r="D188" s="1" t="s">
        <v>3379</v>
      </c>
      <c r="E188" s="1" t="s">
        <v>3380</v>
      </c>
      <c r="F188" s="1" t="s">
        <v>112</v>
      </c>
      <c r="G188" s="1">
        <v>3806472</v>
      </c>
    </row>
    <row r="189" spans="1:10" x14ac:dyDescent="0.3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3381</v>
      </c>
      <c r="D189" s="1" t="s">
        <v>3382</v>
      </c>
      <c r="E189" s="1" t="s">
        <v>3383</v>
      </c>
      <c r="F189" s="1" t="s">
        <v>112</v>
      </c>
      <c r="G189" s="1">
        <v>3784193</v>
      </c>
    </row>
    <row r="190" spans="1:10" x14ac:dyDescent="0.3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3384</v>
      </c>
      <c r="D190" s="1" t="s">
        <v>3385</v>
      </c>
      <c r="E190" s="1" t="s">
        <v>3386</v>
      </c>
      <c r="F190" s="1" t="s">
        <v>112</v>
      </c>
      <c r="G190" s="1">
        <v>3496278</v>
      </c>
    </row>
    <row r="191" spans="1:10"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227</v>
      </c>
      <c r="D192" s="1" t="s">
        <v>112</v>
      </c>
      <c r="E192" s="1" t="s">
        <v>228</v>
      </c>
      <c r="F192" s="1" t="s">
        <v>229</v>
      </c>
      <c r="G192" s="1" t="s">
        <v>230</v>
      </c>
      <c r="H192" s="1" t="s">
        <v>231</v>
      </c>
      <c r="I192" s="1" t="s">
        <v>232</v>
      </c>
      <c r="J192" s="1" t="s">
        <v>233</v>
      </c>
    </row>
    <row r="193" spans="1:10" x14ac:dyDescent="0.3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3387</v>
      </c>
      <c r="D193" s="1" t="s">
        <v>112</v>
      </c>
      <c r="E193" s="1" t="s">
        <v>3388</v>
      </c>
      <c r="F193" s="1" t="s">
        <v>3389</v>
      </c>
      <c r="G193" s="1" t="s">
        <v>3390</v>
      </c>
      <c r="H193" s="1" t="s">
        <v>3391</v>
      </c>
      <c r="I193" s="1">
        <v>24</v>
      </c>
      <c r="J193" s="1">
        <v>24</v>
      </c>
    </row>
    <row r="194" spans="1:10"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239</v>
      </c>
      <c r="D199" s="1" t="s">
        <v>110</v>
      </c>
      <c r="E199" s="1" t="s">
        <v>111</v>
      </c>
      <c r="F199" s="1" t="s">
        <v>112</v>
      </c>
      <c r="G199" s="1" t="s">
        <v>113</v>
      </c>
    </row>
    <row r="200" spans="1:10" x14ac:dyDescent="0.3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3392</v>
      </c>
      <c r="D200" s="1" t="s">
        <v>3393</v>
      </c>
      <c r="E200" s="1" t="s">
        <v>3394</v>
      </c>
      <c r="F200" s="1" t="s">
        <v>112</v>
      </c>
      <c r="G200" s="1">
        <v>2865528</v>
      </c>
    </row>
    <row r="201" spans="1:10" x14ac:dyDescent="0.3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3395</v>
      </c>
      <c r="D201" s="1" t="s">
        <v>3396</v>
      </c>
      <c r="E201" s="1" t="s">
        <v>3397</v>
      </c>
      <c r="F201" s="1" t="s">
        <v>112</v>
      </c>
      <c r="G201" s="1">
        <v>2108417</v>
      </c>
    </row>
    <row r="202" spans="1:10" x14ac:dyDescent="0.3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3398</v>
      </c>
      <c r="D202" s="1" t="s">
        <v>3399</v>
      </c>
      <c r="E202" s="1" t="s">
        <v>3400</v>
      </c>
      <c r="F202" s="1" t="s">
        <v>112</v>
      </c>
      <c r="G202" s="1">
        <v>2629525</v>
      </c>
    </row>
    <row r="203" spans="1:10" x14ac:dyDescent="0.3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3401</v>
      </c>
      <c r="D203" s="1" t="s">
        <v>3402</v>
      </c>
      <c r="E203" s="1" t="s">
        <v>3403</v>
      </c>
      <c r="F203" s="1" t="s">
        <v>112</v>
      </c>
      <c r="G203" s="1">
        <v>1967477</v>
      </c>
    </row>
    <row r="204" spans="1:10" x14ac:dyDescent="0.3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3404</v>
      </c>
      <c r="D204" s="1" t="s">
        <v>3405</v>
      </c>
      <c r="E204" s="1" t="s">
        <v>3406</v>
      </c>
      <c r="F204" s="1" t="s">
        <v>112</v>
      </c>
      <c r="G204" s="1">
        <v>1938125</v>
      </c>
    </row>
    <row r="205" spans="1:10" x14ac:dyDescent="0.3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3407</v>
      </c>
      <c r="D205" s="1" t="s">
        <v>3408</v>
      </c>
      <c r="E205" s="1" t="s">
        <v>3409</v>
      </c>
      <c r="F205" s="1" t="s">
        <v>112</v>
      </c>
      <c r="G205" s="1">
        <v>1887727</v>
      </c>
    </row>
    <row r="206" spans="1:10" x14ac:dyDescent="0.3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3410</v>
      </c>
      <c r="D206" s="1" t="s">
        <v>3411</v>
      </c>
      <c r="E206" s="1" t="s">
        <v>3412</v>
      </c>
      <c r="F206" s="1" t="s">
        <v>112</v>
      </c>
      <c r="G206" s="1">
        <v>2928320</v>
      </c>
    </row>
    <row r="207" spans="1:10" x14ac:dyDescent="0.3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3413</v>
      </c>
      <c r="D207" s="1" t="s">
        <v>3414</v>
      </c>
      <c r="E207" s="1" t="s">
        <v>3415</v>
      </c>
      <c r="F207" s="1" t="s">
        <v>112</v>
      </c>
      <c r="G207" s="1">
        <v>2656605</v>
      </c>
    </row>
    <row r="208" spans="1:10" x14ac:dyDescent="0.3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3416</v>
      </c>
      <c r="D208" s="1" t="s">
        <v>3417</v>
      </c>
      <c r="E208" s="1" t="s">
        <v>3418</v>
      </c>
      <c r="F208" s="1" t="s">
        <v>112</v>
      </c>
      <c r="G208" s="1">
        <v>2586589</v>
      </c>
    </row>
    <row r="209" spans="1:7" x14ac:dyDescent="0.3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3419</v>
      </c>
      <c r="D209" s="1" t="s">
        <v>3420</v>
      </c>
      <c r="E209" s="1" t="s">
        <v>3421</v>
      </c>
      <c r="F209" s="1" t="s">
        <v>112</v>
      </c>
      <c r="G209" s="1">
        <v>8777476</v>
      </c>
    </row>
    <row r="210" spans="1:7" x14ac:dyDescent="0.3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3422</v>
      </c>
      <c r="D210" s="1" t="s">
        <v>3423</v>
      </c>
      <c r="E210" s="1" t="s">
        <v>3424</v>
      </c>
      <c r="F210" s="1" t="s">
        <v>112</v>
      </c>
      <c r="G210" s="1">
        <v>7692780</v>
      </c>
    </row>
    <row r="211" spans="1:7" x14ac:dyDescent="0.3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3425</v>
      </c>
      <c r="D211" s="1" t="s">
        <v>3426</v>
      </c>
      <c r="E211" s="1" t="s">
        <v>3427</v>
      </c>
      <c r="F211" s="1" t="s">
        <v>112</v>
      </c>
      <c r="G211" s="1">
        <v>7934343</v>
      </c>
    </row>
    <row r="212" spans="1:7" x14ac:dyDescent="0.3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3428</v>
      </c>
      <c r="D212" s="1" t="s">
        <v>3429</v>
      </c>
      <c r="E212" s="1" t="s">
        <v>3430</v>
      </c>
      <c r="F212" s="1" t="s">
        <v>112</v>
      </c>
      <c r="G212" s="1">
        <v>4125080</v>
      </c>
    </row>
    <row r="213" spans="1:7" x14ac:dyDescent="0.3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3431</v>
      </c>
      <c r="D213" s="1" t="s">
        <v>3432</v>
      </c>
      <c r="E213" s="1" t="s">
        <v>3433</v>
      </c>
      <c r="F213" s="1" t="s">
        <v>112</v>
      </c>
      <c r="G213" s="1">
        <v>3507331</v>
      </c>
    </row>
    <row r="214" spans="1:7" x14ac:dyDescent="0.3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3434</v>
      </c>
      <c r="D214" s="1" t="s">
        <v>3435</v>
      </c>
      <c r="E214" s="1" t="s">
        <v>3436</v>
      </c>
      <c r="F214" s="1" t="s">
        <v>112</v>
      </c>
      <c r="G214" s="1">
        <v>3647363</v>
      </c>
    </row>
    <row r="215" spans="1:7" x14ac:dyDescent="0.3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3437</v>
      </c>
      <c r="D215" s="1" t="s">
        <v>3438</v>
      </c>
      <c r="E215" s="1" t="s">
        <v>3439</v>
      </c>
      <c r="F215" s="1" t="s">
        <v>112</v>
      </c>
      <c r="G215" s="1">
        <v>4365280</v>
      </c>
    </row>
    <row r="216" spans="1:7" x14ac:dyDescent="0.3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3440</v>
      </c>
      <c r="D216" s="1" t="s">
        <v>3441</v>
      </c>
      <c r="E216" s="1" t="s">
        <v>3442</v>
      </c>
      <c r="F216" s="1" t="s">
        <v>112</v>
      </c>
      <c r="G216" s="1">
        <v>3303274</v>
      </c>
    </row>
    <row r="217" spans="1:7" x14ac:dyDescent="0.3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3443</v>
      </c>
      <c r="D217" s="1" t="s">
        <v>3444</v>
      </c>
      <c r="E217" s="1" t="s">
        <v>3445</v>
      </c>
      <c r="F217" s="1" t="s">
        <v>112</v>
      </c>
      <c r="G217" s="1">
        <v>4049116</v>
      </c>
    </row>
    <row r="218" spans="1:7" x14ac:dyDescent="0.3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3446</v>
      </c>
      <c r="D218" s="1" t="s">
        <v>3429</v>
      </c>
      <c r="E218" s="1" t="s">
        <v>3447</v>
      </c>
      <c r="F218" s="1" t="s">
        <v>112</v>
      </c>
      <c r="G218" s="1">
        <v>4912603</v>
      </c>
    </row>
    <row r="219" spans="1:7" x14ac:dyDescent="0.3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3448</v>
      </c>
      <c r="D219" s="1" t="s">
        <v>3449</v>
      </c>
      <c r="E219" s="1" t="s">
        <v>3450</v>
      </c>
      <c r="F219" s="1" t="s">
        <v>112</v>
      </c>
      <c r="G219" s="1">
        <v>4769284</v>
      </c>
    </row>
    <row r="220" spans="1:7" x14ac:dyDescent="0.3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3451</v>
      </c>
      <c r="D220" s="1" t="s">
        <v>3452</v>
      </c>
      <c r="E220" s="1" t="s">
        <v>3453</v>
      </c>
      <c r="F220" s="1" t="s">
        <v>112</v>
      </c>
      <c r="G220" s="1">
        <v>4867440</v>
      </c>
    </row>
    <row r="221" spans="1:7" x14ac:dyDescent="0.3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3454</v>
      </c>
      <c r="D221" s="1" t="s">
        <v>3455</v>
      </c>
      <c r="E221" s="1" t="s">
        <v>3456</v>
      </c>
      <c r="F221" s="1" t="s">
        <v>112</v>
      </c>
      <c r="G221" s="1">
        <v>8429127</v>
      </c>
    </row>
    <row r="222" spans="1:7" x14ac:dyDescent="0.3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3457</v>
      </c>
      <c r="D222" s="1" t="s">
        <v>3458</v>
      </c>
      <c r="E222" s="1" t="s">
        <v>3459</v>
      </c>
      <c r="F222" s="1" t="s">
        <v>112</v>
      </c>
      <c r="G222" s="1">
        <v>7657653</v>
      </c>
    </row>
    <row r="223" spans="1:7" x14ac:dyDescent="0.3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3460</v>
      </c>
      <c r="D223" s="1" t="s">
        <v>3461</v>
      </c>
      <c r="E223" s="1" t="s">
        <v>3462</v>
      </c>
      <c r="F223" s="1" t="s">
        <v>112</v>
      </c>
      <c r="G223" s="1">
        <v>7476827</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227</v>
      </c>
      <c r="D225" s="1" t="s">
        <v>112</v>
      </c>
      <c r="E225" s="1" t="s">
        <v>228</v>
      </c>
      <c r="F225" s="1" t="s">
        <v>229</v>
      </c>
      <c r="G225" s="1" t="s">
        <v>230</v>
      </c>
      <c r="H225" s="1" t="s">
        <v>231</v>
      </c>
      <c r="I225" s="1" t="s">
        <v>232</v>
      </c>
      <c r="J225" s="1" t="s">
        <v>233</v>
      </c>
    </row>
    <row r="226" spans="1:10" x14ac:dyDescent="0.3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3463</v>
      </c>
      <c r="D226" s="1" t="s">
        <v>112</v>
      </c>
      <c r="E226" s="1" t="s">
        <v>3464</v>
      </c>
      <c r="F226" s="1" t="s">
        <v>3465</v>
      </c>
      <c r="G226" s="1" t="s">
        <v>3466</v>
      </c>
      <c r="H226" s="1" t="s">
        <v>3467</v>
      </c>
      <c r="I226" s="1">
        <v>24</v>
      </c>
      <c r="J226" s="1">
        <v>24</v>
      </c>
    </row>
    <row r="227" spans="1:10"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239</v>
      </c>
      <c r="D232" s="1" t="s">
        <v>110</v>
      </c>
      <c r="E232" s="1" t="s">
        <v>111</v>
      </c>
      <c r="F232" s="1" t="s">
        <v>112</v>
      </c>
      <c r="G232" s="1" t="s">
        <v>113</v>
      </c>
    </row>
    <row r="233" spans="1:10" x14ac:dyDescent="0.35">
      <c r="A233" s="1" t="str">
        <f t="shared" si="3"/>
        <v>08 Anastrozole 0.032 µg_L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3468</v>
      </c>
      <c r="D233" s="1" t="s">
        <v>2211</v>
      </c>
      <c r="E233" s="1" t="s">
        <v>1227</v>
      </c>
      <c r="F233" s="1" t="s">
        <v>112</v>
      </c>
      <c r="G233" s="1">
        <v>85741</v>
      </c>
    </row>
    <row r="234" spans="1:10" x14ac:dyDescent="0.35">
      <c r="A234" s="1" t="str">
        <f t="shared" si="3"/>
        <v>08 Anastrozole 0.032 µg_L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3469</v>
      </c>
      <c r="D234" s="1" t="s">
        <v>2131</v>
      </c>
      <c r="E234" s="1" t="s">
        <v>3470</v>
      </c>
      <c r="F234" s="1" t="s">
        <v>112</v>
      </c>
      <c r="G234" s="1">
        <v>44320</v>
      </c>
    </row>
    <row r="235" spans="1:10" x14ac:dyDescent="0.35">
      <c r="A235" s="1" t="str">
        <f t="shared" si="3"/>
        <v>08 Anastrozole 0.032 µg_L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3471</v>
      </c>
      <c r="D235" s="1" t="s">
        <v>1604</v>
      </c>
      <c r="E235" s="1" t="s">
        <v>3472</v>
      </c>
      <c r="F235" s="1" t="s">
        <v>112</v>
      </c>
      <c r="G235" s="1">
        <v>47737</v>
      </c>
    </row>
    <row r="236" spans="1:10" x14ac:dyDescent="0.35">
      <c r="A236" s="1" t="str">
        <f t="shared" si="3"/>
        <v>08 Anastrozole 0.032 µg_L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3473</v>
      </c>
      <c r="D236" s="1" t="s">
        <v>2849</v>
      </c>
      <c r="E236" s="1" t="s">
        <v>3474</v>
      </c>
      <c r="F236" s="1" t="s">
        <v>112</v>
      </c>
      <c r="G236" s="1">
        <v>119137</v>
      </c>
    </row>
    <row r="237" spans="1:10" x14ac:dyDescent="0.35">
      <c r="A237" s="1" t="str">
        <f t="shared" si="3"/>
        <v>08 Anastrozole 0.032 µg_L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3475</v>
      </c>
      <c r="D237" s="1" t="s">
        <v>2211</v>
      </c>
      <c r="E237" s="1" t="s">
        <v>3476</v>
      </c>
      <c r="F237" s="1" t="s">
        <v>112</v>
      </c>
      <c r="G237" s="1">
        <v>83621</v>
      </c>
    </row>
    <row r="238" spans="1:10" x14ac:dyDescent="0.35">
      <c r="A238" s="1" t="str">
        <f t="shared" si="3"/>
        <v>08 Anastrozole 0.032 µg_L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3477</v>
      </c>
      <c r="D238" s="1" t="s">
        <v>1646</v>
      </c>
      <c r="E238" s="1" t="s">
        <v>3478</v>
      </c>
      <c r="F238" s="1" t="s">
        <v>112</v>
      </c>
      <c r="G238" s="1">
        <v>26107</v>
      </c>
    </row>
    <row r="239" spans="1:10" x14ac:dyDescent="0.35">
      <c r="A239" s="1" t="str">
        <f t="shared" si="3"/>
        <v>08 Anastrozole 0.032 µg_L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3479</v>
      </c>
      <c r="D239" s="1" t="s">
        <v>3480</v>
      </c>
      <c r="E239" s="1" t="s">
        <v>3481</v>
      </c>
      <c r="F239" s="1" t="s">
        <v>112</v>
      </c>
      <c r="G239" s="1">
        <v>274938</v>
      </c>
    </row>
    <row r="240" spans="1:10" x14ac:dyDescent="0.35">
      <c r="A240" s="1" t="str">
        <f t="shared" si="3"/>
        <v>08 Anastrozole 0.032 µg_L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3482</v>
      </c>
      <c r="D240" s="1" t="s">
        <v>3483</v>
      </c>
      <c r="E240" s="1" t="s">
        <v>3484</v>
      </c>
      <c r="F240" s="1" t="s">
        <v>112</v>
      </c>
      <c r="G240" s="1">
        <v>316964</v>
      </c>
    </row>
    <row r="241" spans="1:7" x14ac:dyDescent="0.35">
      <c r="A241" s="1" t="str">
        <f t="shared" si="3"/>
        <v>08 Anastrozole 0.032 µg_L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3485</v>
      </c>
      <c r="D241" s="1" t="s">
        <v>2162</v>
      </c>
      <c r="E241" s="1" t="s">
        <v>3486</v>
      </c>
      <c r="F241" s="1" t="s">
        <v>112</v>
      </c>
      <c r="G241" s="1">
        <v>161986</v>
      </c>
    </row>
    <row r="242" spans="1:7" x14ac:dyDescent="0.35">
      <c r="A242" s="1" t="str">
        <f t="shared" si="3"/>
        <v>08 Anastrozole 0.032 µg_L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3487</v>
      </c>
      <c r="D242" s="1" t="s">
        <v>2109</v>
      </c>
      <c r="E242" s="1" t="s">
        <v>1095</v>
      </c>
      <c r="F242" s="1" t="s">
        <v>112</v>
      </c>
      <c r="G242" s="1">
        <v>78257</v>
      </c>
    </row>
    <row r="243" spans="1:7" x14ac:dyDescent="0.35">
      <c r="A243" s="1" t="str">
        <f t="shared" si="3"/>
        <v>08 Anastrozole 0.032 µg_L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3488</v>
      </c>
      <c r="D243" s="1" t="s">
        <v>1720</v>
      </c>
      <c r="E243" s="1" t="s">
        <v>3489</v>
      </c>
      <c r="F243" s="1" t="s">
        <v>112</v>
      </c>
      <c r="G243" s="1">
        <v>40859</v>
      </c>
    </row>
    <row r="244" spans="1:7" x14ac:dyDescent="0.35">
      <c r="A244" s="1" t="str">
        <f t="shared" si="3"/>
        <v>08 Anastrozole 0.032 µg_L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3490</v>
      </c>
      <c r="D244" s="1" t="s">
        <v>1661</v>
      </c>
      <c r="E244" s="1" t="s">
        <v>3491</v>
      </c>
      <c r="F244" s="1" t="s">
        <v>112</v>
      </c>
      <c r="G244" s="1">
        <v>63138</v>
      </c>
    </row>
    <row r="245" spans="1:7" x14ac:dyDescent="0.35">
      <c r="A245" s="1" t="str">
        <f t="shared" si="3"/>
        <v>08 Anastrozole 0.032 µg_L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3492</v>
      </c>
      <c r="D245" s="1" t="s">
        <v>1703</v>
      </c>
      <c r="E245" s="1" t="s">
        <v>3493</v>
      </c>
      <c r="F245" s="1" t="s">
        <v>112</v>
      </c>
      <c r="G245" s="1">
        <v>36079</v>
      </c>
    </row>
    <row r="246" spans="1:7" x14ac:dyDescent="0.35">
      <c r="A246" s="1" t="str">
        <f t="shared" si="3"/>
        <v>08 Anastrozole 0.032 µg_L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3494</v>
      </c>
      <c r="D246" s="1" t="s">
        <v>2189</v>
      </c>
      <c r="E246" s="1" t="s">
        <v>3495</v>
      </c>
      <c r="F246" s="1" t="s">
        <v>112</v>
      </c>
      <c r="G246" s="1">
        <v>31277</v>
      </c>
    </row>
    <row r="247" spans="1:7" x14ac:dyDescent="0.35">
      <c r="A247" s="1" t="str">
        <f t="shared" si="3"/>
        <v>08 Anastrozole 0.032 µg_L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3496</v>
      </c>
      <c r="D247" s="1" t="s">
        <v>1628</v>
      </c>
      <c r="E247" s="1" t="s">
        <v>3497</v>
      </c>
      <c r="F247" s="1" t="s">
        <v>112</v>
      </c>
      <c r="G247" s="1">
        <v>104494</v>
      </c>
    </row>
    <row r="248" spans="1:7" x14ac:dyDescent="0.35">
      <c r="A248" s="1" t="str">
        <f t="shared" si="3"/>
        <v>08 Anastrozole 0.032 µg_L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3498</v>
      </c>
      <c r="D248" s="1" t="s">
        <v>3499</v>
      </c>
      <c r="E248" s="1" t="s">
        <v>3500</v>
      </c>
      <c r="F248" s="1" t="s">
        <v>112</v>
      </c>
      <c r="G248" s="1">
        <v>386721</v>
      </c>
    </row>
    <row r="249" spans="1:7" x14ac:dyDescent="0.35">
      <c r="A249" s="1" t="str">
        <f t="shared" si="3"/>
        <v>08 Anastrozole 0.032 µg_L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3501</v>
      </c>
      <c r="D249" s="1" t="s">
        <v>2277</v>
      </c>
      <c r="E249" s="1" t="s">
        <v>3502</v>
      </c>
      <c r="F249" s="1" t="s">
        <v>112</v>
      </c>
      <c r="G249" s="1">
        <v>436210</v>
      </c>
    </row>
    <row r="250" spans="1:7" x14ac:dyDescent="0.35">
      <c r="A250" s="1" t="str">
        <f t="shared" si="3"/>
        <v>08 Anastrozole 0.032 µg_L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3503</v>
      </c>
      <c r="D250" s="1" t="s">
        <v>1619</v>
      </c>
      <c r="E250" s="1" t="s">
        <v>3504</v>
      </c>
      <c r="F250" s="1" t="s">
        <v>112</v>
      </c>
      <c r="G250" s="1">
        <v>125324</v>
      </c>
    </row>
    <row r="251" spans="1:7" x14ac:dyDescent="0.35">
      <c r="A251" s="1" t="str">
        <f t="shared" si="3"/>
        <v>08 Anastrozole 0.032 µg_L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3505</v>
      </c>
      <c r="D251" s="1" t="s">
        <v>1783</v>
      </c>
      <c r="E251" s="1" t="s">
        <v>2222</v>
      </c>
      <c r="F251" s="1" t="s">
        <v>112</v>
      </c>
      <c r="G251" s="1">
        <v>28876</v>
      </c>
    </row>
    <row r="252" spans="1:7" x14ac:dyDescent="0.35">
      <c r="A252" s="1" t="str">
        <f t="shared" si="3"/>
        <v>08 Anastrozole 0.032 µg_L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3506</v>
      </c>
      <c r="D252" s="1" t="s">
        <v>1700</v>
      </c>
      <c r="E252" s="1" t="s">
        <v>3507</v>
      </c>
      <c r="F252" s="1" t="s">
        <v>112</v>
      </c>
      <c r="G252" s="1">
        <v>39453</v>
      </c>
    </row>
    <row r="253" spans="1:7" x14ac:dyDescent="0.35">
      <c r="A253" s="1" t="str">
        <f t="shared" si="3"/>
        <v>08 Anastrozole 0.032 µg_L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3508</v>
      </c>
      <c r="D253" s="1" t="s">
        <v>2179</v>
      </c>
      <c r="E253" s="1" t="s">
        <v>267</v>
      </c>
      <c r="F253" s="1" t="s">
        <v>112</v>
      </c>
      <c r="G253" s="1">
        <v>16460</v>
      </c>
    </row>
    <row r="254" spans="1:7" x14ac:dyDescent="0.35">
      <c r="A254" s="1" t="str">
        <f t="shared" si="3"/>
        <v>08 Anastrozole 0.032 µg_L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3509</v>
      </c>
      <c r="D254" s="1" t="s">
        <v>3152</v>
      </c>
      <c r="E254" s="1" t="s">
        <v>3510</v>
      </c>
      <c r="F254" s="1" t="s">
        <v>112</v>
      </c>
      <c r="G254" s="1">
        <v>425547</v>
      </c>
    </row>
    <row r="255" spans="1:7" x14ac:dyDescent="0.35">
      <c r="A255" s="1" t="str">
        <f t="shared" si="3"/>
        <v>08 Anastrozole 0.032 µg_L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3511</v>
      </c>
      <c r="D255" s="1" t="s">
        <v>3512</v>
      </c>
      <c r="E255" s="1" t="s">
        <v>3513</v>
      </c>
      <c r="F255" s="1" t="s">
        <v>112</v>
      </c>
      <c r="G255" s="1">
        <v>529132</v>
      </c>
    </row>
    <row r="256" spans="1:7" x14ac:dyDescent="0.35">
      <c r="A256" s="1" t="str">
        <f t="shared" si="3"/>
        <v>08 Anastrozole 0.032 µg_L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3514</v>
      </c>
      <c r="D256" s="1" t="s">
        <v>2324</v>
      </c>
      <c r="E256" s="1" t="s">
        <v>3515</v>
      </c>
      <c r="F256" s="1" t="s">
        <v>112</v>
      </c>
      <c r="G256" s="1">
        <v>95107</v>
      </c>
    </row>
    <row r="257" spans="1:10"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227</v>
      </c>
      <c r="D258" s="1" t="s">
        <v>112</v>
      </c>
      <c r="E258" s="1" t="s">
        <v>228</v>
      </c>
      <c r="F258" s="1" t="s">
        <v>229</v>
      </c>
      <c r="G258" s="1" t="s">
        <v>230</v>
      </c>
      <c r="H258" s="1" t="s">
        <v>231</v>
      </c>
      <c r="I258" s="1" t="s">
        <v>232</v>
      </c>
      <c r="J258" s="1" t="s">
        <v>233</v>
      </c>
    </row>
    <row r="259" spans="1:10" x14ac:dyDescent="0.35">
      <c r="A259" s="1" t="str">
        <f t="shared" si="4"/>
        <v>08 Anastrozole 0.032 µg_L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3516</v>
      </c>
      <c r="D259" s="1" t="s">
        <v>112</v>
      </c>
      <c r="E259" s="1" t="s">
        <v>3517</v>
      </c>
      <c r="F259" s="1" t="s">
        <v>3518</v>
      </c>
      <c r="G259" s="1" t="s">
        <v>3519</v>
      </c>
      <c r="H259" s="1" t="s">
        <v>3520</v>
      </c>
      <c r="I259" s="1">
        <v>24</v>
      </c>
      <c r="J259" s="1">
        <v>24</v>
      </c>
    </row>
    <row r="260" spans="1:10"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239</v>
      </c>
      <c r="D265" s="1" t="s">
        <v>110</v>
      </c>
      <c r="E265" s="1" t="s">
        <v>111</v>
      </c>
      <c r="F265" s="1" t="s">
        <v>112</v>
      </c>
      <c r="G265" s="1" t="s">
        <v>113</v>
      </c>
    </row>
    <row r="266" spans="1:10" x14ac:dyDescent="0.35">
      <c r="A266" s="1" t="str">
        <f t="shared" si="4"/>
        <v>09 Anastrozole 0.16 µg_L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3521</v>
      </c>
      <c r="D266" s="1" t="s">
        <v>2116</v>
      </c>
      <c r="E266" s="1" t="s">
        <v>3522</v>
      </c>
      <c r="F266" s="1" t="s">
        <v>112</v>
      </c>
      <c r="G266" s="1">
        <v>21608</v>
      </c>
    </row>
    <row r="267" spans="1:10" x14ac:dyDescent="0.35">
      <c r="A267" s="1" t="str">
        <f t="shared" si="4"/>
        <v>09 Anastrozole 0.16 µg_L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3523</v>
      </c>
      <c r="D267" s="1" t="s">
        <v>1680</v>
      </c>
      <c r="E267" s="1" t="s">
        <v>3038</v>
      </c>
      <c r="F267" s="1" t="s">
        <v>112</v>
      </c>
      <c r="G267" s="1">
        <v>27556</v>
      </c>
    </row>
    <row r="268" spans="1:10" x14ac:dyDescent="0.35">
      <c r="A268" s="1" t="str">
        <f t="shared" si="4"/>
        <v>09 Anastrozole 0.16 µg_L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3524</v>
      </c>
      <c r="D268" s="1" t="s">
        <v>1720</v>
      </c>
      <c r="E268" s="1" t="s">
        <v>3525</v>
      </c>
      <c r="F268" s="1" t="s">
        <v>112</v>
      </c>
      <c r="G268" s="1">
        <v>42481</v>
      </c>
    </row>
    <row r="269" spans="1:10" x14ac:dyDescent="0.35">
      <c r="A269" s="1" t="str">
        <f t="shared" si="4"/>
        <v>09 Anastrozole 0.16 µg_L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3526</v>
      </c>
      <c r="D269" s="1" t="s">
        <v>3527</v>
      </c>
      <c r="E269" s="1" t="s">
        <v>3528</v>
      </c>
      <c r="F269" s="1" t="s">
        <v>112</v>
      </c>
      <c r="G269" s="1">
        <v>572911</v>
      </c>
    </row>
    <row r="270" spans="1:10" x14ac:dyDescent="0.35">
      <c r="A270" s="1" t="str">
        <f t="shared" si="4"/>
        <v>09 Anastrozole 0.16 µg_L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3529</v>
      </c>
      <c r="D270" s="1" t="s">
        <v>2680</v>
      </c>
      <c r="E270" s="1" t="s">
        <v>3530</v>
      </c>
      <c r="F270" s="1" t="s">
        <v>112</v>
      </c>
      <c r="G270" s="1">
        <v>59936</v>
      </c>
    </row>
    <row r="271" spans="1:10" x14ac:dyDescent="0.35">
      <c r="A271" s="1" t="str">
        <f t="shared" si="4"/>
        <v>09 Anastrozole 0.16 µg_L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3531</v>
      </c>
      <c r="D271" s="1" t="s">
        <v>3532</v>
      </c>
      <c r="E271" s="1" t="s">
        <v>3533</v>
      </c>
      <c r="F271" s="1" t="s">
        <v>112</v>
      </c>
      <c r="G271" s="1">
        <v>613662</v>
      </c>
    </row>
    <row r="272" spans="1:10" x14ac:dyDescent="0.35">
      <c r="A272" s="1" t="str">
        <f t="shared" si="4"/>
        <v>09 Anastrozole 0.16 µg_L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3534</v>
      </c>
      <c r="D272" s="1" t="s">
        <v>3535</v>
      </c>
      <c r="E272" s="1" t="s">
        <v>3536</v>
      </c>
      <c r="F272" s="1" t="s">
        <v>112</v>
      </c>
      <c r="G272" s="1">
        <v>337210</v>
      </c>
    </row>
    <row r="273" spans="1:7" x14ac:dyDescent="0.35">
      <c r="A273" s="1" t="str">
        <f t="shared" si="4"/>
        <v>09 Anastrozole 0.16 µg_L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3537</v>
      </c>
      <c r="D273" s="1" t="s">
        <v>1717</v>
      </c>
      <c r="E273" s="1" t="s">
        <v>3538</v>
      </c>
      <c r="F273" s="1" t="s">
        <v>112</v>
      </c>
      <c r="G273" s="1">
        <v>173342</v>
      </c>
    </row>
    <row r="274" spans="1:7" x14ac:dyDescent="0.35">
      <c r="A274" s="1" t="str">
        <f t="shared" si="4"/>
        <v>09 Anastrozole 0.16 µg_L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3539</v>
      </c>
      <c r="D274" s="1" t="s">
        <v>3540</v>
      </c>
      <c r="E274" s="1" t="s">
        <v>3541</v>
      </c>
      <c r="F274" s="1" t="s">
        <v>112</v>
      </c>
      <c r="G274" s="1">
        <v>144985</v>
      </c>
    </row>
    <row r="275" spans="1:7" x14ac:dyDescent="0.35">
      <c r="A275" s="1" t="str">
        <f t="shared" si="4"/>
        <v>09 Anastrozole 0.16 µg_L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3542</v>
      </c>
      <c r="D275" s="1" t="s">
        <v>3543</v>
      </c>
      <c r="E275" s="1" t="s">
        <v>3544</v>
      </c>
      <c r="F275" s="1" t="s">
        <v>112</v>
      </c>
      <c r="G275" s="1">
        <v>162765</v>
      </c>
    </row>
    <row r="276" spans="1:7" x14ac:dyDescent="0.35">
      <c r="A276" s="1" t="str">
        <f t="shared" si="4"/>
        <v>09 Anastrozole 0.16 µg_L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3545</v>
      </c>
      <c r="D276" s="1" t="s">
        <v>3546</v>
      </c>
      <c r="E276" s="1" t="s">
        <v>3547</v>
      </c>
      <c r="F276" s="1" t="s">
        <v>112</v>
      </c>
      <c r="G276" s="1">
        <v>378848</v>
      </c>
    </row>
    <row r="277" spans="1:7" x14ac:dyDescent="0.35">
      <c r="A277" s="1" t="str">
        <f t="shared" si="4"/>
        <v>09 Anastrozole 0.16 µg_L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3548</v>
      </c>
      <c r="D277" s="1" t="s">
        <v>2159</v>
      </c>
      <c r="E277" s="1" t="s">
        <v>3549</v>
      </c>
      <c r="F277" s="1" t="s">
        <v>112</v>
      </c>
      <c r="G277" s="1">
        <v>173904</v>
      </c>
    </row>
    <row r="278" spans="1:7" x14ac:dyDescent="0.35">
      <c r="A278" s="1" t="str">
        <f t="shared" si="4"/>
        <v>09 Anastrozole 0.16 µg_L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3550</v>
      </c>
      <c r="D278" s="1" t="s">
        <v>2911</v>
      </c>
      <c r="E278" s="1" t="s">
        <v>3551</v>
      </c>
      <c r="F278" s="1" t="s">
        <v>112</v>
      </c>
      <c r="G278" s="1">
        <v>160364</v>
      </c>
    </row>
    <row r="279" spans="1:7" x14ac:dyDescent="0.35">
      <c r="A279" s="1" t="str">
        <f t="shared" si="4"/>
        <v>09 Anastrozole 0.16 µg_L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3552</v>
      </c>
      <c r="D279" s="1" t="s">
        <v>2179</v>
      </c>
      <c r="E279" s="1" t="s">
        <v>3553</v>
      </c>
      <c r="F279" s="1" t="s">
        <v>112</v>
      </c>
      <c r="G279" s="1">
        <v>16785</v>
      </c>
    </row>
    <row r="280" spans="1:7" x14ac:dyDescent="0.35">
      <c r="A280" s="1" t="str">
        <f t="shared" si="4"/>
        <v>09 Anastrozole 0.16 µg_L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3554</v>
      </c>
      <c r="D280" s="1" t="s">
        <v>1655</v>
      </c>
      <c r="E280" s="1" t="s">
        <v>3555</v>
      </c>
      <c r="F280" s="1" t="s">
        <v>112</v>
      </c>
      <c r="G280" s="1">
        <v>43498</v>
      </c>
    </row>
    <row r="281" spans="1:7" x14ac:dyDescent="0.35">
      <c r="A281" s="1" t="str">
        <f t="shared" si="4"/>
        <v>09 Anastrozole 0.16 µg_L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3556</v>
      </c>
      <c r="D281" s="1" t="s">
        <v>3070</v>
      </c>
      <c r="E281" s="1" t="s">
        <v>3557</v>
      </c>
      <c r="F281" s="1" t="s">
        <v>112</v>
      </c>
      <c r="G281" s="1">
        <v>201072</v>
      </c>
    </row>
    <row r="282" spans="1:7" x14ac:dyDescent="0.35">
      <c r="A282" s="1" t="str">
        <f t="shared" si="4"/>
        <v>09 Anastrozole 0.16 µg_L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3558</v>
      </c>
      <c r="D282" s="1" t="s">
        <v>1700</v>
      </c>
      <c r="E282" s="1" t="s">
        <v>3559</v>
      </c>
      <c r="F282" s="1" t="s">
        <v>112</v>
      </c>
      <c r="G282" s="1">
        <v>40534</v>
      </c>
    </row>
    <row r="283" spans="1:7" x14ac:dyDescent="0.35">
      <c r="A283" s="1" t="str">
        <f t="shared" si="4"/>
        <v>09 Anastrozole 0.16 µg_L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3560</v>
      </c>
      <c r="D283" s="1" t="s">
        <v>1734</v>
      </c>
      <c r="E283" s="1" t="s">
        <v>3561</v>
      </c>
      <c r="F283" s="1" t="s">
        <v>112</v>
      </c>
      <c r="G283" s="1">
        <v>14860</v>
      </c>
    </row>
    <row r="284" spans="1:7" x14ac:dyDescent="0.35">
      <c r="A284" s="1" t="str">
        <f t="shared" si="4"/>
        <v>09 Anastrozole 0.16 µg_L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3562</v>
      </c>
      <c r="D284" s="1" t="s">
        <v>1680</v>
      </c>
      <c r="E284" s="1" t="s">
        <v>2423</v>
      </c>
      <c r="F284" s="1" t="s">
        <v>112</v>
      </c>
      <c r="G284" s="1">
        <v>27946</v>
      </c>
    </row>
    <row r="285" spans="1:7" x14ac:dyDescent="0.35">
      <c r="A285" s="1" t="str">
        <f t="shared" si="4"/>
        <v>09 Anastrozole 0.16 µg_L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3563</v>
      </c>
      <c r="D285" s="1" t="s">
        <v>1643</v>
      </c>
      <c r="E285" s="1" t="s">
        <v>3564</v>
      </c>
      <c r="F285" s="1" t="s">
        <v>112</v>
      </c>
      <c r="G285" s="1">
        <v>71638</v>
      </c>
    </row>
    <row r="286" spans="1:7" x14ac:dyDescent="0.35">
      <c r="A286" s="1" t="str">
        <f t="shared" si="4"/>
        <v>09 Anastrozole 0.16 µg_L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3565</v>
      </c>
      <c r="D286" s="1" t="s">
        <v>2189</v>
      </c>
      <c r="E286" s="1" t="s">
        <v>3566</v>
      </c>
      <c r="F286" s="1" t="s">
        <v>112</v>
      </c>
      <c r="G286" s="1">
        <v>31515</v>
      </c>
    </row>
    <row r="287" spans="1:7" x14ac:dyDescent="0.35">
      <c r="A287" s="1" t="str">
        <f t="shared" si="4"/>
        <v>09 Anastrozole 0.16 µg_L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3567</v>
      </c>
      <c r="D287" s="1" t="s">
        <v>3568</v>
      </c>
      <c r="E287" s="1" t="s">
        <v>3569</v>
      </c>
      <c r="F287" s="1" t="s">
        <v>112</v>
      </c>
      <c r="G287" s="1">
        <v>172974</v>
      </c>
    </row>
    <row r="288" spans="1:7" x14ac:dyDescent="0.35">
      <c r="A288" s="1" t="str">
        <f t="shared" si="4"/>
        <v>09 Anastrozole 0.16 µg_L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3570</v>
      </c>
      <c r="D288" s="1" t="s">
        <v>2208</v>
      </c>
      <c r="E288" s="1" t="s">
        <v>3571</v>
      </c>
      <c r="F288" s="1" t="s">
        <v>112</v>
      </c>
      <c r="G288" s="1">
        <v>69454</v>
      </c>
    </row>
    <row r="289" spans="1:10" x14ac:dyDescent="0.35">
      <c r="A289" s="1" t="str">
        <f t="shared" si="4"/>
        <v>09 Anastrozole 0.16 µg_L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3572</v>
      </c>
      <c r="D289" s="1" t="s">
        <v>1706</v>
      </c>
      <c r="E289" s="1" t="s">
        <v>3573</v>
      </c>
      <c r="F289" s="1" t="s">
        <v>112</v>
      </c>
      <c r="G289" s="1">
        <v>17693</v>
      </c>
    </row>
    <row r="290" spans="1:10"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227</v>
      </c>
      <c r="D291" s="1" t="s">
        <v>112</v>
      </c>
      <c r="E291" s="1" t="s">
        <v>228</v>
      </c>
      <c r="F291" s="1" t="s">
        <v>229</v>
      </c>
      <c r="G291" s="1" t="s">
        <v>230</v>
      </c>
      <c r="H291" s="1" t="s">
        <v>231</v>
      </c>
      <c r="I291" s="1" t="s">
        <v>232</v>
      </c>
      <c r="J291" s="1" t="s">
        <v>233</v>
      </c>
    </row>
    <row r="292" spans="1:10" x14ac:dyDescent="0.35">
      <c r="A292" s="1" t="str">
        <f t="shared" si="4"/>
        <v>09 Anastrozole 0.16 µg_L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3574</v>
      </c>
      <c r="D292" s="1" t="s">
        <v>112</v>
      </c>
      <c r="E292" s="1" t="s">
        <v>3575</v>
      </c>
      <c r="F292" s="1" t="s">
        <v>3576</v>
      </c>
      <c r="G292" s="1" t="s">
        <v>3577</v>
      </c>
      <c r="H292" s="1" t="s">
        <v>3578</v>
      </c>
      <c r="I292" s="1">
        <v>24</v>
      </c>
      <c r="J292" s="1">
        <v>24</v>
      </c>
    </row>
    <row r="293" spans="1:10"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239</v>
      </c>
      <c r="D298" s="1" t="s">
        <v>110</v>
      </c>
      <c r="E298" s="1" t="s">
        <v>111</v>
      </c>
      <c r="F298" s="1" t="s">
        <v>112</v>
      </c>
      <c r="G298" s="1" t="s">
        <v>113</v>
      </c>
    </row>
    <row r="299" spans="1:10" x14ac:dyDescent="0.35">
      <c r="A299" s="1" t="str">
        <f t="shared" si="4"/>
        <v>10 Anastrozole 0.8 µg_L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3579</v>
      </c>
      <c r="D299" s="1" t="s">
        <v>3070</v>
      </c>
      <c r="E299" s="1" t="s">
        <v>3580</v>
      </c>
      <c r="F299" s="1" t="s">
        <v>112</v>
      </c>
      <c r="G299" s="1">
        <v>199514</v>
      </c>
    </row>
    <row r="300" spans="1:10" x14ac:dyDescent="0.35">
      <c r="A300" s="1" t="str">
        <f t="shared" si="4"/>
        <v>10 Anastrozole 0.8 µg_L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3581</v>
      </c>
      <c r="D300" s="1" t="s">
        <v>1703</v>
      </c>
      <c r="E300" s="1" t="s">
        <v>3582</v>
      </c>
      <c r="F300" s="1" t="s">
        <v>112</v>
      </c>
      <c r="G300" s="1">
        <v>33829</v>
      </c>
    </row>
    <row r="301" spans="1:10" x14ac:dyDescent="0.35">
      <c r="A301" s="1" t="str">
        <f t="shared" si="4"/>
        <v>10 Anastrozole 0.8 µg_L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3583</v>
      </c>
      <c r="D301" s="1" t="s">
        <v>1798</v>
      </c>
      <c r="E301" s="1" t="s">
        <v>3584</v>
      </c>
      <c r="F301" s="1" t="s">
        <v>112</v>
      </c>
      <c r="G301" s="1">
        <v>67939</v>
      </c>
    </row>
    <row r="302" spans="1:10" x14ac:dyDescent="0.35">
      <c r="A302" s="1" t="str">
        <f t="shared" si="4"/>
        <v>10 Anastrozole 0.8 µg_L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3585</v>
      </c>
      <c r="D302" s="1" t="s">
        <v>2854</v>
      </c>
      <c r="E302" s="1" t="s">
        <v>3586</v>
      </c>
      <c r="F302" s="1" t="s">
        <v>112</v>
      </c>
      <c r="G302" s="1">
        <v>376360</v>
      </c>
    </row>
    <row r="303" spans="1:10" x14ac:dyDescent="0.35">
      <c r="A303" s="1" t="str">
        <f t="shared" si="4"/>
        <v>10 Anastrozole 0.8 µg_L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3587</v>
      </c>
      <c r="D303" s="1" t="s">
        <v>3588</v>
      </c>
      <c r="E303" s="1" t="s">
        <v>3589</v>
      </c>
      <c r="F303" s="1" t="s">
        <v>112</v>
      </c>
      <c r="G303" s="1">
        <v>730853</v>
      </c>
    </row>
    <row r="304" spans="1:10" x14ac:dyDescent="0.35">
      <c r="A304" s="1" t="str">
        <f t="shared" si="4"/>
        <v>10 Anastrozole 0.8 µg_L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3590</v>
      </c>
      <c r="D304" s="1" t="s">
        <v>3591</v>
      </c>
      <c r="E304" s="1" t="s">
        <v>3592</v>
      </c>
      <c r="F304" s="1" t="s">
        <v>112</v>
      </c>
      <c r="G304" s="1">
        <v>873350</v>
      </c>
    </row>
    <row r="305" spans="1:7" x14ac:dyDescent="0.35">
      <c r="A305" s="1" t="str">
        <f t="shared" si="4"/>
        <v>10 Anastrozole 0.8 µg_L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3593</v>
      </c>
      <c r="D305" s="1" t="s">
        <v>2898</v>
      </c>
      <c r="E305" s="1">
        <v>64</v>
      </c>
      <c r="F305" s="1" t="s">
        <v>112</v>
      </c>
      <c r="G305" s="1">
        <v>215953</v>
      </c>
    </row>
    <row r="306" spans="1:7" x14ac:dyDescent="0.35">
      <c r="A306" s="1" t="str">
        <f t="shared" si="4"/>
        <v>10 Anastrozole 0.8 µg_L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3594</v>
      </c>
      <c r="D306" s="1" t="s">
        <v>1658</v>
      </c>
      <c r="E306" s="1" t="s">
        <v>3553</v>
      </c>
      <c r="F306" s="1" t="s">
        <v>112</v>
      </c>
      <c r="G306" s="1">
        <v>50354</v>
      </c>
    </row>
    <row r="307" spans="1:7" x14ac:dyDescent="0.35">
      <c r="A307" s="1" t="str">
        <f t="shared" si="4"/>
        <v>10 Anastrozole 0.8 µg_L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3595</v>
      </c>
      <c r="D307" s="1" t="s">
        <v>3596</v>
      </c>
      <c r="E307" s="1" t="s">
        <v>3597</v>
      </c>
      <c r="F307" s="1" t="s">
        <v>112</v>
      </c>
      <c r="G307" s="1">
        <v>240741</v>
      </c>
    </row>
    <row r="308" spans="1:7" x14ac:dyDescent="0.35">
      <c r="A308" s="1" t="str">
        <f t="shared" si="4"/>
        <v>10 Anastrozole 0.8 µg_L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3598</v>
      </c>
      <c r="D308" s="1" t="s">
        <v>3599</v>
      </c>
      <c r="E308" s="1" t="s">
        <v>3600</v>
      </c>
      <c r="F308" s="1" t="s">
        <v>112</v>
      </c>
      <c r="G308" s="1">
        <v>525369</v>
      </c>
    </row>
    <row r="309" spans="1:7" x14ac:dyDescent="0.35">
      <c r="A309" s="1" t="str">
        <f t="shared" si="4"/>
        <v>10 Anastrozole 0.8 µg_L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3601</v>
      </c>
      <c r="D309" s="1" t="s">
        <v>3602</v>
      </c>
      <c r="E309" s="1" t="s">
        <v>3603</v>
      </c>
      <c r="F309" s="1" t="s">
        <v>112</v>
      </c>
      <c r="G309" s="1">
        <v>378891</v>
      </c>
    </row>
    <row r="310" spans="1:7" x14ac:dyDescent="0.35">
      <c r="A310" s="1" t="str">
        <f t="shared" si="4"/>
        <v>10 Anastrozole 0.8 µg_L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3604</v>
      </c>
      <c r="D310" s="1" t="s">
        <v>2417</v>
      </c>
      <c r="E310" s="1" t="s">
        <v>3605</v>
      </c>
      <c r="F310" s="1" t="s">
        <v>112</v>
      </c>
      <c r="G310" s="1">
        <v>496968</v>
      </c>
    </row>
    <row r="311" spans="1:7" x14ac:dyDescent="0.35">
      <c r="A311" s="1" t="str">
        <f t="shared" si="4"/>
        <v>10 Anastrozole 0.8 µg_L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3606</v>
      </c>
      <c r="D311" s="1" t="s">
        <v>1870</v>
      </c>
      <c r="E311" s="1" t="s">
        <v>3607</v>
      </c>
      <c r="F311" s="1" t="s">
        <v>112</v>
      </c>
      <c r="G311" s="1">
        <v>211497</v>
      </c>
    </row>
    <row r="312" spans="1:7" x14ac:dyDescent="0.35">
      <c r="A312" s="1" t="str">
        <f t="shared" si="4"/>
        <v>10 Anastrozole 0.8 µg_L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3608</v>
      </c>
      <c r="D312" s="1" t="s">
        <v>3609</v>
      </c>
      <c r="E312" s="1" t="s">
        <v>1668</v>
      </c>
      <c r="F312" s="1" t="s">
        <v>112</v>
      </c>
      <c r="G312" s="1">
        <v>244050</v>
      </c>
    </row>
    <row r="313" spans="1:7" x14ac:dyDescent="0.35">
      <c r="A313" s="1" t="str">
        <f t="shared" si="4"/>
        <v>10 Anastrozole 0.8 µg_L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3610</v>
      </c>
      <c r="D313" s="1" t="s">
        <v>2147</v>
      </c>
      <c r="E313" s="1">
        <v>63</v>
      </c>
      <c r="F313" s="1" t="s">
        <v>112</v>
      </c>
      <c r="G313" s="1">
        <v>13627</v>
      </c>
    </row>
    <row r="314" spans="1:7" x14ac:dyDescent="0.35">
      <c r="A314" s="1" t="str">
        <f t="shared" si="4"/>
        <v>10 Anastrozole 0.8 µg_L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3611</v>
      </c>
      <c r="D314" s="1" t="s">
        <v>2114</v>
      </c>
      <c r="E314" s="1" t="s">
        <v>271</v>
      </c>
      <c r="F314" s="1" t="s">
        <v>112</v>
      </c>
      <c r="G314" s="1">
        <v>8241</v>
      </c>
    </row>
    <row r="315" spans="1:7" x14ac:dyDescent="0.35">
      <c r="A315" s="1" t="str">
        <f t="shared" si="4"/>
        <v>10 Anastrozole 0.8 µg_L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3612</v>
      </c>
      <c r="D315" s="1" t="s">
        <v>2349</v>
      </c>
      <c r="E315" s="1" t="s">
        <v>1187</v>
      </c>
      <c r="F315" s="1" t="s">
        <v>112</v>
      </c>
      <c r="G315" s="1">
        <v>11031</v>
      </c>
    </row>
    <row r="316" spans="1:7" x14ac:dyDescent="0.35">
      <c r="A316" s="1" t="str">
        <f t="shared" si="4"/>
        <v>10 Anastrozole 0.8 µg_L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3613</v>
      </c>
      <c r="D316" s="1" t="s">
        <v>1706</v>
      </c>
      <c r="E316" s="1" t="s">
        <v>3614</v>
      </c>
      <c r="F316" s="1" t="s">
        <v>112</v>
      </c>
      <c r="G316" s="1">
        <v>18818</v>
      </c>
    </row>
    <row r="317" spans="1:7" x14ac:dyDescent="0.35">
      <c r="A317" s="1" t="str">
        <f t="shared" si="4"/>
        <v>10 Anastrozole 0.8 µg_L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3615</v>
      </c>
      <c r="D317" s="1" t="s">
        <v>2343</v>
      </c>
      <c r="E317" s="1" t="s">
        <v>3616</v>
      </c>
      <c r="F317" s="1" t="s">
        <v>112</v>
      </c>
      <c r="G317" s="1">
        <v>130709</v>
      </c>
    </row>
    <row r="318" spans="1:7" x14ac:dyDescent="0.35">
      <c r="A318" s="1" t="str">
        <f t="shared" si="4"/>
        <v>10 Anastrozole 0.8 µg_L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3617</v>
      </c>
      <c r="D318" s="1" t="s">
        <v>3031</v>
      </c>
      <c r="E318" s="1" t="s">
        <v>3618</v>
      </c>
      <c r="F318" s="1" t="s">
        <v>112</v>
      </c>
      <c r="G318" s="1">
        <v>99541</v>
      </c>
    </row>
    <row r="319" spans="1:7" x14ac:dyDescent="0.35">
      <c r="A319" s="1" t="str">
        <f t="shared" si="4"/>
        <v>10 Anastrozole 0.8 µg_L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3619</v>
      </c>
      <c r="D319" s="1" t="s">
        <v>2259</v>
      </c>
      <c r="E319" s="1" t="s">
        <v>3620</v>
      </c>
      <c r="F319" s="1" t="s">
        <v>112</v>
      </c>
      <c r="G319" s="1">
        <v>289040</v>
      </c>
    </row>
    <row r="320" spans="1:7" x14ac:dyDescent="0.35">
      <c r="A320" s="1" t="str">
        <f t="shared" si="4"/>
        <v>10 Anastrozole 0.8 µg_L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3621</v>
      </c>
      <c r="D320" s="1" t="s">
        <v>3056</v>
      </c>
      <c r="E320" s="1" t="s">
        <v>3622</v>
      </c>
      <c r="F320" s="1" t="s">
        <v>112</v>
      </c>
      <c r="G320" s="1">
        <v>141568</v>
      </c>
    </row>
    <row r="321" spans="1:10" x14ac:dyDescent="0.35">
      <c r="A321" s="1" t="str">
        <f t="shared" si="4"/>
        <v>10 Anastrozole 0.8 µg_L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3623</v>
      </c>
      <c r="D321" s="1" t="s">
        <v>3224</v>
      </c>
      <c r="E321" s="1" t="s">
        <v>3624</v>
      </c>
      <c r="F321" s="1" t="s">
        <v>112</v>
      </c>
      <c r="G321" s="1">
        <v>86368</v>
      </c>
    </row>
    <row r="322" spans="1:10" x14ac:dyDescent="0.35">
      <c r="A322" s="1" t="str">
        <f t="shared" ref="A322:A385" si="5">IFERROR(LEFT(RIGHT(C322,LEN(C322)-SEARCH("@",C322)),SEARCH("/",RIGHT(C322,LEN(C322)-SEARCH("@",C322)-1))),"")</f>
        <v>10 Anastrozole 0.8 µg_L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3625</v>
      </c>
      <c r="D322" s="1" t="s">
        <v>1766</v>
      </c>
      <c r="E322" s="1">
        <v>64</v>
      </c>
      <c r="F322" s="1" t="s">
        <v>112</v>
      </c>
      <c r="G322" s="1">
        <v>56757</v>
      </c>
    </row>
    <row r="323" spans="1:10"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227</v>
      </c>
      <c r="D324" s="1" t="s">
        <v>112</v>
      </c>
      <c r="E324" s="1" t="s">
        <v>228</v>
      </c>
      <c r="F324" s="1" t="s">
        <v>229</v>
      </c>
      <c r="G324" s="1" t="s">
        <v>230</v>
      </c>
      <c r="H324" s="1" t="s">
        <v>231</v>
      </c>
      <c r="I324" s="1" t="s">
        <v>232</v>
      </c>
      <c r="J324" s="1" t="s">
        <v>233</v>
      </c>
    </row>
    <row r="325" spans="1:10" x14ac:dyDescent="0.35">
      <c r="A325" s="1" t="str">
        <f t="shared" si="5"/>
        <v>10 Anastrozole 0.8 µg_L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3626</v>
      </c>
      <c r="D325" s="1" t="s">
        <v>112</v>
      </c>
      <c r="E325" s="1" t="s">
        <v>3627</v>
      </c>
      <c r="F325" s="1" t="s">
        <v>3628</v>
      </c>
      <c r="G325" s="1" t="s">
        <v>3629</v>
      </c>
      <c r="H325" s="1" t="s">
        <v>3630</v>
      </c>
      <c r="I325" s="1">
        <v>24</v>
      </c>
      <c r="J325" s="1">
        <v>24</v>
      </c>
    </row>
    <row r="326" spans="1:10"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239</v>
      </c>
      <c r="D331" s="1" t="s">
        <v>110</v>
      </c>
      <c r="E331" s="1" t="s">
        <v>111</v>
      </c>
      <c r="F331" s="1" t="s">
        <v>112</v>
      </c>
      <c r="G331" s="1" t="s">
        <v>113</v>
      </c>
    </row>
    <row r="332" spans="1:10" x14ac:dyDescent="0.35">
      <c r="A332" s="1" t="str">
        <f t="shared" si="5"/>
        <v>11 Anastrozole 4µg_L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3631</v>
      </c>
      <c r="D332" s="1" t="s">
        <v>3152</v>
      </c>
      <c r="E332" s="1" t="s">
        <v>3632</v>
      </c>
      <c r="F332" s="1" t="s">
        <v>112</v>
      </c>
      <c r="G332" s="1">
        <v>402835</v>
      </c>
    </row>
    <row r="333" spans="1:10" x14ac:dyDescent="0.35">
      <c r="A333" s="1" t="str">
        <f t="shared" si="5"/>
        <v>11 Anastrozole 4µg_L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3633</v>
      </c>
      <c r="D333" s="1" t="s">
        <v>1655</v>
      </c>
      <c r="E333" s="1" t="s">
        <v>3634</v>
      </c>
      <c r="F333" s="1" t="s">
        <v>112</v>
      </c>
      <c r="G333" s="1">
        <v>42308</v>
      </c>
    </row>
    <row r="334" spans="1:10" x14ac:dyDescent="0.35">
      <c r="A334" s="1" t="str">
        <f t="shared" si="5"/>
        <v>11 Anastrozole 4µg_L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3635</v>
      </c>
      <c r="D334" s="1" t="s">
        <v>3568</v>
      </c>
      <c r="E334" s="1" t="s">
        <v>3636</v>
      </c>
      <c r="F334" s="1" t="s">
        <v>112</v>
      </c>
      <c r="G334" s="1">
        <v>167935</v>
      </c>
    </row>
    <row r="335" spans="1:10" x14ac:dyDescent="0.35">
      <c r="A335" s="1" t="str">
        <f t="shared" si="5"/>
        <v>11 Anastrozole 4µg_L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3637</v>
      </c>
      <c r="D335" s="1" t="s">
        <v>3638</v>
      </c>
      <c r="E335" s="1" t="s">
        <v>3639</v>
      </c>
      <c r="F335" s="1" t="s">
        <v>112</v>
      </c>
      <c r="G335" s="1">
        <v>169103</v>
      </c>
    </row>
    <row r="336" spans="1:10" x14ac:dyDescent="0.35">
      <c r="A336" s="1" t="str">
        <f t="shared" si="5"/>
        <v>11 Anastrozole 4µg_L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3640</v>
      </c>
      <c r="D336" s="1" t="s">
        <v>2123</v>
      </c>
      <c r="E336" s="1" t="s">
        <v>3641</v>
      </c>
      <c r="F336" s="1" t="s">
        <v>112</v>
      </c>
      <c r="G336" s="1">
        <v>55481</v>
      </c>
    </row>
    <row r="337" spans="1:7" x14ac:dyDescent="0.35">
      <c r="A337" s="1" t="str">
        <f t="shared" si="5"/>
        <v>11 Anastrozole 4µg_L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3642</v>
      </c>
      <c r="D337" s="1" t="s">
        <v>3224</v>
      </c>
      <c r="E337" s="1" t="s">
        <v>3643</v>
      </c>
      <c r="F337" s="1" t="s">
        <v>112</v>
      </c>
      <c r="G337" s="1">
        <v>87947</v>
      </c>
    </row>
    <row r="338" spans="1:7" x14ac:dyDescent="0.35">
      <c r="A338" s="1" t="str">
        <f t="shared" si="5"/>
        <v>11 Anastrozole 4µg_L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3644</v>
      </c>
      <c r="D338" s="1" t="s">
        <v>2116</v>
      </c>
      <c r="E338" s="1">
        <v>66</v>
      </c>
      <c r="F338" s="1" t="s">
        <v>112</v>
      </c>
      <c r="G338" s="1">
        <v>22841</v>
      </c>
    </row>
    <row r="339" spans="1:7" x14ac:dyDescent="0.35">
      <c r="A339" s="1" t="str">
        <f t="shared" si="5"/>
        <v>11 Anastrozole 4µg_L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3645</v>
      </c>
      <c r="D339" s="1" t="s">
        <v>1625</v>
      </c>
      <c r="E339" s="1" t="s">
        <v>3646</v>
      </c>
      <c r="F339" s="1" t="s">
        <v>112</v>
      </c>
      <c r="G339" s="1">
        <v>90954</v>
      </c>
    </row>
    <row r="340" spans="1:7" x14ac:dyDescent="0.35">
      <c r="A340" s="1" t="str">
        <f t="shared" si="5"/>
        <v>11 Anastrozole 4µg_L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3647</v>
      </c>
      <c r="D340" s="1" t="s">
        <v>2689</v>
      </c>
      <c r="E340" s="1" t="s">
        <v>761</v>
      </c>
      <c r="F340" s="1" t="s">
        <v>112</v>
      </c>
      <c r="G340" s="1">
        <v>12610</v>
      </c>
    </row>
    <row r="341" spans="1:7" x14ac:dyDescent="0.35">
      <c r="A341" s="1" t="str">
        <f t="shared" si="5"/>
        <v>11 Anastrozole 4µg_L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3648</v>
      </c>
      <c r="D341" s="1" t="s">
        <v>1658</v>
      </c>
      <c r="E341" s="1" t="s">
        <v>3649</v>
      </c>
      <c r="F341" s="1" t="s">
        <v>112</v>
      </c>
      <c r="G341" s="1">
        <v>52323</v>
      </c>
    </row>
    <row r="342" spans="1:7" x14ac:dyDescent="0.35">
      <c r="A342" s="1" t="str">
        <f t="shared" si="5"/>
        <v>11 Anastrozole 4µg_L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3650</v>
      </c>
      <c r="D342" s="1" t="s">
        <v>1783</v>
      </c>
      <c r="E342" s="1">
        <v>62</v>
      </c>
      <c r="F342" s="1" t="s">
        <v>112</v>
      </c>
      <c r="G342" s="1">
        <v>28162</v>
      </c>
    </row>
    <row r="343" spans="1:7" x14ac:dyDescent="0.35">
      <c r="A343" s="1" t="str">
        <f t="shared" si="5"/>
        <v>11 Anastrozole 4µg_L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3651</v>
      </c>
      <c r="D343" s="1" t="s">
        <v>2189</v>
      </c>
      <c r="E343" s="1" t="s">
        <v>3495</v>
      </c>
      <c r="F343" s="1" t="s">
        <v>112</v>
      </c>
      <c r="G343" s="1">
        <v>31277</v>
      </c>
    </row>
    <row r="344" spans="1:7" x14ac:dyDescent="0.35">
      <c r="A344" s="1" t="str">
        <f t="shared" si="5"/>
        <v>11 Anastrozole 4µg_L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3652</v>
      </c>
    </row>
    <row r="345" spans="1:7" x14ac:dyDescent="0.35">
      <c r="A345" s="1" t="str">
        <f t="shared" si="5"/>
        <v>11 Anastrozole 4µg_L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3653</v>
      </c>
      <c r="D345" s="1" t="s">
        <v>2200</v>
      </c>
      <c r="E345" s="1" t="s">
        <v>3654</v>
      </c>
      <c r="F345" s="1" t="s">
        <v>112</v>
      </c>
      <c r="G345" s="1">
        <v>416462</v>
      </c>
    </row>
    <row r="346" spans="1:7" x14ac:dyDescent="0.35">
      <c r="A346" s="1" t="str">
        <f t="shared" si="5"/>
        <v>11 Anastrozole 4µg_L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3655</v>
      </c>
      <c r="D346" s="1" t="s">
        <v>3656</v>
      </c>
      <c r="E346" s="1" t="s">
        <v>3657</v>
      </c>
      <c r="F346" s="1" t="s">
        <v>112</v>
      </c>
      <c r="G346" s="1">
        <v>409389</v>
      </c>
    </row>
    <row r="347" spans="1:7" x14ac:dyDescent="0.35">
      <c r="A347" s="1" t="str">
        <f t="shared" si="5"/>
        <v>11 Anastrozole 4µg_L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3658</v>
      </c>
      <c r="D347" s="1" t="s">
        <v>1646</v>
      </c>
      <c r="E347" s="1" t="s">
        <v>3659</v>
      </c>
      <c r="F347" s="1" t="s">
        <v>112</v>
      </c>
      <c r="G347" s="1">
        <v>26670</v>
      </c>
    </row>
    <row r="348" spans="1:7" x14ac:dyDescent="0.35">
      <c r="A348" s="1" t="str">
        <f t="shared" si="5"/>
        <v>11 Anastrozole 4µg_L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3660</v>
      </c>
      <c r="D348" s="1" t="s">
        <v>2114</v>
      </c>
      <c r="E348" s="1" t="s">
        <v>2303</v>
      </c>
      <c r="F348" s="1" t="s">
        <v>112</v>
      </c>
      <c r="G348" s="1">
        <v>8068</v>
      </c>
    </row>
    <row r="349" spans="1:7" x14ac:dyDescent="0.35">
      <c r="A349" s="1" t="str">
        <f t="shared" si="5"/>
        <v>11 Anastrozole 4µg_L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3661</v>
      </c>
      <c r="D349" s="1" t="s">
        <v>2689</v>
      </c>
      <c r="E349" s="1" t="s">
        <v>2841</v>
      </c>
      <c r="F349" s="1" t="s">
        <v>112</v>
      </c>
      <c r="G349" s="1">
        <v>12307</v>
      </c>
    </row>
    <row r="350" spans="1:7" x14ac:dyDescent="0.35">
      <c r="A350" s="1" t="str">
        <f t="shared" si="5"/>
        <v>11 Anastrozole 4µg_L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3662</v>
      </c>
      <c r="D350" s="1" t="s">
        <v>1720</v>
      </c>
      <c r="E350" s="1" t="s">
        <v>3663</v>
      </c>
      <c r="F350" s="1" t="s">
        <v>112</v>
      </c>
      <c r="G350" s="1">
        <v>41443</v>
      </c>
    </row>
    <row r="351" spans="1:7" x14ac:dyDescent="0.35">
      <c r="A351" s="1" t="str">
        <f t="shared" si="5"/>
        <v>11 Anastrozole 4µg_L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3664</v>
      </c>
      <c r="D351" s="1" t="s">
        <v>2107</v>
      </c>
      <c r="E351" s="1" t="s">
        <v>3665</v>
      </c>
      <c r="F351" s="1" t="s">
        <v>112</v>
      </c>
      <c r="G351" s="1">
        <v>24399</v>
      </c>
    </row>
    <row r="352" spans="1:7" x14ac:dyDescent="0.35">
      <c r="A352" s="1" t="str">
        <f t="shared" si="5"/>
        <v>11 Anastrozole 4µg_L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3666</v>
      </c>
      <c r="D352" s="1" t="s">
        <v>1700</v>
      </c>
      <c r="E352" s="1" t="s">
        <v>3667</v>
      </c>
      <c r="F352" s="1" t="s">
        <v>112</v>
      </c>
      <c r="G352" s="1">
        <v>39691</v>
      </c>
    </row>
    <row r="353" spans="1:10" x14ac:dyDescent="0.35">
      <c r="A353" s="1" t="str">
        <f t="shared" si="5"/>
        <v>11 Anastrozole 4µg_L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3668</v>
      </c>
    </row>
    <row r="354" spans="1:10" x14ac:dyDescent="0.35">
      <c r="A354" s="1" t="str">
        <f t="shared" si="5"/>
        <v>11 Anastrozole 4µg_L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3669</v>
      </c>
      <c r="D354" s="1" t="s">
        <v>2349</v>
      </c>
      <c r="E354" s="1" t="s">
        <v>1187</v>
      </c>
      <c r="F354" s="1" t="s">
        <v>112</v>
      </c>
      <c r="G354" s="1">
        <v>11031</v>
      </c>
    </row>
    <row r="355" spans="1:10" x14ac:dyDescent="0.35">
      <c r="A355" s="1" t="str">
        <f t="shared" si="5"/>
        <v>11 Anastrozole 4µg_L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3670</v>
      </c>
      <c r="D355" s="1" t="s">
        <v>3671</v>
      </c>
      <c r="E355" s="1" t="s">
        <v>3672</v>
      </c>
      <c r="F355" s="1" t="s">
        <v>112</v>
      </c>
      <c r="G355" s="1">
        <v>249068</v>
      </c>
    </row>
    <row r="356" spans="1:10"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227</v>
      </c>
      <c r="D357" s="1" t="s">
        <v>112</v>
      </c>
      <c r="E357" s="1" t="s">
        <v>228</v>
      </c>
      <c r="F357" s="1" t="s">
        <v>229</v>
      </c>
      <c r="G357" s="1" t="s">
        <v>230</v>
      </c>
      <c r="H357" s="1" t="s">
        <v>231</v>
      </c>
      <c r="I357" s="1" t="s">
        <v>232</v>
      </c>
      <c r="J357" s="1" t="s">
        <v>233</v>
      </c>
    </row>
    <row r="358" spans="1:10" x14ac:dyDescent="0.35">
      <c r="A358" s="1" t="str">
        <f t="shared" si="5"/>
        <v>11 Anastrozole 4µg_L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3673</v>
      </c>
      <c r="D358" s="1" t="s">
        <v>112</v>
      </c>
      <c r="E358" s="1" t="s">
        <v>3674</v>
      </c>
      <c r="F358" s="1" t="s">
        <v>3675</v>
      </c>
      <c r="G358" s="1">
        <v>198932</v>
      </c>
      <c r="H358" s="1" t="s">
        <v>3676</v>
      </c>
      <c r="I358" s="1">
        <v>24</v>
      </c>
      <c r="J358" s="1">
        <v>24</v>
      </c>
    </row>
    <row r="359" spans="1:10"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239</v>
      </c>
      <c r="D364" s="1" t="s">
        <v>110</v>
      </c>
      <c r="E364" s="1" t="s">
        <v>111</v>
      </c>
      <c r="F364" s="1" t="s">
        <v>112</v>
      </c>
      <c r="G364" s="1" t="s">
        <v>113</v>
      </c>
    </row>
    <row r="365" spans="1:10" x14ac:dyDescent="0.35">
      <c r="A365" s="1" t="str">
        <f t="shared" si="5"/>
        <v>12 Anastrozole 20 µg_L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3677</v>
      </c>
    </row>
    <row r="366" spans="1:10" x14ac:dyDescent="0.35">
      <c r="A366" s="1" t="str">
        <f t="shared" si="5"/>
        <v>12 Anastrozole 20 µg_L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3678</v>
      </c>
      <c r="D366" s="1" t="s">
        <v>1613</v>
      </c>
      <c r="E366" s="1" t="s">
        <v>3679</v>
      </c>
      <c r="F366" s="1" t="s">
        <v>112</v>
      </c>
      <c r="G366" s="1">
        <v>76440</v>
      </c>
    </row>
    <row r="367" spans="1:10" x14ac:dyDescent="0.35">
      <c r="A367" s="1" t="str">
        <f t="shared" si="5"/>
        <v>12 Anastrozole 20 µg_L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3680</v>
      </c>
    </row>
    <row r="368" spans="1:10" x14ac:dyDescent="0.35">
      <c r="A368" s="1" t="str">
        <f t="shared" si="5"/>
        <v>12 Anastrozole 20 µg_L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3681</v>
      </c>
      <c r="D368" s="1" t="s">
        <v>3682</v>
      </c>
      <c r="E368" s="1" t="s">
        <v>3683</v>
      </c>
      <c r="F368" s="1" t="s">
        <v>112</v>
      </c>
      <c r="G368" s="1">
        <v>1564490</v>
      </c>
    </row>
    <row r="369" spans="1:7" x14ac:dyDescent="0.35">
      <c r="A369" s="1" t="str">
        <f t="shared" si="5"/>
        <v>12 Anastrozole 20 µg_L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3684</v>
      </c>
    </row>
    <row r="370" spans="1:7" x14ac:dyDescent="0.35">
      <c r="A370" s="1" t="str">
        <f t="shared" si="5"/>
        <v>12 Anastrozole 20 µg_L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3685</v>
      </c>
      <c r="D370" s="1" t="s">
        <v>2753</v>
      </c>
      <c r="E370" s="1" t="s">
        <v>3686</v>
      </c>
      <c r="F370" s="1" t="s">
        <v>112</v>
      </c>
      <c r="G370" s="1">
        <v>585932</v>
      </c>
    </row>
    <row r="371" spans="1:7" x14ac:dyDescent="0.35">
      <c r="A371" s="1" t="str">
        <f t="shared" si="5"/>
        <v>12 Anastrozole 20 µg_L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3687</v>
      </c>
      <c r="D371" s="1" t="s">
        <v>2170</v>
      </c>
      <c r="E371" s="1" t="s">
        <v>3688</v>
      </c>
      <c r="F371" s="1" t="s">
        <v>112</v>
      </c>
      <c r="G371" s="1">
        <v>91646</v>
      </c>
    </row>
    <row r="372" spans="1:7" x14ac:dyDescent="0.35">
      <c r="A372" s="1" t="str">
        <f t="shared" si="5"/>
        <v>12 Anastrozole 20 µg_L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3689</v>
      </c>
      <c r="D372" s="1" t="s">
        <v>1728</v>
      </c>
      <c r="E372" s="1" t="s">
        <v>3690</v>
      </c>
      <c r="F372" s="1" t="s">
        <v>112</v>
      </c>
      <c r="G372" s="1">
        <v>55848</v>
      </c>
    </row>
    <row r="373" spans="1:7" x14ac:dyDescent="0.35">
      <c r="A373" s="1" t="str">
        <f t="shared" si="5"/>
        <v>12 Anastrozole 20 µg_L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3691</v>
      </c>
      <c r="D373" s="1" t="s">
        <v>2911</v>
      </c>
      <c r="E373" s="1" t="s">
        <v>3692</v>
      </c>
      <c r="F373" s="1" t="s">
        <v>112</v>
      </c>
      <c r="G373" s="1">
        <v>164322</v>
      </c>
    </row>
    <row r="374" spans="1:7" x14ac:dyDescent="0.35">
      <c r="A374" s="1" t="str">
        <f t="shared" si="5"/>
        <v>12 Anastrozole 20 µg_L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3693</v>
      </c>
      <c r="D374" s="1" t="s">
        <v>2277</v>
      </c>
      <c r="E374" s="1" t="s">
        <v>3694</v>
      </c>
      <c r="F374" s="1" t="s">
        <v>112</v>
      </c>
      <c r="G374" s="1">
        <v>434458</v>
      </c>
    </row>
    <row r="375" spans="1:7" x14ac:dyDescent="0.35">
      <c r="A375" s="1" t="str">
        <f t="shared" si="5"/>
        <v>12 Anastrozole 20 µg_L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3695</v>
      </c>
      <c r="D375" s="1" t="s">
        <v>3031</v>
      </c>
      <c r="E375" s="1" t="s">
        <v>3696</v>
      </c>
      <c r="F375" s="1" t="s">
        <v>112</v>
      </c>
      <c r="G375" s="1">
        <v>96988</v>
      </c>
    </row>
    <row r="376" spans="1:7" x14ac:dyDescent="0.35">
      <c r="A376" s="1" t="str">
        <f t="shared" si="5"/>
        <v>12 Anastrozole 20 µg_L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3697</v>
      </c>
      <c r="D376" s="1" t="s">
        <v>2104</v>
      </c>
      <c r="E376" s="1" t="s">
        <v>3698</v>
      </c>
      <c r="F376" s="1" t="s">
        <v>112</v>
      </c>
      <c r="G376" s="1">
        <v>120846</v>
      </c>
    </row>
    <row r="377" spans="1:7" x14ac:dyDescent="0.35">
      <c r="A377" s="1" t="str">
        <f t="shared" si="5"/>
        <v>12 Anastrozole 20 µg_L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3699</v>
      </c>
      <c r="D377" s="1" t="s">
        <v>2179</v>
      </c>
      <c r="E377" s="1" t="s">
        <v>271</v>
      </c>
      <c r="F377" s="1" t="s">
        <v>112</v>
      </c>
      <c r="G377" s="1">
        <v>16482</v>
      </c>
    </row>
    <row r="378" spans="1:7" x14ac:dyDescent="0.35">
      <c r="A378" s="1" t="str">
        <f t="shared" si="5"/>
        <v>12 Anastrozole 20 µg_L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3700</v>
      </c>
      <c r="D378" s="1" t="s">
        <v>2179</v>
      </c>
      <c r="E378" s="1" t="s">
        <v>3701</v>
      </c>
      <c r="F378" s="1" t="s">
        <v>112</v>
      </c>
      <c r="G378" s="1">
        <v>16958</v>
      </c>
    </row>
    <row r="379" spans="1:7" x14ac:dyDescent="0.35">
      <c r="A379" s="1" t="str">
        <f t="shared" si="5"/>
        <v>12 Anastrozole 20 µg_L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3702</v>
      </c>
      <c r="D379" s="1" t="s">
        <v>1607</v>
      </c>
      <c r="E379" s="1" t="s">
        <v>3703</v>
      </c>
      <c r="F379" s="1" t="s">
        <v>112</v>
      </c>
      <c r="G379" s="1">
        <v>7159</v>
      </c>
    </row>
    <row r="380" spans="1:7" x14ac:dyDescent="0.35">
      <c r="A380" s="1" t="str">
        <f t="shared" si="5"/>
        <v>12 Anastrozole 20 µg_L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3704</v>
      </c>
    </row>
    <row r="381" spans="1:7" x14ac:dyDescent="0.35">
      <c r="A381" s="1" t="str">
        <f t="shared" si="5"/>
        <v>12 Anastrozole 20 µg_L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3705</v>
      </c>
      <c r="D381" s="1" t="s">
        <v>3706</v>
      </c>
      <c r="E381" s="1" t="s">
        <v>3707</v>
      </c>
      <c r="F381" s="1" t="s">
        <v>112</v>
      </c>
      <c r="G381" s="1">
        <v>311514</v>
      </c>
    </row>
    <row r="382" spans="1:7" x14ac:dyDescent="0.35">
      <c r="A382" s="1" t="str">
        <f t="shared" si="5"/>
        <v>12 Anastrozole 20 µg_L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3708</v>
      </c>
      <c r="D382" s="1" t="s">
        <v>2399</v>
      </c>
      <c r="E382" s="1" t="s">
        <v>3709</v>
      </c>
      <c r="F382" s="1" t="s">
        <v>112</v>
      </c>
      <c r="G382" s="1">
        <v>302992</v>
      </c>
    </row>
    <row r="383" spans="1:7" x14ac:dyDescent="0.35">
      <c r="A383" s="1" t="str">
        <f t="shared" si="5"/>
        <v>12 Anastrozole 20 µg_L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3710</v>
      </c>
      <c r="D383" s="1" t="s">
        <v>3711</v>
      </c>
      <c r="E383" s="1" t="s">
        <v>3712</v>
      </c>
      <c r="F383" s="1" t="s">
        <v>112</v>
      </c>
      <c r="G383" s="1">
        <v>508908</v>
      </c>
    </row>
    <row r="384" spans="1:7" x14ac:dyDescent="0.35">
      <c r="A384" s="1" t="str">
        <f t="shared" si="5"/>
        <v>12 Anastrozole 20 µg_L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3713</v>
      </c>
      <c r="D384" s="1" t="s">
        <v>3714</v>
      </c>
      <c r="E384" s="1" t="s">
        <v>3715</v>
      </c>
      <c r="F384" s="1" t="s">
        <v>112</v>
      </c>
      <c r="G384" s="1">
        <v>544100</v>
      </c>
    </row>
    <row r="385" spans="1:10" x14ac:dyDescent="0.35">
      <c r="A385" s="1" t="str">
        <f t="shared" si="5"/>
        <v>12 Anastrozole 20 µg_L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3716</v>
      </c>
      <c r="D385" s="1" t="s">
        <v>3717</v>
      </c>
      <c r="E385" s="1" t="s">
        <v>3718</v>
      </c>
      <c r="F385" s="1" t="s">
        <v>112</v>
      </c>
      <c r="G385" s="1">
        <v>405041</v>
      </c>
    </row>
    <row r="386" spans="1:10" x14ac:dyDescent="0.35">
      <c r="A386" s="1" t="str">
        <f t="shared" ref="A386:A449" si="6">IFERROR(LEFT(RIGHT(C386,LEN(C386)-SEARCH("@",C386)),SEARCH("/",RIGHT(C386,LEN(C386)-SEARCH("@",C386)-1))),"")</f>
        <v>12 Anastrozole 20 µg_L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3719</v>
      </c>
      <c r="D386" s="1" t="s">
        <v>3720</v>
      </c>
      <c r="E386" s="1" t="s">
        <v>3721</v>
      </c>
      <c r="F386" s="1" t="s">
        <v>112</v>
      </c>
      <c r="G386" s="1">
        <v>1094905</v>
      </c>
    </row>
    <row r="387" spans="1:10" x14ac:dyDescent="0.35">
      <c r="A387" s="1" t="str">
        <f t="shared" si="6"/>
        <v>12 Anastrozole 20 µg_L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3722</v>
      </c>
      <c r="D387" s="1" t="s">
        <v>3723</v>
      </c>
      <c r="E387" s="1" t="s">
        <v>3724</v>
      </c>
      <c r="F387" s="1" t="s">
        <v>112</v>
      </c>
      <c r="G387" s="1">
        <v>1085799</v>
      </c>
    </row>
    <row r="388" spans="1:10" x14ac:dyDescent="0.35">
      <c r="A388" s="1" t="str">
        <f t="shared" si="6"/>
        <v>12 Anastrozole 20 µg_L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3725</v>
      </c>
      <c r="D388" s="1" t="s">
        <v>3726</v>
      </c>
      <c r="E388" s="1" t="s">
        <v>3727</v>
      </c>
      <c r="F388" s="1" t="s">
        <v>112</v>
      </c>
      <c r="G388" s="1">
        <v>750363</v>
      </c>
    </row>
    <row r="389" spans="1:10"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227</v>
      </c>
      <c r="D390" s="1" t="s">
        <v>112</v>
      </c>
      <c r="E390" s="1" t="s">
        <v>228</v>
      </c>
      <c r="F390" s="1" t="s">
        <v>229</v>
      </c>
      <c r="G390" s="1" t="s">
        <v>230</v>
      </c>
      <c r="H390" s="1" t="s">
        <v>231</v>
      </c>
      <c r="I390" s="1" t="s">
        <v>232</v>
      </c>
      <c r="J390" s="1" t="s">
        <v>233</v>
      </c>
    </row>
    <row r="391" spans="1:10" x14ac:dyDescent="0.35">
      <c r="A391" s="1" t="str">
        <f t="shared" si="6"/>
        <v>12 Anastrozole 20 µg_L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3728</v>
      </c>
      <c r="D391" s="1" t="s">
        <v>112</v>
      </c>
      <c r="E391" s="1" t="s">
        <v>3729</v>
      </c>
      <c r="F391" s="1" t="s">
        <v>3730</v>
      </c>
      <c r="G391" s="1">
        <v>404725</v>
      </c>
      <c r="H391" s="1" t="s">
        <v>3731</v>
      </c>
      <c r="I391" s="1">
        <v>24</v>
      </c>
      <c r="J391" s="1">
        <v>24</v>
      </c>
    </row>
    <row r="392" spans="1:10"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239</v>
      </c>
      <c r="D397" s="1" t="s">
        <v>110</v>
      </c>
      <c r="E397" s="1" t="s">
        <v>111</v>
      </c>
      <c r="F397" s="1" t="s">
        <v>112</v>
      </c>
      <c r="G397" s="1" t="s">
        <v>113</v>
      </c>
    </row>
    <row r="398" spans="1:10" x14ac:dyDescent="0.3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3732</v>
      </c>
      <c r="D398" s="1" t="s">
        <v>3733</v>
      </c>
      <c r="E398" s="1" t="s">
        <v>3734</v>
      </c>
      <c r="F398" s="1" t="s">
        <v>112</v>
      </c>
      <c r="G398" s="1">
        <v>2733586</v>
      </c>
    </row>
    <row r="399" spans="1:10" x14ac:dyDescent="0.3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3735</v>
      </c>
      <c r="D399" s="1" t="s">
        <v>3736</v>
      </c>
      <c r="E399" s="1" t="s">
        <v>3737</v>
      </c>
      <c r="F399" s="1" t="s">
        <v>112</v>
      </c>
      <c r="G399" s="1">
        <v>2883135</v>
      </c>
    </row>
    <row r="400" spans="1:10" x14ac:dyDescent="0.3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3738</v>
      </c>
      <c r="D400" s="1" t="s">
        <v>3739</v>
      </c>
      <c r="E400" s="1" t="s">
        <v>3740</v>
      </c>
      <c r="F400" s="1" t="s">
        <v>112</v>
      </c>
      <c r="G400" s="1">
        <v>2728914</v>
      </c>
    </row>
    <row r="401" spans="1:7" x14ac:dyDescent="0.3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3741</v>
      </c>
      <c r="D401" s="1" t="s">
        <v>3742</v>
      </c>
      <c r="E401" s="1" t="s">
        <v>3743</v>
      </c>
      <c r="F401" s="1" t="s">
        <v>112</v>
      </c>
      <c r="G401" s="1">
        <v>1278370</v>
      </c>
    </row>
    <row r="402" spans="1:7" x14ac:dyDescent="0.3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3744</v>
      </c>
      <c r="D402" s="1" t="s">
        <v>3745</v>
      </c>
      <c r="E402" s="1" t="s">
        <v>3746</v>
      </c>
      <c r="F402" s="1" t="s">
        <v>112</v>
      </c>
      <c r="G402" s="1">
        <v>1193083</v>
      </c>
    </row>
    <row r="403" spans="1:7" x14ac:dyDescent="0.3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3747</v>
      </c>
      <c r="D403" s="1" t="s">
        <v>3748</v>
      </c>
      <c r="E403" s="1" t="s">
        <v>3749</v>
      </c>
      <c r="F403" s="1" t="s">
        <v>112</v>
      </c>
      <c r="G403" s="1">
        <v>1208484</v>
      </c>
    </row>
    <row r="404" spans="1:7" x14ac:dyDescent="0.3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3750</v>
      </c>
      <c r="D404" s="1" t="s">
        <v>3751</v>
      </c>
      <c r="E404" s="1" t="s">
        <v>3752</v>
      </c>
      <c r="F404" s="1" t="s">
        <v>112</v>
      </c>
      <c r="G404" s="1">
        <v>919271</v>
      </c>
    </row>
    <row r="405" spans="1:7" x14ac:dyDescent="0.3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3753</v>
      </c>
      <c r="D405" s="1" t="s">
        <v>3754</v>
      </c>
      <c r="E405" s="1" t="s">
        <v>3755</v>
      </c>
      <c r="F405" s="1" t="s">
        <v>112</v>
      </c>
      <c r="G405" s="1">
        <v>1042063</v>
      </c>
    </row>
    <row r="406" spans="1:7" x14ac:dyDescent="0.3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3756</v>
      </c>
      <c r="D406" s="1" t="s">
        <v>3230</v>
      </c>
      <c r="E406" s="1" t="s">
        <v>3757</v>
      </c>
      <c r="F406" s="1" t="s">
        <v>112</v>
      </c>
      <c r="G406" s="1">
        <v>987232</v>
      </c>
    </row>
    <row r="407" spans="1:7" x14ac:dyDescent="0.3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3758</v>
      </c>
      <c r="D407" s="1" t="s">
        <v>3759</v>
      </c>
      <c r="E407" s="1" t="s">
        <v>3760</v>
      </c>
      <c r="F407" s="1" t="s">
        <v>112</v>
      </c>
      <c r="G407" s="1">
        <v>2215810</v>
      </c>
    </row>
    <row r="408" spans="1:7" x14ac:dyDescent="0.3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3761</v>
      </c>
      <c r="D408" s="1" t="s">
        <v>3762</v>
      </c>
      <c r="E408" s="1" t="s">
        <v>3763</v>
      </c>
      <c r="F408" s="1" t="s">
        <v>112</v>
      </c>
      <c r="G408" s="1">
        <v>2165066</v>
      </c>
    </row>
    <row r="409" spans="1:7" x14ac:dyDescent="0.3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3764</v>
      </c>
      <c r="D409" s="1" t="s">
        <v>3765</v>
      </c>
      <c r="E409" s="1" t="s">
        <v>3766</v>
      </c>
      <c r="F409" s="1" t="s">
        <v>112</v>
      </c>
      <c r="G409" s="1">
        <v>1907843</v>
      </c>
    </row>
    <row r="410" spans="1:7" x14ac:dyDescent="0.3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3767</v>
      </c>
      <c r="D410" s="1" t="s">
        <v>3768</v>
      </c>
      <c r="E410" s="1" t="s">
        <v>3769</v>
      </c>
      <c r="F410" s="1" t="s">
        <v>112</v>
      </c>
      <c r="G410" s="1">
        <v>2991652</v>
      </c>
    </row>
    <row r="411" spans="1:7" x14ac:dyDescent="0.3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3770</v>
      </c>
      <c r="D411" s="1" t="s">
        <v>3771</v>
      </c>
      <c r="E411" s="1" t="s">
        <v>3772</v>
      </c>
      <c r="F411" s="1" t="s">
        <v>112</v>
      </c>
      <c r="G411" s="1">
        <v>2626172</v>
      </c>
    </row>
    <row r="412" spans="1:7" x14ac:dyDescent="0.3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3773</v>
      </c>
      <c r="D412" s="1" t="s">
        <v>3774</v>
      </c>
      <c r="E412" s="1" t="s">
        <v>3775</v>
      </c>
      <c r="F412" s="1" t="s">
        <v>112</v>
      </c>
      <c r="G412" s="1">
        <v>2410911</v>
      </c>
    </row>
    <row r="413" spans="1:7" x14ac:dyDescent="0.3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3776</v>
      </c>
      <c r="D413" s="1" t="s">
        <v>3777</v>
      </c>
      <c r="E413" s="1" t="s">
        <v>3778</v>
      </c>
      <c r="F413" s="1" t="s">
        <v>112</v>
      </c>
      <c r="G413" s="1">
        <v>395805</v>
      </c>
    </row>
    <row r="414" spans="1:7" x14ac:dyDescent="0.3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3779</v>
      </c>
      <c r="D414" s="1" t="s">
        <v>3780</v>
      </c>
      <c r="E414" s="1" t="s">
        <v>3781</v>
      </c>
      <c r="F414" s="1" t="s">
        <v>112</v>
      </c>
      <c r="G414" s="1">
        <v>300396</v>
      </c>
    </row>
    <row r="415" spans="1:7" x14ac:dyDescent="0.3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3782</v>
      </c>
      <c r="D415" s="1" t="s">
        <v>2259</v>
      </c>
      <c r="E415" s="1" t="s">
        <v>3783</v>
      </c>
      <c r="F415" s="1" t="s">
        <v>112</v>
      </c>
      <c r="G415" s="1">
        <v>295659</v>
      </c>
    </row>
    <row r="416" spans="1:7" x14ac:dyDescent="0.3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3784</v>
      </c>
      <c r="D416" s="1" t="s">
        <v>3785</v>
      </c>
      <c r="E416" s="1" t="s">
        <v>3786</v>
      </c>
      <c r="F416" s="1" t="s">
        <v>112</v>
      </c>
      <c r="G416" s="1">
        <v>4821304</v>
      </c>
    </row>
    <row r="417" spans="1:10" x14ac:dyDescent="0.3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3787</v>
      </c>
      <c r="D417" s="1" t="s">
        <v>3788</v>
      </c>
      <c r="E417" s="1" t="s">
        <v>3789</v>
      </c>
      <c r="F417" s="1" t="s">
        <v>112</v>
      </c>
      <c r="G417" s="1">
        <v>4382044</v>
      </c>
    </row>
    <row r="418" spans="1:10" x14ac:dyDescent="0.3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3790</v>
      </c>
      <c r="D418" s="1" t="s">
        <v>3791</v>
      </c>
      <c r="E418" s="1" t="s">
        <v>3792</v>
      </c>
      <c r="F418" s="1" t="s">
        <v>112</v>
      </c>
      <c r="G418" s="1">
        <v>4508211</v>
      </c>
    </row>
    <row r="419" spans="1:10" x14ac:dyDescent="0.3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3793</v>
      </c>
      <c r="D419" s="1" t="s">
        <v>3794</v>
      </c>
      <c r="E419" s="1" t="s">
        <v>3795</v>
      </c>
      <c r="F419" s="1" t="s">
        <v>112</v>
      </c>
      <c r="G419" s="1">
        <v>1541260</v>
      </c>
    </row>
    <row r="420" spans="1:10" x14ac:dyDescent="0.3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3796</v>
      </c>
      <c r="D420" s="1" t="s">
        <v>3797</v>
      </c>
      <c r="E420" s="1" t="s">
        <v>3798</v>
      </c>
      <c r="F420" s="1" t="s">
        <v>112</v>
      </c>
      <c r="G420" s="1">
        <v>1341508</v>
      </c>
    </row>
    <row r="421" spans="1:10" x14ac:dyDescent="0.3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3799</v>
      </c>
      <c r="D421" s="1" t="s">
        <v>3800</v>
      </c>
      <c r="E421" s="1" t="s">
        <v>3801</v>
      </c>
      <c r="F421" s="1" t="s">
        <v>112</v>
      </c>
      <c r="G421" s="1">
        <v>1392446</v>
      </c>
    </row>
    <row r="422" spans="1:10"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227</v>
      </c>
      <c r="D423" s="1" t="s">
        <v>112</v>
      </c>
      <c r="E423" s="1" t="s">
        <v>228</v>
      </c>
      <c r="F423" s="1" t="s">
        <v>229</v>
      </c>
      <c r="G423" s="1" t="s">
        <v>230</v>
      </c>
      <c r="H423" s="1" t="s">
        <v>231</v>
      </c>
      <c r="I423" s="1" t="s">
        <v>232</v>
      </c>
      <c r="J423" s="1" t="s">
        <v>233</v>
      </c>
    </row>
    <row r="424" spans="1:10" x14ac:dyDescent="0.3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3802</v>
      </c>
      <c r="D424" s="1" t="s">
        <v>112</v>
      </c>
      <c r="E424" s="1" t="s">
        <v>3803</v>
      </c>
      <c r="F424" s="1" t="s">
        <v>3804</v>
      </c>
      <c r="G424" s="1" t="s">
        <v>3805</v>
      </c>
      <c r="H424" s="1" t="s">
        <v>3806</v>
      </c>
      <c r="I424" s="1">
        <v>24</v>
      </c>
      <c r="J424" s="1">
        <v>24</v>
      </c>
    </row>
    <row r="425" spans="1:10"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239</v>
      </c>
      <c r="D430" s="1" t="s">
        <v>110</v>
      </c>
      <c r="E430" s="1" t="s">
        <v>111</v>
      </c>
      <c r="F430" s="1" t="s">
        <v>112</v>
      </c>
      <c r="G430" s="1" t="s">
        <v>113</v>
      </c>
    </row>
    <row r="431" spans="1:10" x14ac:dyDescent="0.3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3807</v>
      </c>
      <c r="D431" s="1" t="s">
        <v>3808</v>
      </c>
      <c r="E431" s="1" t="s">
        <v>3809</v>
      </c>
      <c r="F431" s="1" t="s">
        <v>112</v>
      </c>
      <c r="G431" s="1">
        <v>1496183</v>
      </c>
    </row>
    <row r="432" spans="1:10" x14ac:dyDescent="0.3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3810</v>
      </c>
      <c r="D432" s="1" t="s">
        <v>3811</v>
      </c>
      <c r="E432" s="1" t="s">
        <v>3812</v>
      </c>
      <c r="F432" s="1" t="s">
        <v>112</v>
      </c>
      <c r="G432" s="1">
        <v>1455822</v>
      </c>
    </row>
    <row r="433" spans="1:7" x14ac:dyDescent="0.3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3813</v>
      </c>
      <c r="D433" s="1" t="s">
        <v>3814</v>
      </c>
      <c r="E433" s="1" t="s">
        <v>3815</v>
      </c>
      <c r="F433" s="1" t="s">
        <v>112</v>
      </c>
      <c r="G433" s="1">
        <v>902313</v>
      </c>
    </row>
    <row r="434" spans="1:7" x14ac:dyDescent="0.3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3816</v>
      </c>
      <c r="D434" s="1" t="s">
        <v>1643</v>
      </c>
      <c r="E434" s="1" t="s">
        <v>3817</v>
      </c>
      <c r="F434" s="1" t="s">
        <v>112</v>
      </c>
      <c r="G434" s="1">
        <v>73498</v>
      </c>
    </row>
    <row r="435" spans="1:7" x14ac:dyDescent="0.3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3818</v>
      </c>
      <c r="D435" s="1" t="s">
        <v>2131</v>
      </c>
      <c r="E435" s="1" t="s">
        <v>3819</v>
      </c>
      <c r="F435" s="1" t="s">
        <v>112</v>
      </c>
      <c r="G435" s="1">
        <v>42935</v>
      </c>
    </row>
    <row r="436" spans="1:7" x14ac:dyDescent="0.3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3820</v>
      </c>
      <c r="D436" s="1" t="s">
        <v>2116</v>
      </c>
      <c r="E436" s="1" t="s">
        <v>3821</v>
      </c>
      <c r="F436" s="1" t="s">
        <v>112</v>
      </c>
      <c r="G436" s="1">
        <v>22387</v>
      </c>
    </row>
    <row r="437" spans="1:7" x14ac:dyDescent="0.3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3822</v>
      </c>
      <c r="D437" s="1" t="s">
        <v>3823</v>
      </c>
      <c r="E437" s="1" t="s">
        <v>3824</v>
      </c>
      <c r="F437" s="1" t="s">
        <v>112</v>
      </c>
      <c r="G437" s="1">
        <v>3114618</v>
      </c>
    </row>
    <row r="438" spans="1:7" x14ac:dyDescent="0.3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3825</v>
      </c>
      <c r="D438" s="1" t="s">
        <v>3826</v>
      </c>
      <c r="E438" s="1" t="s">
        <v>3827</v>
      </c>
      <c r="F438" s="1" t="s">
        <v>112</v>
      </c>
      <c r="G438" s="1">
        <v>2834511</v>
      </c>
    </row>
    <row r="439" spans="1:7" x14ac:dyDescent="0.3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3828</v>
      </c>
      <c r="D439" s="1" t="s">
        <v>3829</v>
      </c>
      <c r="E439" s="1" t="s">
        <v>3830</v>
      </c>
      <c r="F439" s="1" t="s">
        <v>112</v>
      </c>
      <c r="G439" s="1">
        <v>3138909</v>
      </c>
    </row>
    <row r="440" spans="1:7" x14ac:dyDescent="0.3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3831</v>
      </c>
      <c r="D440" s="1" t="s">
        <v>3832</v>
      </c>
      <c r="E440" s="1" t="s">
        <v>3833</v>
      </c>
      <c r="F440" s="1" t="s">
        <v>112</v>
      </c>
      <c r="G440" s="1">
        <v>1272790</v>
      </c>
    </row>
    <row r="441" spans="1:7" x14ac:dyDescent="0.3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3834</v>
      </c>
      <c r="D441" s="1" t="s">
        <v>3835</v>
      </c>
      <c r="E441" s="1" t="s">
        <v>3836</v>
      </c>
      <c r="F441" s="1" t="s">
        <v>112</v>
      </c>
      <c r="G441" s="1">
        <v>1015891</v>
      </c>
    </row>
    <row r="442" spans="1:7" x14ac:dyDescent="0.3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3837</v>
      </c>
      <c r="D442" s="1" t="s">
        <v>3838</v>
      </c>
      <c r="E442" s="1" t="s">
        <v>3839</v>
      </c>
      <c r="F442" s="1" t="s">
        <v>112</v>
      </c>
      <c r="G442" s="1">
        <v>820379</v>
      </c>
    </row>
    <row r="443" spans="1:7" x14ac:dyDescent="0.3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3840</v>
      </c>
      <c r="D443" s="1" t="s">
        <v>3841</v>
      </c>
      <c r="E443" s="1" t="s">
        <v>3842</v>
      </c>
      <c r="F443" s="1" t="s">
        <v>112</v>
      </c>
      <c r="G443" s="1">
        <v>4647291</v>
      </c>
    </row>
    <row r="444" spans="1:7" x14ac:dyDescent="0.3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3843</v>
      </c>
      <c r="D444" s="1" t="s">
        <v>3844</v>
      </c>
      <c r="E444" s="1" t="s">
        <v>3845</v>
      </c>
      <c r="F444" s="1" t="s">
        <v>112</v>
      </c>
      <c r="G444" s="1">
        <v>4779363</v>
      </c>
    </row>
    <row r="445" spans="1:7" x14ac:dyDescent="0.3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3846</v>
      </c>
      <c r="D445" s="1" t="s">
        <v>3847</v>
      </c>
      <c r="E445" s="1" t="s">
        <v>3848</v>
      </c>
      <c r="F445" s="1" t="s">
        <v>112</v>
      </c>
      <c r="G445" s="1">
        <v>4146927</v>
      </c>
    </row>
    <row r="446" spans="1:7" x14ac:dyDescent="0.3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3849</v>
      </c>
      <c r="D446" s="1" t="s">
        <v>1948</v>
      </c>
      <c r="E446" s="1" t="s">
        <v>3850</v>
      </c>
      <c r="F446" s="1" t="s">
        <v>112</v>
      </c>
      <c r="G446" s="1">
        <v>2470004</v>
      </c>
    </row>
    <row r="447" spans="1:7" x14ac:dyDescent="0.3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3851</v>
      </c>
      <c r="D447" s="1" t="s">
        <v>3852</v>
      </c>
      <c r="E447" s="1" t="s">
        <v>3853</v>
      </c>
      <c r="F447" s="1" t="s">
        <v>112</v>
      </c>
      <c r="G447" s="1">
        <v>2342539</v>
      </c>
    </row>
    <row r="448" spans="1:7" x14ac:dyDescent="0.3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3854</v>
      </c>
      <c r="D448" s="1" t="s">
        <v>3855</v>
      </c>
      <c r="E448" s="1" t="s">
        <v>3856</v>
      </c>
      <c r="F448" s="1" t="s">
        <v>112</v>
      </c>
      <c r="G448" s="1">
        <v>1874187</v>
      </c>
    </row>
    <row r="449" spans="1:10" x14ac:dyDescent="0.3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3857</v>
      </c>
      <c r="D449" s="1" t="s">
        <v>3546</v>
      </c>
      <c r="E449" s="1" t="s">
        <v>3858</v>
      </c>
      <c r="F449" s="1" t="s">
        <v>112</v>
      </c>
      <c r="G449" s="1">
        <v>343223</v>
      </c>
    </row>
    <row r="450" spans="1:10" x14ac:dyDescent="0.3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3859</v>
      </c>
      <c r="D450" s="1" t="s">
        <v>3860</v>
      </c>
      <c r="E450" s="1" t="s">
        <v>3861</v>
      </c>
      <c r="F450" s="1" t="s">
        <v>112</v>
      </c>
      <c r="G450" s="1">
        <v>307880</v>
      </c>
    </row>
    <row r="451" spans="1:10" x14ac:dyDescent="0.3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3862</v>
      </c>
      <c r="D451" s="1" t="s">
        <v>2228</v>
      </c>
      <c r="E451" s="1" t="s">
        <v>3863</v>
      </c>
      <c r="F451" s="1" t="s">
        <v>112</v>
      </c>
      <c r="G451" s="1">
        <v>286704</v>
      </c>
    </row>
    <row r="452" spans="1:10" x14ac:dyDescent="0.3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3864</v>
      </c>
      <c r="D452" s="1" t="s">
        <v>3865</v>
      </c>
      <c r="E452" s="1" t="s">
        <v>3866</v>
      </c>
      <c r="F452" s="1" t="s">
        <v>112</v>
      </c>
      <c r="G452" s="1">
        <v>631982</v>
      </c>
    </row>
    <row r="453" spans="1:10" x14ac:dyDescent="0.3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3867</v>
      </c>
      <c r="D453" s="1" t="s">
        <v>3868</v>
      </c>
      <c r="E453" s="1" t="s">
        <v>3869</v>
      </c>
      <c r="F453" s="1" t="s">
        <v>112</v>
      </c>
      <c r="G453" s="1">
        <v>374868</v>
      </c>
    </row>
    <row r="454" spans="1:10" x14ac:dyDescent="0.3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3870</v>
      </c>
    </row>
    <row r="455" spans="1:10"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227</v>
      </c>
      <c r="D456" s="1" t="s">
        <v>112</v>
      </c>
      <c r="E456" s="1" t="s">
        <v>228</v>
      </c>
      <c r="F456" s="1" t="s">
        <v>229</v>
      </c>
      <c r="G456" s="1" t="s">
        <v>230</v>
      </c>
      <c r="H456" s="1" t="s">
        <v>231</v>
      </c>
      <c r="I456" s="1" t="s">
        <v>232</v>
      </c>
      <c r="J456" s="1" t="s">
        <v>233</v>
      </c>
    </row>
    <row r="457" spans="1:10" x14ac:dyDescent="0.3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3871</v>
      </c>
      <c r="D457" s="1" t="s">
        <v>112</v>
      </c>
      <c r="E457" s="1" t="s">
        <v>3872</v>
      </c>
      <c r="F457" s="1" t="s">
        <v>3873</v>
      </c>
      <c r="G457" s="1" t="s">
        <v>3874</v>
      </c>
      <c r="H457" s="1" t="s">
        <v>3875</v>
      </c>
      <c r="I457" s="1">
        <v>24</v>
      </c>
      <c r="J457" s="1">
        <v>24</v>
      </c>
    </row>
    <row r="458" spans="1:10"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239</v>
      </c>
      <c r="D463" s="1" t="s">
        <v>110</v>
      </c>
      <c r="E463" s="1" t="s">
        <v>111</v>
      </c>
      <c r="F463" s="1" t="s">
        <v>112</v>
      </c>
      <c r="G463" s="1" t="s">
        <v>113</v>
      </c>
    </row>
    <row r="464" spans="1:10" x14ac:dyDescent="0.3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3876</v>
      </c>
      <c r="D464" s="1" t="s">
        <v>3877</v>
      </c>
      <c r="E464" s="1" t="s">
        <v>3878</v>
      </c>
      <c r="F464" s="1" t="s">
        <v>112</v>
      </c>
      <c r="G464" s="1">
        <v>3695619</v>
      </c>
    </row>
    <row r="465" spans="1:7" x14ac:dyDescent="0.3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3879</v>
      </c>
      <c r="D465" s="1" t="s">
        <v>3880</v>
      </c>
      <c r="E465" s="1" t="s">
        <v>3881</v>
      </c>
      <c r="F465" s="1" t="s">
        <v>112</v>
      </c>
      <c r="G465" s="1">
        <v>3310866</v>
      </c>
    </row>
    <row r="466" spans="1:7" x14ac:dyDescent="0.3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3882</v>
      </c>
      <c r="D466" s="1" t="s">
        <v>3883</v>
      </c>
      <c r="E466" s="1" t="s">
        <v>3884</v>
      </c>
      <c r="F466" s="1" t="s">
        <v>112</v>
      </c>
      <c r="G466" s="1">
        <v>3413500</v>
      </c>
    </row>
    <row r="467" spans="1:7" x14ac:dyDescent="0.3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3885</v>
      </c>
      <c r="D467" s="1" t="s">
        <v>3886</v>
      </c>
      <c r="E467" s="1" t="s">
        <v>3887</v>
      </c>
      <c r="F467" s="1" t="s">
        <v>112</v>
      </c>
      <c r="G467" s="1">
        <v>1081711</v>
      </c>
    </row>
    <row r="468" spans="1:7" x14ac:dyDescent="0.3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3888</v>
      </c>
      <c r="D468" s="1" t="s">
        <v>3889</v>
      </c>
      <c r="E468" s="1" t="s">
        <v>3890</v>
      </c>
      <c r="F468" s="1" t="s">
        <v>112</v>
      </c>
      <c r="G468" s="1">
        <v>908499</v>
      </c>
    </row>
    <row r="469" spans="1:7" x14ac:dyDescent="0.3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3891</v>
      </c>
      <c r="D469" s="1" t="s">
        <v>3892</v>
      </c>
      <c r="E469" s="1" t="s">
        <v>3893</v>
      </c>
      <c r="F469" s="1" t="s">
        <v>112</v>
      </c>
      <c r="G469" s="1">
        <v>896256</v>
      </c>
    </row>
    <row r="470" spans="1:7" x14ac:dyDescent="0.3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3894</v>
      </c>
      <c r="D470" s="1" t="s">
        <v>3895</v>
      </c>
      <c r="E470" s="1" t="s">
        <v>3896</v>
      </c>
      <c r="F470" s="1" t="s">
        <v>112</v>
      </c>
      <c r="G470" s="1">
        <v>3743681</v>
      </c>
    </row>
    <row r="471" spans="1:7" x14ac:dyDescent="0.3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3897</v>
      </c>
      <c r="D471" s="1" t="s">
        <v>3898</v>
      </c>
      <c r="E471" s="1" t="s">
        <v>3899</v>
      </c>
      <c r="F471" s="1" t="s">
        <v>112</v>
      </c>
      <c r="G471" s="1">
        <v>4170633</v>
      </c>
    </row>
    <row r="472" spans="1:7" x14ac:dyDescent="0.3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3900</v>
      </c>
      <c r="D472" s="1" t="s">
        <v>3901</v>
      </c>
      <c r="E472" s="1" t="s">
        <v>3902</v>
      </c>
      <c r="F472" s="1" t="s">
        <v>112</v>
      </c>
      <c r="G472" s="1">
        <v>4077668</v>
      </c>
    </row>
    <row r="473" spans="1:7" x14ac:dyDescent="0.3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3903</v>
      </c>
      <c r="D473" s="1" t="s">
        <v>3904</v>
      </c>
      <c r="E473" s="1" t="s">
        <v>3905</v>
      </c>
      <c r="F473" s="1" t="s">
        <v>112</v>
      </c>
      <c r="G473" s="1">
        <v>3870648</v>
      </c>
    </row>
    <row r="474" spans="1:7" x14ac:dyDescent="0.3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3906</v>
      </c>
      <c r="D474" s="1" t="s">
        <v>3907</v>
      </c>
      <c r="E474" s="1" t="s">
        <v>3908</v>
      </c>
      <c r="F474" s="1" t="s">
        <v>112</v>
      </c>
      <c r="G474" s="1">
        <v>4305950</v>
      </c>
    </row>
    <row r="475" spans="1:7" x14ac:dyDescent="0.3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3909</v>
      </c>
      <c r="D475" s="1" t="s">
        <v>3910</v>
      </c>
      <c r="E475" s="1" t="s">
        <v>3911</v>
      </c>
      <c r="F475" s="1" t="s">
        <v>112</v>
      </c>
      <c r="G475" s="1">
        <v>3943454</v>
      </c>
    </row>
    <row r="476" spans="1:7" x14ac:dyDescent="0.3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3912</v>
      </c>
      <c r="D476" s="1" t="s">
        <v>3913</v>
      </c>
      <c r="E476" s="1" t="s">
        <v>3914</v>
      </c>
      <c r="F476" s="1" t="s">
        <v>112</v>
      </c>
      <c r="G476" s="1">
        <v>2314896</v>
      </c>
    </row>
    <row r="477" spans="1:7" x14ac:dyDescent="0.3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3915</v>
      </c>
      <c r="D477" s="1" t="s">
        <v>3916</v>
      </c>
      <c r="E477" s="1">
        <v>72</v>
      </c>
      <c r="F477" s="1" t="s">
        <v>112</v>
      </c>
      <c r="G477" s="1">
        <v>2161605</v>
      </c>
    </row>
    <row r="478" spans="1:7" x14ac:dyDescent="0.3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3917</v>
      </c>
      <c r="D478" s="1" t="s">
        <v>3918</v>
      </c>
      <c r="E478" s="1" t="s">
        <v>3919</v>
      </c>
      <c r="F478" s="1" t="s">
        <v>112</v>
      </c>
      <c r="G478" s="1">
        <v>2044371</v>
      </c>
    </row>
    <row r="479" spans="1:7" x14ac:dyDescent="0.3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3920</v>
      </c>
      <c r="D479" s="1" t="s">
        <v>2713</v>
      </c>
      <c r="E479" s="1" t="s">
        <v>3921</v>
      </c>
      <c r="F479" s="1" t="s">
        <v>112</v>
      </c>
      <c r="G479" s="1">
        <v>1880243</v>
      </c>
    </row>
    <row r="480" spans="1:7" x14ac:dyDescent="0.3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3922</v>
      </c>
      <c r="D480" s="1" t="s">
        <v>3923</v>
      </c>
      <c r="E480" s="1" t="s">
        <v>3924</v>
      </c>
      <c r="F480" s="1" t="s">
        <v>112</v>
      </c>
      <c r="G480" s="1">
        <v>1465642</v>
      </c>
    </row>
    <row r="481" spans="1:10" x14ac:dyDescent="0.3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3925</v>
      </c>
      <c r="D481" s="1" t="s">
        <v>3926</v>
      </c>
      <c r="E481" s="1" t="s">
        <v>3927</v>
      </c>
      <c r="F481" s="1" t="s">
        <v>112</v>
      </c>
      <c r="G481" s="1">
        <v>1055907</v>
      </c>
    </row>
    <row r="482" spans="1:10" x14ac:dyDescent="0.3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3928</v>
      </c>
      <c r="D482" s="1" t="s">
        <v>3929</v>
      </c>
      <c r="E482" s="1" t="s">
        <v>3930</v>
      </c>
      <c r="F482" s="1" t="s">
        <v>112</v>
      </c>
      <c r="G482" s="1">
        <v>677383</v>
      </c>
    </row>
    <row r="483" spans="1:10" x14ac:dyDescent="0.3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3931</v>
      </c>
      <c r="D483" s="1" t="s">
        <v>3932</v>
      </c>
      <c r="E483" s="1" t="s">
        <v>3933</v>
      </c>
      <c r="F483" s="1" t="s">
        <v>112</v>
      </c>
      <c r="G483" s="1">
        <v>2045409</v>
      </c>
    </row>
    <row r="484" spans="1:10" x14ac:dyDescent="0.3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3934</v>
      </c>
      <c r="D484" s="1" t="s">
        <v>3935</v>
      </c>
      <c r="E484" s="1" t="s">
        <v>3936</v>
      </c>
      <c r="F484" s="1" t="s">
        <v>112</v>
      </c>
      <c r="G484" s="1">
        <v>1978811</v>
      </c>
    </row>
    <row r="485" spans="1:10" x14ac:dyDescent="0.3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3937</v>
      </c>
      <c r="D485" s="1" t="s">
        <v>3938</v>
      </c>
      <c r="E485" s="1" t="s">
        <v>3939</v>
      </c>
      <c r="F485" s="1" t="s">
        <v>112</v>
      </c>
      <c r="G485" s="1">
        <v>2069938</v>
      </c>
    </row>
    <row r="486" spans="1:10" x14ac:dyDescent="0.3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3940</v>
      </c>
      <c r="D486" s="1" t="s">
        <v>3941</v>
      </c>
      <c r="E486" s="1" t="s">
        <v>3942</v>
      </c>
      <c r="F486" s="1" t="s">
        <v>112</v>
      </c>
      <c r="G486" s="1">
        <v>1958154</v>
      </c>
    </row>
    <row r="487" spans="1:10" x14ac:dyDescent="0.3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3943</v>
      </c>
      <c r="D487" s="1" t="s">
        <v>3944</v>
      </c>
      <c r="E487" s="1" t="s">
        <v>3945</v>
      </c>
      <c r="F487" s="1" t="s">
        <v>112</v>
      </c>
      <c r="G487" s="1">
        <v>2202680</v>
      </c>
    </row>
    <row r="488" spans="1:10"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227</v>
      </c>
      <c r="D489" s="1" t="s">
        <v>112</v>
      </c>
      <c r="E489" s="1" t="s">
        <v>228</v>
      </c>
      <c r="F489" s="1" t="s">
        <v>229</v>
      </c>
      <c r="G489" s="1" t="s">
        <v>230</v>
      </c>
      <c r="H489" s="1" t="s">
        <v>231</v>
      </c>
      <c r="I489" s="1" t="s">
        <v>232</v>
      </c>
      <c r="J489" s="1" t="s">
        <v>233</v>
      </c>
    </row>
    <row r="490" spans="1:10" x14ac:dyDescent="0.3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3946</v>
      </c>
      <c r="D490" s="1" t="s">
        <v>112</v>
      </c>
      <c r="E490" s="1" t="s">
        <v>3947</v>
      </c>
      <c r="F490" s="1" t="s">
        <v>3948</v>
      </c>
      <c r="G490" s="1" t="s">
        <v>3949</v>
      </c>
      <c r="H490" s="1">
        <v>1185590</v>
      </c>
      <c r="I490" s="1">
        <v>24</v>
      </c>
      <c r="J490" s="1">
        <v>24</v>
      </c>
    </row>
    <row r="491" spans="1:10"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239</v>
      </c>
      <c r="D496" s="1" t="s">
        <v>110</v>
      </c>
      <c r="E496" s="1" t="s">
        <v>111</v>
      </c>
      <c r="F496" s="1" t="s">
        <v>112</v>
      </c>
      <c r="G496" s="1" t="s">
        <v>113</v>
      </c>
    </row>
    <row r="497" spans="1:7" x14ac:dyDescent="0.3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3950</v>
      </c>
      <c r="D497" s="1" t="s">
        <v>2337</v>
      </c>
      <c r="E497" s="1" t="s">
        <v>3951</v>
      </c>
      <c r="F497" s="1" t="s">
        <v>112</v>
      </c>
      <c r="G497" s="1">
        <v>149982</v>
      </c>
    </row>
    <row r="498" spans="1:7" x14ac:dyDescent="0.3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3952</v>
      </c>
      <c r="D498" s="1" t="s">
        <v>3953</v>
      </c>
      <c r="E498" s="1" t="s">
        <v>3954</v>
      </c>
      <c r="F498" s="1" t="s">
        <v>112</v>
      </c>
      <c r="G498" s="1">
        <v>105078</v>
      </c>
    </row>
    <row r="499" spans="1:7" x14ac:dyDescent="0.3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3955</v>
      </c>
      <c r="D499" s="1" t="s">
        <v>1711</v>
      </c>
      <c r="E499" s="1" t="s">
        <v>3956</v>
      </c>
      <c r="F499" s="1" t="s">
        <v>112</v>
      </c>
      <c r="G499" s="1">
        <v>184763</v>
      </c>
    </row>
    <row r="500" spans="1:7" x14ac:dyDescent="0.3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3957</v>
      </c>
      <c r="D500" s="1" t="s">
        <v>1734</v>
      </c>
      <c r="E500" s="1" t="s">
        <v>941</v>
      </c>
      <c r="F500" s="1" t="s">
        <v>112</v>
      </c>
      <c r="G500" s="1">
        <v>15119</v>
      </c>
    </row>
    <row r="501" spans="1:7" x14ac:dyDescent="0.3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3958</v>
      </c>
      <c r="D501" s="1" t="s">
        <v>2374</v>
      </c>
      <c r="E501" s="1" t="s">
        <v>3959</v>
      </c>
      <c r="F501" s="1" t="s">
        <v>112</v>
      </c>
      <c r="G501" s="1">
        <v>24701</v>
      </c>
    </row>
    <row r="502" spans="1:7" x14ac:dyDescent="0.3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3960</v>
      </c>
      <c r="D502" s="1" t="s">
        <v>1734</v>
      </c>
      <c r="E502" s="1" t="s">
        <v>2933</v>
      </c>
      <c r="F502" s="1" t="s">
        <v>112</v>
      </c>
      <c r="G502" s="1">
        <v>15098</v>
      </c>
    </row>
    <row r="503" spans="1:7" x14ac:dyDescent="0.3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3961</v>
      </c>
      <c r="D503" s="1" t="s">
        <v>149</v>
      </c>
      <c r="E503" s="1" t="s">
        <v>3962</v>
      </c>
      <c r="F503" s="1" t="s">
        <v>112</v>
      </c>
      <c r="G503" s="1">
        <v>374370</v>
      </c>
    </row>
    <row r="504" spans="1:7" x14ac:dyDescent="0.3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3963</v>
      </c>
      <c r="D504" s="1" t="s">
        <v>2343</v>
      </c>
      <c r="E504" s="1" t="s">
        <v>3964</v>
      </c>
      <c r="F504" s="1" t="s">
        <v>112</v>
      </c>
      <c r="G504" s="1">
        <v>135619</v>
      </c>
    </row>
    <row r="505" spans="1:7" x14ac:dyDescent="0.3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3965</v>
      </c>
      <c r="D505" s="1" t="s">
        <v>1873</v>
      </c>
      <c r="E505" s="1" t="s">
        <v>3966</v>
      </c>
      <c r="F505" s="1" t="s">
        <v>112</v>
      </c>
      <c r="G505" s="1">
        <v>145310</v>
      </c>
    </row>
    <row r="506" spans="1:7" x14ac:dyDescent="0.3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3967</v>
      </c>
      <c r="D506" s="1" t="s">
        <v>3968</v>
      </c>
      <c r="E506" s="1" t="s">
        <v>3969</v>
      </c>
      <c r="F506" s="1" t="s">
        <v>112</v>
      </c>
      <c r="G506" s="1">
        <v>382417</v>
      </c>
    </row>
    <row r="507" spans="1:7" x14ac:dyDescent="0.3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3970</v>
      </c>
      <c r="D507" s="1" t="s">
        <v>3971</v>
      </c>
      <c r="E507" s="1" t="s">
        <v>3972</v>
      </c>
      <c r="F507" s="1" t="s">
        <v>112</v>
      </c>
      <c r="G507" s="1">
        <v>620605</v>
      </c>
    </row>
    <row r="508" spans="1:7" x14ac:dyDescent="0.3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3973</v>
      </c>
      <c r="D508" s="1" t="s">
        <v>3546</v>
      </c>
      <c r="E508" s="1" t="s">
        <v>3974</v>
      </c>
      <c r="F508" s="1" t="s">
        <v>112</v>
      </c>
      <c r="G508" s="1">
        <v>352957</v>
      </c>
    </row>
    <row r="509" spans="1:7" x14ac:dyDescent="0.3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3975</v>
      </c>
      <c r="D509" s="1" t="s">
        <v>3976</v>
      </c>
      <c r="E509" s="1" t="s">
        <v>3977</v>
      </c>
      <c r="F509" s="1" t="s">
        <v>112</v>
      </c>
      <c r="G509" s="1">
        <v>261051</v>
      </c>
    </row>
    <row r="510" spans="1:7" x14ac:dyDescent="0.3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3978</v>
      </c>
      <c r="D510" s="1" t="s">
        <v>2666</v>
      </c>
      <c r="E510" s="1" t="s">
        <v>3979</v>
      </c>
      <c r="F510" s="1" t="s">
        <v>112</v>
      </c>
      <c r="G510" s="1">
        <v>293583</v>
      </c>
    </row>
    <row r="511" spans="1:7" x14ac:dyDescent="0.3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3980</v>
      </c>
      <c r="D511" s="1" t="s">
        <v>3981</v>
      </c>
      <c r="E511" s="1" t="s">
        <v>3982</v>
      </c>
      <c r="F511" s="1" t="s">
        <v>112</v>
      </c>
      <c r="G511" s="1">
        <v>219890</v>
      </c>
    </row>
    <row r="512" spans="1:7" x14ac:dyDescent="0.3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3983</v>
      </c>
      <c r="D512" s="1" t="s">
        <v>2189</v>
      </c>
      <c r="E512" s="1" t="s">
        <v>3984</v>
      </c>
      <c r="F512" s="1" t="s">
        <v>112</v>
      </c>
      <c r="G512" s="1">
        <v>31255</v>
      </c>
    </row>
    <row r="513" spans="1:10" x14ac:dyDescent="0.3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3985</v>
      </c>
      <c r="D513" s="1" t="s">
        <v>1734</v>
      </c>
      <c r="E513" s="1" t="s">
        <v>3986</v>
      </c>
      <c r="F513" s="1" t="s">
        <v>112</v>
      </c>
      <c r="G513" s="1">
        <v>15033</v>
      </c>
    </row>
    <row r="514" spans="1:10" x14ac:dyDescent="0.3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3987</v>
      </c>
      <c r="D514" s="1" t="s">
        <v>1680</v>
      </c>
      <c r="E514" s="1" t="s">
        <v>3114</v>
      </c>
      <c r="F514" s="1" t="s">
        <v>112</v>
      </c>
      <c r="G514" s="1">
        <v>28681</v>
      </c>
    </row>
    <row r="515" spans="1:10" x14ac:dyDescent="0.3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3988</v>
      </c>
      <c r="D515" s="1" t="s">
        <v>1783</v>
      </c>
      <c r="E515" s="1" t="s">
        <v>3989</v>
      </c>
      <c r="F515" s="1" t="s">
        <v>112</v>
      </c>
      <c r="G515" s="1">
        <v>28314</v>
      </c>
    </row>
    <row r="516" spans="1:10" x14ac:dyDescent="0.3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3990</v>
      </c>
    </row>
    <row r="517" spans="1:10" x14ac:dyDescent="0.3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3991</v>
      </c>
      <c r="D517" s="1" t="s">
        <v>1658</v>
      </c>
      <c r="E517" s="1" t="s">
        <v>3992</v>
      </c>
      <c r="F517" s="1" t="s">
        <v>112</v>
      </c>
      <c r="G517" s="1">
        <v>49273</v>
      </c>
    </row>
    <row r="518" spans="1:10" x14ac:dyDescent="0.3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3993</v>
      </c>
      <c r="D518" s="1" t="s">
        <v>1700</v>
      </c>
      <c r="E518" s="1" t="s">
        <v>3994</v>
      </c>
      <c r="F518" s="1" t="s">
        <v>112</v>
      </c>
      <c r="G518" s="1">
        <v>40275</v>
      </c>
    </row>
    <row r="519" spans="1:10" x14ac:dyDescent="0.3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3995</v>
      </c>
      <c r="D519" s="1" t="s">
        <v>1658</v>
      </c>
      <c r="E519" s="1">
        <v>65</v>
      </c>
      <c r="F519" s="1" t="s">
        <v>112</v>
      </c>
      <c r="G519" s="1">
        <v>50614</v>
      </c>
    </row>
    <row r="520" spans="1:10" x14ac:dyDescent="0.3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3996</v>
      </c>
      <c r="D520" s="1" t="s">
        <v>3102</v>
      </c>
      <c r="E520" s="1" t="s">
        <v>3997</v>
      </c>
      <c r="F520" s="1" t="s">
        <v>112</v>
      </c>
      <c r="G520" s="1">
        <v>9777</v>
      </c>
    </row>
    <row r="521" spans="1:10"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227</v>
      </c>
      <c r="D522" s="1" t="s">
        <v>112</v>
      </c>
      <c r="E522" s="1" t="s">
        <v>228</v>
      </c>
      <c r="F522" s="1" t="s">
        <v>229</v>
      </c>
      <c r="G522" s="1" t="s">
        <v>230</v>
      </c>
      <c r="H522" s="1" t="s">
        <v>231</v>
      </c>
      <c r="I522" s="1" t="s">
        <v>232</v>
      </c>
      <c r="J522" s="1" t="s">
        <v>233</v>
      </c>
    </row>
    <row r="523" spans="1:10" x14ac:dyDescent="0.3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3998</v>
      </c>
      <c r="D523" s="1" t="s">
        <v>112</v>
      </c>
      <c r="E523" s="1" t="s">
        <v>3999</v>
      </c>
      <c r="F523" s="1" t="s">
        <v>4000</v>
      </c>
      <c r="G523" s="1" t="s">
        <v>4001</v>
      </c>
      <c r="H523" s="1" t="s">
        <v>4002</v>
      </c>
      <c r="I523" s="1">
        <v>24</v>
      </c>
      <c r="J523" s="1">
        <v>24</v>
      </c>
    </row>
    <row r="524" spans="1:10"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239</v>
      </c>
      <c r="D529" s="1" t="s">
        <v>110</v>
      </c>
      <c r="E529" s="1" t="s">
        <v>111</v>
      </c>
      <c r="F529" s="1" t="s">
        <v>112</v>
      </c>
      <c r="G529" s="1" t="s">
        <v>113</v>
      </c>
    </row>
    <row r="530" spans="1:7" x14ac:dyDescent="0.35">
      <c r="A530" s="1" t="str">
        <f t="shared" si="8"/>
        <v>05 Anastrozole 0.032 µg_L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4003</v>
      </c>
      <c r="D530" s="1" t="s">
        <v>4004</v>
      </c>
      <c r="E530" s="1" t="s">
        <v>4005</v>
      </c>
      <c r="F530" s="1" t="s">
        <v>112</v>
      </c>
      <c r="G530" s="1">
        <v>2255695</v>
      </c>
    </row>
    <row r="531" spans="1:7" x14ac:dyDescent="0.35">
      <c r="A531" s="1" t="str">
        <f t="shared" si="8"/>
        <v>05 Anastrozole 0.032 µg_L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4006</v>
      </c>
      <c r="D531" s="1" t="s">
        <v>4007</v>
      </c>
      <c r="E531" s="1" t="s">
        <v>4008</v>
      </c>
      <c r="F531" s="1" t="s">
        <v>112</v>
      </c>
      <c r="G531" s="1">
        <v>1759873</v>
      </c>
    </row>
    <row r="532" spans="1:7" x14ac:dyDescent="0.35">
      <c r="A532" s="1" t="str">
        <f t="shared" si="8"/>
        <v>05 Anastrozole 0.032 µg_L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4009</v>
      </c>
      <c r="D532" s="1" t="s">
        <v>4010</v>
      </c>
      <c r="E532" s="1" t="s">
        <v>4011</v>
      </c>
      <c r="F532" s="1" t="s">
        <v>112</v>
      </c>
      <c r="G532" s="1">
        <v>1927743</v>
      </c>
    </row>
    <row r="533" spans="1:7" x14ac:dyDescent="0.35">
      <c r="A533" s="1" t="str">
        <f t="shared" si="8"/>
        <v>05 Anastrozole 0.032 µg_L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4012</v>
      </c>
      <c r="D533" s="1" t="s">
        <v>4013</v>
      </c>
      <c r="E533" s="1" t="s">
        <v>4014</v>
      </c>
      <c r="F533" s="1" t="s">
        <v>112</v>
      </c>
      <c r="G533" s="1">
        <v>3546091</v>
      </c>
    </row>
    <row r="534" spans="1:7" x14ac:dyDescent="0.35">
      <c r="A534" s="1" t="str">
        <f t="shared" si="8"/>
        <v>05 Anastrozole 0.032 µg_L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4015</v>
      </c>
      <c r="D534" s="1" t="s">
        <v>4016</v>
      </c>
      <c r="E534" s="1" t="s">
        <v>4017</v>
      </c>
      <c r="F534" s="1" t="s">
        <v>112</v>
      </c>
      <c r="G534" s="1">
        <v>3022670</v>
      </c>
    </row>
    <row r="535" spans="1:7" x14ac:dyDescent="0.35">
      <c r="A535" s="1" t="str">
        <f t="shared" si="8"/>
        <v>05 Anastrozole 0.032 µg_L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4018</v>
      </c>
      <c r="D535" s="1" t="s">
        <v>4019</v>
      </c>
      <c r="E535" s="1" t="s">
        <v>4020</v>
      </c>
      <c r="F535" s="1" t="s">
        <v>112</v>
      </c>
      <c r="G535" s="1">
        <v>3120783</v>
      </c>
    </row>
    <row r="536" spans="1:7" x14ac:dyDescent="0.35">
      <c r="A536" s="1" t="str">
        <f t="shared" si="8"/>
        <v>05 Anastrozole 0.032 µg_L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4021</v>
      </c>
      <c r="D536" s="1" t="s">
        <v>4022</v>
      </c>
      <c r="E536" s="1" t="s">
        <v>4023</v>
      </c>
      <c r="F536" s="1" t="s">
        <v>112</v>
      </c>
      <c r="G536" s="1">
        <v>3681084</v>
      </c>
    </row>
    <row r="537" spans="1:7" x14ac:dyDescent="0.35">
      <c r="A537" s="1" t="str">
        <f t="shared" si="8"/>
        <v>05 Anastrozole 0.032 µg_L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4024</v>
      </c>
      <c r="D537" s="1" t="s">
        <v>3370</v>
      </c>
      <c r="E537" s="1" t="s">
        <v>4025</v>
      </c>
      <c r="F537" s="1" t="s">
        <v>112</v>
      </c>
      <c r="G537" s="1">
        <v>3269359</v>
      </c>
    </row>
    <row r="538" spans="1:7" x14ac:dyDescent="0.35">
      <c r="A538" s="1" t="str">
        <f t="shared" si="8"/>
        <v>05 Anastrozole 0.032 µg_L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4026</v>
      </c>
      <c r="D538" s="1" t="s">
        <v>4027</v>
      </c>
      <c r="E538" s="1" t="s">
        <v>4028</v>
      </c>
      <c r="F538" s="1" t="s">
        <v>112</v>
      </c>
      <c r="G538" s="1">
        <v>3536942</v>
      </c>
    </row>
    <row r="539" spans="1:7" x14ac:dyDescent="0.35">
      <c r="A539" s="1" t="str">
        <f t="shared" si="8"/>
        <v>05 Anastrozole 0.032 µg_L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4029</v>
      </c>
      <c r="D539" s="1" t="s">
        <v>4030</v>
      </c>
      <c r="E539" s="1" t="s">
        <v>4031</v>
      </c>
      <c r="F539" s="1" t="s">
        <v>112</v>
      </c>
      <c r="G539" s="1">
        <v>4302013</v>
      </c>
    </row>
    <row r="540" spans="1:7" x14ac:dyDescent="0.35">
      <c r="A540" s="1" t="str">
        <f t="shared" si="8"/>
        <v>05 Anastrozole 0.032 µg_L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4032</v>
      </c>
      <c r="D540" s="1" t="s">
        <v>4033</v>
      </c>
      <c r="E540" s="1" t="s">
        <v>4034</v>
      </c>
      <c r="F540" s="1" t="s">
        <v>112</v>
      </c>
      <c r="G540" s="1">
        <v>4261998</v>
      </c>
    </row>
    <row r="541" spans="1:7" x14ac:dyDescent="0.35">
      <c r="A541" s="1" t="str">
        <f t="shared" si="8"/>
        <v>05 Anastrozole 0.032 µg_L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4035</v>
      </c>
      <c r="D541" s="1" t="s">
        <v>4036</v>
      </c>
      <c r="E541" s="1" t="s">
        <v>4037</v>
      </c>
      <c r="F541" s="1" t="s">
        <v>112</v>
      </c>
      <c r="G541" s="1">
        <v>3729015</v>
      </c>
    </row>
    <row r="542" spans="1:7" x14ac:dyDescent="0.35">
      <c r="A542" s="1" t="str">
        <f t="shared" si="8"/>
        <v>05 Anastrozole 0.032 µg_L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4038</v>
      </c>
      <c r="D542" s="1" t="s">
        <v>4039</v>
      </c>
      <c r="E542" s="1" t="s">
        <v>4040</v>
      </c>
      <c r="F542" s="1" t="s">
        <v>112</v>
      </c>
      <c r="G542" s="1">
        <v>785879</v>
      </c>
    </row>
    <row r="543" spans="1:7" x14ac:dyDescent="0.35">
      <c r="A543" s="1" t="str">
        <f t="shared" si="8"/>
        <v>05 Anastrozole 0.032 µg_L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4041</v>
      </c>
      <c r="D543" s="1" t="s">
        <v>4042</v>
      </c>
      <c r="E543" s="1" t="s">
        <v>4043</v>
      </c>
      <c r="F543" s="1" t="s">
        <v>112</v>
      </c>
      <c r="G543" s="1">
        <v>591967</v>
      </c>
    </row>
    <row r="544" spans="1:7" x14ac:dyDescent="0.35">
      <c r="A544" s="1" t="str">
        <f t="shared" si="8"/>
        <v>05 Anastrozole 0.032 µg_L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4044</v>
      </c>
      <c r="D544" s="1" t="s">
        <v>4045</v>
      </c>
      <c r="E544" s="1" t="s">
        <v>4046</v>
      </c>
      <c r="F544" s="1" t="s">
        <v>112</v>
      </c>
      <c r="G544" s="1">
        <v>1024543</v>
      </c>
    </row>
    <row r="545" spans="1:10" x14ac:dyDescent="0.35">
      <c r="A545" s="1" t="str">
        <f t="shared" si="8"/>
        <v>05 Anastrozole 0.032 µg_L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4047</v>
      </c>
      <c r="D545" s="1" t="s">
        <v>4048</v>
      </c>
      <c r="E545" s="1" t="s">
        <v>4049</v>
      </c>
      <c r="F545" s="1" t="s">
        <v>112</v>
      </c>
      <c r="G545" s="1">
        <v>1093391</v>
      </c>
    </row>
    <row r="546" spans="1:10" x14ac:dyDescent="0.35">
      <c r="A546" s="1" t="str">
        <f t="shared" si="8"/>
        <v>05 Anastrozole 0.032 µg_L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4050</v>
      </c>
      <c r="D546" s="1" t="s">
        <v>4051</v>
      </c>
      <c r="E546" s="1" t="s">
        <v>4052</v>
      </c>
      <c r="F546" s="1" t="s">
        <v>112</v>
      </c>
      <c r="G546" s="1">
        <v>1259206</v>
      </c>
    </row>
    <row r="547" spans="1:10" x14ac:dyDescent="0.35">
      <c r="A547" s="1" t="str">
        <f t="shared" si="8"/>
        <v>05 Anastrozole 0.032 µg_L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4053</v>
      </c>
      <c r="D547" s="1" t="s">
        <v>4054</v>
      </c>
      <c r="E547" s="1" t="s">
        <v>4055</v>
      </c>
      <c r="F547" s="1" t="s">
        <v>112</v>
      </c>
      <c r="G547" s="1">
        <v>1122721</v>
      </c>
    </row>
    <row r="548" spans="1:10" x14ac:dyDescent="0.35">
      <c r="A548" s="1" t="str">
        <f t="shared" si="8"/>
        <v>05 Anastrozole 0.032 µg_L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4056</v>
      </c>
      <c r="D548" s="1" t="s">
        <v>4057</v>
      </c>
      <c r="E548" s="1" t="s">
        <v>4058</v>
      </c>
      <c r="F548" s="1" t="s">
        <v>112</v>
      </c>
      <c r="G548" s="1">
        <v>1367939</v>
      </c>
    </row>
    <row r="549" spans="1:10" x14ac:dyDescent="0.35">
      <c r="A549" s="1" t="str">
        <f t="shared" si="8"/>
        <v>05 Anastrozole 0.032 µg_L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4059</v>
      </c>
      <c r="D549" s="1" t="s">
        <v>4060</v>
      </c>
      <c r="E549" s="1" t="s">
        <v>4061</v>
      </c>
      <c r="F549" s="1" t="s">
        <v>112</v>
      </c>
      <c r="G549" s="1">
        <v>1238160</v>
      </c>
    </row>
    <row r="550" spans="1:10" x14ac:dyDescent="0.35">
      <c r="A550" s="1" t="str">
        <f t="shared" si="8"/>
        <v>05 Anastrozole 0.032 µg_L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4062</v>
      </c>
      <c r="D550" s="1" t="s">
        <v>4063</v>
      </c>
      <c r="E550" s="1" t="s">
        <v>4064</v>
      </c>
      <c r="F550" s="1" t="s">
        <v>112</v>
      </c>
      <c r="G550" s="1">
        <v>1028199</v>
      </c>
    </row>
    <row r="551" spans="1:10" x14ac:dyDescent="0.35">
      <c r="A551" s="1" t="str">
        <f t="shared" si="8"/>
        <v>05 Anastrozole 0.032 µg_L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4065</v>
      </c>
      <c r="D551" s="1" t="s">
        <v>4066</v>
      </c>
      <c r="E551" s="1" t="s">
        <v>4067</v>
      </c>
      <c r="F551" s="1" t="s">
        <v>112</v>
      </c>
      <c r="G551" s="1">
        <v>531036</v>
      </c>
    </row>
    <row r="552" spans="1:10" x14ac:dyDescent="0.35">
      <c r="A552" s="1" t="str">
        <f t="shared" si="8"/>
        <v>05 Anastrozole 0.032 µg_L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4068</v>
      </c>
      <c r="D552" s="1" t="s">
        <v>2753</v>
      </c>
      <c r="E552" s="1" t="s">
        <v>4069</v>
      </c>
      <c r="F552" s="1" t="s">
        <v>112</v>
      </c>
      <c r="G552" s="1">
        <v>512780</v>
      </c>
    </row>
    <row r="553" spans="1:10" x14ac:dyDescent="0.35">
      <c r="A553" s="1" t="str">
        <f t="shared" si="8"/>
        <v>05 Anastrozole 0.032 µg_L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4070</v>
      </c>
      <c r="D553" s="1" t="s">
        <v>1887</v>
      </c>
      <c r="E553" s="1" t="s">
        <v>4071</v>
      </c>
      <c r="F553" s="1" t="s">
        <v>112</v>
      </c>
      <c r="G553" s="1">
        <v>522924</v>
      </c>
    </row>
    <row r="554" spans="1:10"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227</v>
      </c>
      <c r="D555" s="1" t="s">
        <v>112</v>
      </c>
      <c r="E555" s="1" t="s">
        <v>228</v>
      </c>
      <c r="F555" s="1" t="s">
        <v>229</v>
      </c>
      <c r="G555" s="1" t="s">
        <v>230</v>
      </c>
      <c r="H555" s="1" t="s">
        <v>231</v>
      </c>
      <c r="I555" s="1" t="s">
        <v>232</v>
      </c>
      <c r="J555" s="1" t="s">
        <v>233</v>
      </c>
    </row>
    <row r="556" spans="1:10" x14ac:dyDescent="0.35">
      <c r="A556" s="1" t="str">
        <f t="shared" si="8"/>
        <v>05 Anastrozole 0.032 µg_L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4072</v>
      </c>
      <c r="D556" s="1" t="s">
        <v>112</v>
      </c>
      <c r="E556" s="1" t="s">
        <v>4073</v>
      </c>
      <c r="F556" s="1" t="s">
        <v>4074</v>
      </c>
      <c r="G556" s="1" t="s">
        <v>4075</v>
      </c>
      <c r="H556" s="1" t="s">
        <v>4076</v>
      </c>
      <c r="I556" s="1">
        <v>24</v>
      </c>
      <c r="J556" s="1">
        <v>24</v>
      </c>
    </row>
    <row r="557" spans="1:10"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239</v>
      </c>
      <c r="D562" s="1" t="s">
        <v>110</v>
      </c>
      <c r="E562" s="1" t="s">
        <v>111</v>
      </c>
      <c r="F562" s="1" t="s">
        <v>112</v>
      </c>
      <c r="G562" s="1" t="s">
        <v>113</v>
      </c>
    </row>
    <row r="563" spans="1:7" x14ac:dyDescent="0.35">
      <c r="A563" s="1" t="str">
        <f t="shared" si="8"/>
        <v>06 Anastrozole 0.16 µg_L 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4077</v>
      </c>
      <c r="D563" s="1" t="s">
        <v>4078</v>
      </c>
      <c r="E563" s="1" t="s">
        <v>4079</v>
      </c>
      <c r="F563" s="1" t="s">
        <v>112</v>
      </c>
      <c r="G563" s="1">
        <v>950634</v>
      </c>
    </row>
    <row r="564" spans="1:7" x14ac:dyDescent="0.35">
      <c r="A564" s="1" t="str">
        <f t="shared" si="8"/>
        <v>06 Anastrozole 0.16 µg_L 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4080</v>
      </c>
      <c r="D564" s="1" t="s">
        <v>3201</v>
      </c>
      <c r="E564" s="1" t="s">
        <v>4081</v>
      </c>
      <c r="F564" s="1" t="s">
        <v>112</v>
      </c>
      <c r="G564" s="1">
        <v>710520</v>
      </c>
    </row>
    <row r="565" spans="1:7" x14ac:dyDescent="0.35">
      <c r="A565" s="1" t="str">
        <f t="shared" si="8"/>
        <v>06 Anastrozole 0.16 µg_L 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4082</v>
      </c>
      <c r="D565" s="1" t="s">
        <v>2274</v>
      </c>
      <c r="E565" s="1" t="s">
        <v>4083</v>
      </c>
      <c r="F565" s="1" t="s">
        <v>112</v>
      </c>
      <c r="G565" s="1">
        <v>407767</v>
      </c>
    </row>
    <row r="566" spans="1:7" x14ac:dyDescent="0.35">
      <c r="A566" s="1" t="str">
        <f t="shared" si="8"/>
        <v>06 Anastrozole 0.16 µg_L 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4084</v>
      </c>
      <c r="D566" s="1" t="s">
        <v>4085</v>
      </c>
      <c r="E566" s="1" t="s">
        <v>4086</v>
      </c>
      <c r="F566" s="1" t="s">
        <v>112</v>
      </c>
      <c r="G566" s="1">
        <v>1318515</v>
      </c>
    </row>
    <row r="567" spans="1:7" x14ac:dyDescent="0.35">
      <c r="A567" s="1" t="str">
        <f t="shared" si="8"/>
        <v>06 Anastrozole 0.16 µg_L 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4087</v>
      </c>
      <c r="D567" s="1" t="s">
        <v>4088</v>
      </c>
      <c r="E567" s="1" t="s">
        <v>4089</v>
      </c>
      <c r="F567" s="1" t="s">
        <v>112</v>
      </c>
      <c r="G567" s="1">
        <v>1398091</v>
      </c>
    </row>
    <row r="568" spans="1:7" x14ac:dyDescent="0.35">
      <c r="A568" s="1" t="str">
        <f t="shared" si="8"/>
        <v>06 Anastrozole 0.16 µg_L 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4090</v>
      </c>
      <c r="D568" s="1" t="s">
        <v>4091</v>
      </c>
      <c r="E568" s="1" t="s">
        <v>4092</v>
      </c>
      <c r="F568" s="1" t="s">
        <v>112</v>
      </c>
      <c r="G568" s="1">
        <v>1268507</v>
      </c>
    </row>
    <row r="569" spans="1:7" x14ac:dyDescent="0.35">
      <c r="A569" s="1" t="str">
        <f t="shared" si="8"/>
        <v>06 Anastrozole 0.16 µg_L 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4093</v>
      </c>
      <c r="D569" s="1" t="s">
        <v>4094</v>
      </c>
      <c r="E569" s="1" t="s">
        <v>4095</v>
      </c>
      <c r="F569" s="1" t="s">
        <v>112</v>
      </c>
      <c r="G569" s="1">
        <v>1121099</v>
      </c>
    </row>
    <row r="570" spans="1:7" x14ac:dyDescent="0.35">
      <c r="A570" s="1" t="str">
        <f t="shared" si="8"/>
        <v>06 Anastrozole 0.16 µg_L 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4096</v>
      </c>
      <c r="D570" s="1" t="s">
        <v>4097</v>
      </c>
      <c r="E570" s="1" t="s">
        <v>4098</v>
      </c>
      <c r="F570" s="1" t="s">
        <v>112</v>
      </c>
      <c r="G570" s="1">
        <v>620432</v>
      </c>
    </row>
    <row r="571" spans="1:7" x14ac:dyDescent="0.35">
      <c r="A571" s="1" t="str">
        <f t="shared" si="8"/>
        <v>06 Anastrozole 0.16 µg_L 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4099</v>
      </c>
      <c r="D571" s="1" t="s">
        <v>4100</v>
      </c>
      <c r="E571" s="1" t="s">
        <v>4101</v>
      </c>
      <c r="F571" s="1" t="s">
        <v>112</v>
      </c>
      <c r="G571" s="1">
        <v>948298</v>
      </c>
    </row>
    <row r="572" spans="1:7" x14ac:dyDescent="0.35">
      <c r="A572" s="1" t="str">
        <f t="shared" si="8"/>
        <v>06 Anastrozole 0.16 µg_L 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4102</v>
      </c>
      <c r="D572" s="1" t="s">
        <v>2598</v>
      </c>
      <c r="E572" s="1" t="s">
        <v>4103</v>
      </c>
      <c r="F572" s="1" t="s">
        <v>112</v>
      </c>
      <c r="G572" s="1">
        <v>1054392</v>
      </c>
    </row>
    <row r="573" spans="1:7" x14ac:dyDescent="0.35">
      <c r="A573" s="1" t="str">
        <f t="shared" si="8"/>
        <v>06 Anastrozole 0.16 µg_L 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4104</v>
      </c>
      <c r="D573" s="1" t="s">
        <v>3814</v>
      </c>
      <c r="E573" s="1" t="s">
        <v>4105</v>
      </c>
      <c r="F573" s="1" t="s">
        <v>112</v>
      </c>
      <c r="G573" s="1">
        <v>892406</v>
      </c>
    </row>
    <row r="574" spans="1:7" x14ac:dyDescent="0.35">
      <c r="A574" s="1" t="str">
        <f t="shared" si="8"/>
        <v>06 Anastrozole 0.16 µg_L 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4106</v>
      </c>
      <c r="D574" s="1" t="s">
        <v>4107</v>
      </c>
      <c r="E574" s="1" t="s">
        <v>4108</v>
      </c>
      <c r="F574" s="1" t="s">
        <v>112</v>
      </c>
      <c r="G574" s="1">
        <v>826348</v>
      </c>
    </row>
    <row r="575" spans="1:7" x14ac:dyDescent="0.35">
      <c r="A575" s="1" t="str">
        <f t="shared" si="8"/>
        <v>06 Anastrozole 0.16 µg_L 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4109</v>
      </c>
      <c r="D575" s="1" t="s">
        <v>4110</v>
      </c>
      <c r="E575" s="1" t="s">
        <v>4111</v>
      </c>
      <c r="F575" s="1" t="s">
        <v>112</v>
      </c>
      <c r="G575" s="1">
        <v>2671054</v>
      </c>
    </row>
    <row r="576" spans="1:7" x14ac:dyDescent="0.35">
      <c r="A576" s="1" t="str">
        <f t="shared" si="8"/>
        <v>06 Anastrozole 0.16 µg_L 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4112</v>
      </c>
      <c r="D576" s="1" t="s">
        <v>4113</v>
      </c>
      <c r="E576" s="1" t="s">
        <v>4114</v>
      </c>
      <c r="F576" s="1" t="s">
        <v>112</v>
      </c>
      <c r="G576" s="1">
        <v>2673433</v>
      </c>
    </row>
    <row r="577" spans="1:10" x14ac:dyDescent="0.35">
      <c r="A577" s="1" t="str">
        <f t="shared" si="8"/>
        <v>06 Anastrozole 0.16 µg_L 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4115</v>
      </c>
      <c r="D577" s="1" t="s">
        <v>4116</v>
      </c>
      <c r="E577" s="1" t="s">
        <v>4117</v>
      </c>
      <c r="F577" s="1" t="s">
        <v>112</v>
      </c>
      <c r="G577" s="1">
        <v>2252883</v>
      </c>
    </row>
    <row r="578" spans="1:10" x14ac:dyDescent="0.35">
      <c r="A578" s="1" t="str">
        <f t="shared" ref="A578:A641" si="9">IFERROR(LEFT(RIGHT(C578,LEN(C578)-SEARCH("@",C578)),SEARCH("/",RIGHT(C578,LEN(C578)-SEARCH("@",C578)-1))),"")</f>
        <v>06 Anastrozole 0.16 µg_L 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4118</v>
      </c>
      <c r="D578" s="1" t="s">
        <v>2656</v>
      </c>
      <c r="E578" s="1" t="s">
        <v>4119</v>
      </c>
      <c r="F578" s="1" t="s">
        <v>112</v>
      </c>
      <c r="G578" s="1">
        <v>447068</v>
      </c>
    </row>
    <row r="579" spans="1:10" x14ac:dyDescent="0.35">
      <c r="A579" s="1" t="str">
        <f t="shared" si="9"/>
        <v>06 Anastrozole 0.16 µg_L 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4120</v>
      </c>
      <c r="D579" s="1" t="s">
        <v>2228</v>
      </c>
      <c r="E579" s="1" t="s">
        <v>4121</v>
      </c>
      <c r="F579" s="1" t="s">
        <v>112</v>
      </c>
      <c r="G579" s="1">
        <v>295897</v>
      </c>
    </row>
    <row r="580" spans="1:10" x14ac:dyDescent="0.35">
      <c r="A580" s="1" t="str">
        <f t="shared" si="9"/>
        <v>06 Anastrozole 0.16 µg_L 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4122</v>
      </c>
      <c r="D580" s="1" t="s">
        <v>4123</v>
      </c>
      <c r="E580" s="1" t="s">
        <v>4124</v>
      </c>
      <c r="F580" s="1" t="s">
        <v>112</v>
      </c>
      <c r="G580" s="1">
        <v>328818</v>
      </c>
    </row>
    <row r="581" spans="1:10" x14ac:dyDescent="0.35">
      <c r="A581" s="1" t="str">
        <f t="shared" si="9"/>
        <v>06 Anastrozole 0.16 µg_L 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4125</v>
      </c>
      <c r="D581" s="1" t="s">
        <v>2857</v>
      </c>
      <c r="E581" s="1" t="s">
        <v>4126</v>
      </c>
      <c r="F581" s="1" t="s">
        <v>112</v>
      </c>
      <c r="G581" s="1">
        <v>255947</v>
      </c>
    </row>
    <row r="582" spans="1:10" x14ac:dyDescent="0.35">
      <c r="A582" s="1" t="str">
        <f t="shared" si="9"/>
        <v>06 Anastrozole 0.16 µg_L 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4127</v>
      </c>
      <c r="D582" s="1" t="s">
        <v>4128</v>
      </c>
      <c r="E582" s="1" t="s">
        <v>4129</v>
      </c>
      <c r="F582" s="1" t="s">
        <v>112</v>
      </c>
      <c r="G582" s="1">
        <v>384190</v>
      </c>
    </row>
    <row r="583" spans="1:10" x14ac:dyDescent="0.35">
      <c r="A583" s="1" t="str">
        <f t="shared" si="9"/>
        <v>06 Anastrozole 0.16 µg_L 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4130</v>
      </c>
      <c r="D583" s="1" t="s">
        <v>1694</v>
      </c>
      <c r="E583" s="1" t="s">
        <v>2160</v>
      </c>
      <c r="F583" s="1" t="s">
        <v>112</v>
      </c>
      <c r="G583" s="1">
        <v>309394</v>
      </c>
    </row>
    <row r="584" spans="1:10" x14ac:dyDescent="0.35">
      <c r="A584" s="1" t="str">
        <f t="shared" si="9"/>
        <v>06 Anastrozole 0.16 µg_L 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4131</v>
      </c>
      <c r="D584" s="1" t="s">
        <v>4132</v>
      </c>
      <c r="E584" s="1" t="s">
        <v>4133</v>
      </c>
      <c r="F584" s="1" t="s">
        <v>112</v>
      </c>
      <c r="G584" s="1">
        <v>1386346</v>
      </c>
    </row>
    <row r="585" spans="1:10" x14ac:dyDescent="0.35">
      <c r="A585" s="1" t="str">
        <f t="shared" si="9"/>
        <v>06 Anastrozole 0.16 µg_L 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4134</v>
      </c>
      <c r="D585" s="1" t="s">
        <v>4051</v>
      </c>
      <c r="E585" s="1" t="s">
        <v>4135</v>
      </c>
      <c r="F585" s="1" t="s">
        <v>112</v>
      </c>
      <c r="G585" s="1">
        <v>1293446</v>
      </c>
    </row>
    <row r="586" spans="1:10" x14ac:dyDescent="0.35">
      <c r="A586" s="1" t="str">
        <f t="shared" si="9"/>
        <v>06 Anastrozole 0.16 µg_L 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4136</v>
      </c>
      <c r="D586" s="1" t="s">
        <v>3742</v>
      </c>
      <c r="E586" s="1" t="s">
        <v>4137</v>
      </c>
      <c r="F586" s="1" t="s">
        <v>112</v>
      </c>
      <c r="G586" s="1">
        <v>1308133</v>
      </c>
    </row>
    <row r="587" spans="1:10"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227</v>
      </c>
      <c r="D588" s="1" t="s">
        <v>112</v>
      </c>
      <c r="E588" s="1" t="s">
        <v>228</v>
      </c>
      <c r="F588" s="1" t="s">
        <v>229</v>
      </c>
      <c r="G588" s="1" t="s">
        <v>230</v>
      </c>
      <c r="H588" s="1" t="s">
        <v>231</v>
      </c>
      <c r="I588" s="1" t="s">
        <v>232</v>
      </c>
      <c r="J588" s="1" t="s">
        <v>233</v>
      </c>
    </row>
    <row r="589" spans="1:10" x14ac:dyDescent="0.35">
      <c r="A589" s="1" t="str">
        <f t="shared" si="9"/>
        <v>06 Anastrozole 0.16 µg_L 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4138</v>
      </c>
      <c r="D589" s="1" t="s">
        <v>112</v>
      </c>
      <c r="E589" s="1" t="s">
        <v>4139</v>
      </c>
      <c r="F589" s="1" t="s">
        <v>4140</v>
      </c>
      <c r="G589" s="1" t="s">
        <v>4141</v>
      </c>
      <c r="H589" s="1" t="s">
        <v>4142</v>
      </c>
      <c r="I589" s="1">
        <v>24</v>
      </c>
      <c r="J589" s="1">
        <v>24</v>
      </c>
    </row>
    <row r="590" spans="1:10"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239</v>
      </c>
      <c r="D595" s="1" t="s">
        <v>110</v>
      </c>
      <c r="E595" s="1" t="s">
        <v>111</v>
      </c>
      <c r="F595" s="1" t="s">
        <v>112</v>
      </c>
      <c r="G595" s="1" t="s">
        <v>113</v>
      </c>
    </row>
    <row r="596" spans="1:7" x14ac:dyDescent="0.35">
      <c r="A596" s="1" t="str">
        <f t="shared" si="9"/>
        <v>07  Anastrozole 0.8 µg_L 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4143</v>
      </c>
      <c r="D596" s="1" t="s">
        <v>1646</v>
      </c>
      <c r="E596" s="1" t="s">
        <v>4144</v>
      </c>
      <c r="F596" s="1" t="s">
        <v>112</v>
      </c>
      <c r="G596" s="1">
        <v>25783</v>
      </c>
    </row>
    <row r="597" spans="1:7" x14ac:dyDescent="0.35">
      <c r="A597" s="1" t="str">
        <f t="shared" si="9"/>
        <v>07  Anastrozole 0.8 µg_L 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4145</v>
      </c>
      <c r="D597" s="1" t="s">
        <v>1766</v>
      </c>
      <c r="E597" s="1" t="s">
        <v>4146</v>
      </c>
      <c r="F597" s="1" t="s">
        <v>112</v>
      </c>
      <c r="G597" s="1">
        <v>56714</v>
      </c>
    </row>
    <row r="598" spans="1:7" x14ac:dyDescent="0.35">
      <c r="A598" s="1" t="str">
        <f t="shared" si="9"/>
        <v>07  Anastrozole 0.8 µg_L 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4147</v>
      </c>
      <c r="D598" s="1" t="s">
        <v>4148</v>
      </c>
      <c r="E598" s="1" t="s">
        <v>4149</v>
      </c>
      <c r="F598" s="1" t="s">
        <v>112</v>
      </c>
      <c r="G598" s="1">
        <v>38415</v>
      </c>
    </row>
    <row r="599" spans="1:7" x14ac:dyDescent="0.35">
      <c r="A599" s="1" t="str">
        <f t="shared" si="9"/>
        <v>07  Anastrozole 0.8 µg_L 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4150</v>
      </c>
      <c r="D599" s="1" t="s">
        <v>2366</v>
      </c>
      <c r="E599" s="1" t="s">
        <v>4151</v>
      </c>
      <c r="F599" s="1" t="s">
        <v>112</v>
      </c>
      <c r="G599" s="1">
        <v>203126</v>
      </c>
    </row>
    <row r="600" spans="1:7" x14ac:dyDescent="0.35">
      <c r="A600" s="1" t="str">
        <f t="shared" si="9"/>
        <v>07  Anastrozole 0.8 µg_L 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4152</v>
      </c>
      <c r="D600" s="1" t="s">
        <v>4153</v>
      </c>
      <c r="E600" s="1" t="s">
        <v>4154</v>
      </c>
      <c r="F600" s="1" t="s">
        <v>112</v>
      </c>
      <c r="G600" s="1">
        <v>463118</v>
      </c>
    </row>
    <row r="601" spans="1:7" x14ac:dyDescent="0.35">
      <c r="A601" s="1" t="str">
        <f t="shared" si="9"/>
        <v>07  Anastrozole 0.8 µg_L 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4155</v>
      </c>
      <c r="D601" s="1" t="s">
        <v>4156</v>
      </c>
      <c r="E601" s="1" t="s">
        <v>1708</v>
      </c>
      <c r="F601" s="1" t="s">
        <v>112</v>
      </c>
      <c r="G601" s="1">
        <v>108669</v>
      </c>
    </row>
    <row r="602" spans="1:7" x14ac:dyDescent="0.35">
      <c r="A602" s="1" t="str">
        <f t="shared" si="9"/>
        <v>07  Anastrozole 0.8 µg_L 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4157</v>
      </c>
      <c r="D602" s="1" t="s">
        <v>2156</v>
      </c>
      <c r="E602" s="1" t="s">
        <v>4158</v>
      </c>
      <c r="F602" s="1" t="s">
        <v>112</v>
      </c>
      <c r="G602" s="1">
        <v>150003</v>
      </c>
    </row>
    <row r="603" spans="1:7" x14ac:dyDescent="0.35">
      <c r="A603" s="1" t="str">
        <f t="shared" si="9"/>
        <v>07  Anastrozole 0.8 µg_L 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4159</v>
      </c>
      <c r="D603" s="1" t="s">
        <v>4160</v>
      </c>
      <c r="E603" s="1" t="s">
        <v>4161</v>
      </c>
      <c r="F603" s="1" t="s">
        <v>112</v>
      </c>
      <c r="G603" s="1">
        <v>271736</v>
      </c>
    </row>
    <row r="604" spans="1:7" x14ac:dyDescent="0.35">
      <c r="A604" s="1" t="str">
        <f t="shared" si="9"/>
        <v>07  Anastrozole 0.8 µg_L 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4162</v>
      </c>
      <c r="D604" s="1" t="s">
        <v>2337</v>
      </c>
      <c r="E604" s="1" t="s">
        <v>4163</v>
      </c>
      <c r="F604" s="1" t="s">
        <v>112</v>
      </c>
      <c r="G604" s="1">
        <v>147732</v>
      </c>
    </row>
    <row r="605" spans="1:7" x14ac:dyDescent="0.35">
      <c r="A605" s="1" t="str">
        <f t="shared" si="9"/>
        <v>07  Anastrozole 0.8 µg_L 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4164</v>
      </c>
      <c r="D605" s="1" t="s">
        <v>3706</v>
      </c>
      <c r="E605" s="1" t="s">
        <v>4165</v>
      </c>
      <c r="F605" s="1" t="s">
        <v>112</v>
      </c>
      <c r="G605" s="1">
        <v>304095</v>
      </c>
    </row>
    <row r="606" spans="1:7" x14ac:dyDescent="0.35">
      <c r="A606" s="1" t="str">
        <f t="shared" si="9"/>
        <v>07  Anastrozole 0.8 µg_L 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4166</v>
      </c>
      <c r="D606" s="1" t="s">
        <v>3546</v>
      </c>
      <c r="E606" s="1" t="s">
        <v>4167</v>
      </c>
      <c r="F606" s="1" t="s">
        <v>112</v>
      </c>
      <c r="G606" s="1">
        <v>345559</v>
      </c>
    </row>
    <row r="607" spans="1:7" x14ac:dyDescent="0.35">
      <c r="A607" s="1" t="str">
        <f t="shared" si="9"/>
        <v>07  Anastrozole 0.8 µg_L 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4168</v>
      </c>
      <c r="D607" s="1" t="s">
        <v>3546</v>
      </c>
      <c r="E607" s="1" t="s">
        <v>4169</v>
      </c>
      <c r="F607" s="1" t="s">
        <v>112</v>
      </c>
      <c r="G607" s="1">
        <v>359164</v>
      </c>
    </row>
    <row r="608" spans="1:7" x14ac:dyDescent="0.35">
      <c r="A608" s="1" t="str">
        <f t="shared" si="9"/>
        <v>07  Anastrozole 0.8 µg_L 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4170</v>
      </c>
      <c r="D608" s="1" t="s">
        <v>4171</v>
      </c>
      <c r="E608" s="1" t="s">
        <v>4172</v>
      </c>
      <c r="F608" s="1" t="s">
        <v>112</v>
      </c>
      <c r="G608" s="1">
        <v>202066</v>
      </c>
    </row>
    <row r="609" spans="1:10" x14ac:dyDescent="0.35">
      <c r="A609" s="1" t="str">
        <f t="shared" si="9"/>
        <v>07  Anastrozole 0.8 µg_L 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4173</v>
      </c>
      <c r="D609" s="1" t="s">
        <v>1664</v>
      </c>
      <c r="E609" s="1" t="s">
        <v>4174</v>
      </c>
      <c r="F609" s="1" t="s">
        <v>112</v>
      </c>
      <c r="G609" s="1">
        <v>137198</v>
      </c>
    </row>
    <row r="610" spans="1:10" x14ac:dyDescent="0.35">
      <c r="A610" s="1" t="str">
        <f t="shared" si="9"/>
        <v>07  Anastrozole 0.8 µg_L 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4175</v>
      </c>
      <c r="D610" s="1" t="s">
        <v>4176</v>
      </c>
      <c r="E610" s="1" t="s">
        <v>4177</v>
      </c>
      <c r="F610" s="1" t="s">
        <v>112</v>
      </c>
      <c r="G610" s="1">
        <v>186471</v>
      </c>
    </row>
    <row r="611" spans="1:10" x14ac:dyDescent="0.35">
      <c r="A611" s="1" t="str">
        <f t="shared" si="9"/>
        <v>07  Anastrozole 0.8 µg_L 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4178</v>
      </c>
      <c r="D611" s="1" t="s">
        <v>4179</v>
      </c>
      <c r="E611" s="1" t="s">
        <v>4180</v>
      </c>
      <c r="F611" s="1" t="s">
        <v>112</v>
      </c>
      <c r="G611" s="1">
        <v>516630</v>
      </c>
    </row>
    <row r="612" spans="1:10" x14ac:dyDescent="0.35">
      <c r="A612" s="1" t="str">
        <f t="shared" si="9"/>
        <v>07  Anastrozole 0.8 µg_L 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4181</v>
      </c>
      <c r="D612" s="1" t="s">
        <v>3546</v>
      </c>
      <c r="E612" s="1" t="s">
        <v>4182</v>
      </c>
      <c r="F612" s="1" t="s">
        <v>112</v>
      </c>
      <c r="G612" s="1">
        <v>340325</v>
      </c>
    </row>
    <row r="613" spans="1:10" x14ac:dyDescent="0.35">
      <c r="A613" s="1" t="str">
        <f t="shared" si="9"/>
        <v>07  Anastrozole 0.8 µg_L 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4183</v>
      </c>
      <c r="D613" s="1" t="s">
        <v>4184</v>
      </c>
      <c r="E613" s="1" t="s">
        <v>4185</v>
      </c>
      <c r="F613" s="1" t="s">
        <v>112</v>
      </c>
      <c r="G613" s="1">
        <v>435777</v>
      </c>
    </row>
    <row r="614" spans="1:10" x14ac:dyDescent="0.35">
      <c r="A614" s="1" t="str">
        <f t="shared" si="9"/>
        <v>07  Anastrozole 0.8 µg_L 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4186</v>
      </c>
      <c r="D614" s="1" t="s">
        <v>1643</v>
      </c>
      <c r="E614" s="1" t="s">
        <v>4187</v>
      </c>
      <c r="F614" s="1" t="s">
        <v>112</v>
      </c>
      <c r="G614" s="1">
        <v>71011</v>
      </c>
    </row>
    <row r="615" spans="1:10" x14ac:dyDescent="0.35">
      <c r="A615" s="1" t="str">
        <f t="shared" si="9"/>
        <v>07  Anastrozole 0.8 µg_L 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4188</v>
      </c>
      <c r="D615" s="1" t="s">
        <v>2123</v>
      </c>
      <c r="E615" s="1" t="s">
        <v>4189</v>
      </c>
      <c r="F615" s="1" t="s">
        <v>112</v>
      </c>
      <c r="G615" s="1">
        <v>52344</v>
      </c>
    </row>
    <row r="616" spans="1:10" x14ac:dyDescent="0.35">
      <c r="A616" s="1" t="str">
        <f t="shared" si="9"/>
        <v>07  Anastrozole 0.8 µg_L 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4190</v>
      </c>
      <c r="D616" s="1" t="s">
        <v>1655</v>
      </c>
      <c r="E616" s="1" t="s">
        <v>4191</v>
      </c>
      <c r="F616" s="1" t="s">
        <v>112</v>
      </c>
      <c r="G616" s="1">
        <v>41811</v>
      </c>
    </row>
    <row r="617" spans="1:10" x14ac:dyDescent="0.35">
      <c r="A617" s="1" t="str">
        <f t="shared" si="9"/>
        <v>07  Anastrozole 0.8 µg_L 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4192</v>
      </c>
      <c r="D617" s="1" t="s">
        <v>2305</v>
      </c>
      <c r="E617" s="1" t="s">
        <v>4193</v>
      </c>
      <c r="F617" s="1" t="s">
        <v>112</v>
      </c>
      <c r="G617" s="1">
        <v>103218</v>
      </c>
    </row>
    <row r="618" spans="1:10" x14ac:dyDescent="0.35">
      <c r="A618" s="1" t="str">
        <f t="shared" si="9"/>
        <v>07  Anastrozole 0.8 µg_L 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4194</v>
      </c>
      <c r="D618" s="1" t="s">
        <v>2319</v>
      </c>
      <c r="E618" s="1" t="s">
        <v>4195</v>
      </c>
      <c r="F618" s="1" t="s">
        <v>112</v>
      </c>
      <c r="G618" s="1">
        <v>61883</v>
      </c>
    </row>
    <row r="619" spans="1:10" x14ac:dyDescent="0.35">
      <c r="A619" s="1" t="str">
        <f t="shared" si="9"/>
        <v>07  Anastrozole 0.8 µg_L 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4196</v>
      </c>
      <c r="D619" s="1" t="s">
        <v>1763</v>
      </c>
      <c r="E619" s="1" t="s">
        <v>4197</v>
      </c>
      <c r="F619" s="1" t="s">
        <v>112</v>
      </c>
      <c r="G619" s="1">
        <v>195058</v>
      </c>
    </row>
    <row r="620" spans="1:10"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227</v>
      </c>
      <c r="D621" s="1" t="s">
        <v>112</v>
      </c>
      <c r="E621" s="1" t="s">
        <v>228</v>
      </c>
      <c r="F621" s="1" t="s">
        <v>229</v>
      </c>
      <c r="G621" s="1" t="s">
        <v>230</v>
      </c>
      <c r="H621" s="1" t="s">
        <v>231</v>
      </c>
      <c r="I621" s="1" t="s">
        <v>232</v>
      </c>
      <c r="J621" s="1" t="s">
        <v>233</v>
      </c>
    </row>
    <row r="622" spans="1:10" x14ac:dyDescent="0.35">
      <c r="A622" s="1" t="str">
        <f t="shared" si="9"/>
        <v>07  Anastrozole 0.8 µg_L 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4198</v>
      </c>
      <c r="D622" s="1" t="s">
        <v>112</v>
      </c>
      <c r="E622" s="1" t="s">
        <v>4199</v>
      </c>
      <c r="F622" s="1" t="s">
        <v>4200</v>
      </c>
      <c r="G622" s="1" t="s">
        <v>4201</v>
      </c>
      <c r="H622" s="1" t="s">
        <v>4202</v>
      </c>
      <c r="I622" s="1">
        <v>24</v>
      </c>
      <c r="J622" s="1">
        <v>24</v>
      </c>
    </row>
    <row r="623" spans="1:10"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239</v>
      </c>
      <c r="D628" s="1" t="s">
        <v>110</v>
      </c>
      <c r="E628" s="1" t="s">
        <v>111</v>
      </c>
      <c r="F628" s="1" t="s">
        <v>112</v>
      </c>
      <c r="G628" s="1" t="s">
        <v>113</v>
      </c>
    </row>
    <row r="629" spans="1:7" x14ac:dyDescent="0.35">
      <c r="A629" s="1" t="str">
        <f t="shared" si="9"/>
        <v>08 Anastrozole 20 µg_L 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4203</v>
      </c>
      <c r="D629" s="1" t="s">
        <v>1870</v>
      </c>
      <c r="E629" s="1" t="s">
        <v>4204</v>
      </c>
      <c r="F629" s="1" t="s">
        <v>112</v>
      </c>
      <c r="G629" s="1">
        <v>205527</v>
      </c>
    </row>
    <row r="630" spans="1:7" x14ac:dyDescent="0.35">
      <c r="A630" s="1" t="str">
        <f t="shared" si="9"/>
        <v>08 Anastrozole 20 µg_L 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4205</v>
      </c>
      <c r="D630" s="1" t="s">
        <v>2107</v>
      </c>
      <c r="E630" s="1" t="s">
        <v>4206</v>
      </c>
      <c r="F630" s="1" t="s">
        <v>112</v>
      </c>
      <c r="G630" s="1">
        <v>27751</v>
      </c>
    </row>
    <row r="631" spans="1:7" x14ac:dyDescent="0.35">
      <c r="A631" s="1" t="str">
        <f t="shared" si="9"/>
        <v>08 Anastrozole 20 µg_L 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4207</v>
      </c>
      <c r="D631" s="1" t="s">
        <v>2689</v>
      </c>
      <c r="E631" s="1" t="s">
        <v>4208</v>
      </c>
      <c r="F631" s="1" t="s">
        <v>112</v>
      </c>
      <c r="G631" s="1">
        <v>12156</v>
      </c>
    </row>
    <row r="632" spans="1:7" x14ac:dyDescent="0.35">
      <c r="A632" s="1" t="str">
        <f t="shared" si="9"/>
        <v>08 Anastrozole 20 µg_L 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4209</v>
      </c>
      <c r="D632" s="1" t="s">
        <v>4210</v>
      </c>
      <c r="E632" s="1" t="s">
        <v>4211</v>
      </c>
      <c r="F632" s="1" t="s">
        <v>112</v>
      </c>
      <c r="G632" s="1">
        <v>367146</v>
      </c>
    </row>
    <row r="633" spans="1:7" x14ac:dyDescent="0.35">
      <c r="A633" s="1" t="str">
        <f t="shared" si="9"/>
        <v>08 Anastrozole 20 µg_L 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4212</v>
      </c>
      <c r="D633" s="1" t="s">
        <v>2114</v>
      </c>
      <c r="E633" s="1">
        <v>67</v>
      </c>
      <c r="F633" s="1" t="s">
        <v>112</v>
      </c>
      <c r="G633" s="1">
        <v>8695</v>
      </c>
    </row>
    <row r="634" spans="1:7" x14ac:dyDescent="0.35">
      <c r="A634" s="1" t="str">
        <f t="shared" si="9"/>
        <v>08 Anastrozole 20 µg_L 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4213</v>
      </c>
      <c r="D634" s="1" t="s">
        <v>3777</v>
      </c>
      <c r="E634" s="1" t="s">
        <v>4214</v>
      </c>
      <c r="F634" s="1" t="s">
        <v>112</v>
      </c>
      <c r="G634" s="1">
        <v>446117</v>
      </c>
    </row>
    <row r="635" spans="1:7" x14ac:dyDescent="0.35">
      <c r="A635" s="1" t="str">
        <f t="shared" si="9"/>
        <v>08 Anastrozole 20 µg_L 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4215</v>
      </c>
      <c r="D635" s="1" t="s">
        <v>2274</v>
      </c>
      <c r="E635" s="1" t="s">
        <v>4216</v>
      </c>
      <c r="F635" s="1" t="s">
        <v>112</v>
      </c>
      <c r="G635" s="1">
        <v>441466</v>
      </c>
    </row>
    <row r="636" spans="1:7" x14ac:dyDescent="0.35">
      <c r="A636" s="1" t="str">
        <f t="shared" si="9"/>
        <v>08 Anastrozole 20 µg_L 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4217</v>
      </c>
      <c r="D636" s="1" t="s">
        <v>2976</v>
      </c>
      <c r="E636" s="1" t="s">
        <v>4218</v>
      </c>
      <c r="F636" s="1" t="s">
        <v>112</v>
      </c>
      <c r="G636" s="1">
        <v>238621</v>
      </c>
    </row>
    <row r="637" spans="1:7" x14ac:dyDescent="0.35">
      <c r="A637" s="1" t="str">
        <f t="shared" si="9"/>
        <v>08 Anastrozole 20 µg_L 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4219</v>
      </c>
      <c r="D637" s="1" t="s">
        <v>4220</v>
      </c>
      <c r="E637" s="1" t="s">
        <v>4221</v>
      </c>
      <c r="F637" s="1" t="s">
        <v>112</v>
      </c>
      <c r="G637" s="1">
        <v>271671</v>
      </c>
    </row>
    <row r="638" spans="1:7" x14ac:dyDescent="0.35">
      <c r="A638" s="1" t="str">
        <f t="shared" si="9"/>
        <v>08 Anastrozole 20 µg_L 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4222</v>
      </c>
      <c r="D638" s="1" t="s">
        <v>4223</v>
      </c>
      <c r="E638" s="1" t="s">
        <v>4224</v>
      </c>
      <c r="F638" s="1" t="s">
        <v>112</v>
      </c>
      <c r="G638" s="1">
        <v>308334</v>
      </c>
    </row>
    <row r="639" spans="1:7" x14ac:dyDescent="0.35">
      <c r="A639" s="1" t="str">
        <f t="shared" si="9"/>
        <v>08 Anastrozole 20 µg_L 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4225</v>
      </c>
      <c r="D639" s="1" t="s">
        <v>2162</v>
      </c>
      <c r="E639" s="1" t="s">
        <v>4226</v>
      </c>
      <c r="F639" s="1" t="s">
        <v>112</v>
      </c>
      <c r="G639" s="1">
        <v>167999</v>
      </c>
    </row>
    <row r="640" spans="1:7" x14ac:dyDescent="0.35">
      <c r="A640" s="1" t="str">
        <f t="shared" si="9"/>
        <v>08 Anastrozole 20 µg_L 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4227</v>
      </c>
      <c r="D640" s="1" t="s">
        <v>4228</v>
      </c>
      <c r="E640" s="1" t="s">
        <v>4229</v>
      </c>
      <c r="F640" s="1" t="s">
        <v>112</v>
      </c>
      <c r="G640" s="1">
        <v>244072</v>
      </c>
    </row>
    <row r="641" spans="1:10" x14ac:dyDescent="0.35">
      <c r="A641" s="1" t="str">
        <f t="shared" si="9"/>
        <v>08 Anastrozole 20 µg_L 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4230</v>
      </c>
      <c r="D641" s="1" t="s">
        <v>3177</v>
      </c>
      <c r="E641" s="1" t="s">
        <v>4231</v>
      </c>
      <c r="F641" s="1" t="s">
        <v>112</v>
      </c>
      <c r="G641" s="1">
        <v>421394</v>
      </c>
    </row>
    <row r="642" spans="1:10" x14ac:dyDescent="0.35">
      <c r="A642" s="1" t="str">
        <f t="shared" ref="A642:A705" si="10">IFERROR(LEFT(RIGHT(C642,LEN(C642)-SEARCH("@",C642)),SEARCH("/",RIGHT(C642,LEN(C642)-SEARCH("@",C642)-1))),"")</f>
        <v>08 Anastrozole 20 µg_L 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4232</v>
      </c>
      <c r="D642" s="1" t="s">
        <v>1720</v>
      </c>
      <c r="E642" s="1" t="s">
        <v>4233</v>
      </c>
      <c r="F642" s="1" t="s">
        <v>112</v>
      </c>
      <c r="G642" s="1">
        <v>40794</v>
      </c>
    </row>
    <row r="643" spans="1:10" x14ac:dyDescent="0.35">
      <c r="A643" s="1" t="str">
        <f t="shared" si="10"/>
        <v>08 Anastrozole 20 µg_L 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4234</v>
      </c>
      <c r="D643" s="1" t="s">
        <v>3671</v>
      </c>
      <c r="E643" s="1" t="s">
        <v>4235</v>
      </c>
      <c r="F643" s="1" t="s">
        <v>112</v>
      </c>
      <c r="G643" s="1">
        <v>246300</v>
      </c>
    </row>
    <row r="644" spans="1:10" x14ac:dyDescent="0.35">
      <c r="A644" s="1" t="str">
        <f t="shared" si="10"/>
        <v>08 Anastrozole 20 µg_L 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4236</v>
      </c>
      <c r="D644" s="1" t="s">
        <v>4237</v>
      </c>
      <c r="E644" s="1" t="s">
        <v>4238</v>
      </c>
      <c r="F644" s="1" t="s">
        <v>112</v>
      </c>
      <c r="G644" s="1">
        <v>142628</v>
      </c>
    </row>
    <row r="645" spans="1:10" x14ac:dyDescent="0.35">
      <c r="A645" s="1" t="str">
        <f t="shared" si="10"/>
        <v>08 Anastrozole 20 µg_L 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4239</v>
      </c>
      <c r="D645" s="1" t="s">
        <v>2268</v>
      </c>
      <c r="E645" s="1" t="s">
        <v>4240</v>
      </c>
      <c r="F645" s="1" t="s">
        <v>112</v>
      </c>
      <c r="G645" s="1">
        <v>46353</v>
      </c>
    </row>
    <row r="646" spans="1:10" x14ac:dyDescent="0.35">
      <c r="A646" s="1" t="str">
        <f t="shared" si="10"/>
        <v>08 Anastrozole 20 µg_L 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4241</v>
      </c>
      <c r="D646" s="1" t="s">
        <v>2247</v>
      </c>
      <c r="E646" s="1" t="s">
        <v>4242</v>
      </c>
      <c r="F646" s="1" t="s">
        <v>112</v>
      </c>
      <c r="G646" s="1">
        <v>75250</v>
      </c>
    </row>
    <row r="647" spans="1:10" x14ac:dyDescent="0.35">
      <c r="A647" s="1" t="str">
        <f t="shared" si="10"/>
        <v>08 Anastrozole 20 µg_L 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4243</v>
      </c>
      <c r="D647" s="1" t="s">
        <v>2162</v>
      </c>
      <c r="E647" s="1" t="s">
        <v>4244</v>
      </c>
      <c r="F647" s="1" t="s">
        <v>112</v>
      </c>
      <c r="G647" s="1">
        <v>167718</v>
      </c>
    </row>
    <row r="648" spans="1:10" x14ac:dyDescent="0.35">
      <c r="A648" s="1" t="str">
        <f t="shared" si="10"/>
        <v>08 Anastrozole 20 µg_L 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4245</v>
      </c>
      <c r="D648" s="1" t="s">
        <v>1706</v>
      </c>
      <c r="E648" s="1" t="s">
        <v>4246</v>
      </c>
      <c r="F648" s="1" t="s">
        <v>112</v>
      </c>
      <c r="G648" s="1">
        <v>17607</v>
      </c>
    </row>
    <row r="649" spans="1:10" x14ac:dyDescent="0.35">
      <c r="A649" s="1" t="str">
        <f t="shared" si="10"/>
        <v>08 Anastrozole 20 µg_L 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4247</v>
      </c>
      <c r="D649" s="1" t="s">
        <v>2189</v>
      </c>
      <c r="E649" s="1" t="s">
        <v>4248</v>
      </c>
      <c r="F649" s="1" t="s">
        <v>112</v>
      </c>
      <c r="G649" s="1">
        <v>31969</v>
      </c>
    </row>
    <row r="650" spans="1:10" x14ac:dyDescent="0.35">
      <c r="A650" s="1" t="str">
        <f t="shared" si="10"/>
        <v>08 Anastrozole 20 µg_L 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4249</v>
      </c>
      <c r="D650" s="1" t="s">
        <v>1987</v>
      </c>
      <c r="E650" s="1">
        <v>63</v>
      </c>
      <c r="F650" s="1" t="s">
        <v>112</v>
      </c>
      <c r="G650" s="1">
        <v>5451</v>
      </c>
    </row>
    <row r="651" spans="1:10" x14ac:dyDescent="0.35">
      <c r="A651" s="1" t="str">
        <f t="shared" si="10"/>
        <v>08 Anastrozole 20 µg_L 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4250</v>
      </c>
      <c r="D651" s="1" t="s">
        <v>2114</v>
      </c>
      <c r="E651" s="1" t="s">
        <v>1326</v>
      </c>
      <c r="F651" s="1" t="s">
        <v>112</v>
      </c>
      <c r="G651" s="1">
        <v>8219</v>
      </c>
    </row>
    <row r="652" spans="1:10" x14ac:dyDescent="0.35">
      <c r="A652" s="1" t="str">
        <f t="shared" si="10"/>
        <v>08 Anastrozole 20 µg_L 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4251</v>
      </c>
    </row>
    <row r="653" spans="1:10"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227</v>
      </c>
      <c r="D654" s="1" t="s">
        <v>112</v>
      </c>
      <c r="E654" s="1" t="s">
        <v>228</v>
      </c>
      <c r="F654" s="1" t="s">
        <v>229</v>
      </c>
      <c r="G654" s="1" t="s">
        <v>230</v>
      </c>
      <c r="H654" s="1" t="s">
        <v>231</v>
      </c>
      <c r="I654" s="1" t="s">
        <v>232</v>
      </c>
      <c r="J654" s="1" t="s">
        <v>233</v>
      </c>
    </row>
    <row r="655" spans="1:10" x14ac:dyDescent="0.35">
      <c r="A655" s="1" t="str">
        <f t="shared" si="10"/>
        <v>08 Anastrozole 20 µg_L 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4252</v>
      </c>
      <c r="D655" s="1" t="s">
        <v>112</v>
      </c>
      <c r="E655" s="1" t="s">
        <v>4253</v>
      </c>
      <c r="F655" s="1" t="s">
        <v>4254</v>
      </c>
      <c r="G655" s="1" t="s">
        <v>4255</v>
      </c>
      <c r="H655" s="1" t="s">
        <v>4256</v>
      </c>
      <c r="I655" s="1">
        <v>24</v>
      </c>
      <c r="J655" s="1">
        <v>24</v>
      </c>
    </row>
    <row r="656" spans="1:10"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239</v>
      </c>
      <c r="D661" s="1" t="s">
        <v>110</v>
      </c>
      <c r="E661" s="1" t="s">
        <v>111</v>
      </c>
      <c r="F661" s="1" t="s">
        <v>112</v>
      </c>
      <c r="G661" s="1" t="s">
        <v>113</v>
      </c>
    </row>
    <row r="662" spans="1:7" x14ac:dyDescent="0.35">
      <c r="A662" s="1" t="str">
        <f t="shared" si="10"/>
        <v>09  Anastrozole 4 µg_L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4257</v>
      </c>
      <c r="D662" s="1" t="s">
        <v>2288</v>
      </c>
      <c r="E662" s="1" t="s">
        <v>4258</v>
      </c>
      <c r="F662" s="1" t="s">
        <v>112</v>
      </c>
      <c r="G662" s="1">
        <v>171763</v>
      </c>
    </row>
    <row r="663" spans="1:7" x14ac:dyDescent="0.35">
      <c r="A663" s="1" t="str">
        <f t="shared" si="10"/>
        <v>09  Anastrozole 4 µg_L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4259</v>
      </c>
      <c r="D663" s="1" t="s">
        <v>3706</v>
      </c>
      <c r="E663" s="1" t="s">
        <v>4260</v>
      </c>
      <c r="F663" s="1" t="s">
        <v>112</v>
      </c>
      <c r="G663" s="1">
        <v>304938</v>
      </c>
    </row>
    <row r="664" spans="1:7" x14ac:dyDescent="0.35">
      <c r="A664" s="1" t="str">
        <f t="shared" si="10"/>
        <v>09  Anastrozole 4 µg_L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4261</v>
      </c>
      <c r="D664" s="1" t="s">
        <v>2288</v>
      </c>
      <c r="E664" s="1" t="s">
        <v>4262</v>
      </c>
      <c r="F664" s="1" t="s">
        <v>112</v>
      </c>
      <c r="G664" s="1">
        <v>171330</v>
      </c>
    </row>
    <row r="665" spans="1:7" x14ac:dyDescent="0.35">
      <c r="A665" s="1" t="str">
        <f t="shared" si="10"/>
        <v>09  Anastrozole 4 µg_L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4263</v>
      </c>
    </row>
    <row r="666" spans="1:7" x14ac:dyDescent="0.35">
      <c r="A666" s="1" t="str">
        <f t="shared" si="10"/>
        <v>09  Anastrozole 4 µg_L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4264</v>
      </c>
      <c r="D666" s="1" t="s">
        <v>2854</v>
      </c>
      <c r="E666" s="1" t="s">
        <v>4265</v>
      </c>
      <c r="F666" s="1" t="s">
        <v>112</v>
      </c>
      <c r="G666" s="1">
        <v>356850</v>
      </c>
    </row>
    <row r="667" spans="1:7" x14ac:dyDescent="0.35">
      <c r="A667" s="1" t="str">
        <f t="shared" si="10"/>
        <v>09  Anastrozole 4 µg_L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4266</v>
      </c>
      <c r="D667" s="1" t="s">
        <v>1804</v>
      </c>
      <c r="E667" s="1" t="s">
        <v>4267</v>
      </c>
      <c r="F667" s="1" t="s">
        <v>112</v>
      </c>
      <c r="G667" s="1">
        <v>613381</v>
      </c>
    </row>
    <row r="668" spans="1:7" x14ac:dyDescent="0.35">
      <c r="A668" s="1" t="str">
        <f t="shared" si="10"/>
        <v>09  Anastrozole 4 µg_L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4268</v>
      </c>
      <c r="D668" s="1" t="s">
        <v>2374</v>
      </c>
      <c r="E668" s="1" t="s">
        <v>4269</v>
      </c>
      <c r="F668" s="1" t="s">
        <v>112</v>
      </c>
      <c r="G668" s="1">
        <v>23382</v>
      </c>
    </row>
    <row r="669" spans="1:7" x14ac:dyDescent="0.35">
      <c r="A669" s="1" t="str">
        <f t="shared" si="10"/>
        <v>09  Anastrozole 4 µg_L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4270</v>
      </c>
      <c r="D669" s="1" t="s">
        <v>2189</v>
      </c>
      <c r="E669" s="1" t="s">
        <v>3984</v>
      </c>
      <c r="F669" s="1" t="s">
        <v>112</v>
      </c>
      <c r="G669" s="1">
        <v>31255</v>
      </c>
    </row>
    <row r="670" spans="1:7" x14ac:dyDescent="0.35">
      <c r="A670" s="1" t="str">
        <f t="shared" si="10"/>
        <v>09  Anastrozole 4 µg_L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4271</v>
      </c>
      <c r="D670" s="1" t="s">
        <v>1680</v>
      </c>
      <c r="E670" s="1" t="s">
        <v>4272</v>
      </c>
      <c r="F670" s="1" t="s">
        <v>112</v>
      </c>
      <c r="G670" s="1">
        <v>27708</v>
      </c>
    </row>
    <row r="671" spans="1:7" x14ac:dyDescent="0.35">
      <c r="A671" s="1" t="str">
        <f t="shared" si="10"/>
        <v>09  Anastrozole 4 µg_L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4273</v>
      </c>
      <c r="D671" s="1" t="s">
        <v>3189</v>
      </c>
      <c r="E671" s="1" t="s">
        <v>3783</v>
      </c>
      <c r="F671" s="1" t="s">
        <v>112</v>
      </c>
      <c r="G671" s="1">
        <v>151366</v>
      </c>
    </row>
    <row r="672" spans="1:7" x14ac:dyDescent="0.35">
      <c r="A672" s="1" t="str">
        <f t="shared" si="10"/>
        <v>09  Anastrozole 4 µg_L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4274</v>
      </c>
      <c r="D672" s="1" t="s">
        <v>2349</v>
      </c>
      <c r="E672" s="1" t="s">
        <v>4275</v>
      </c>
      <c r="F672" s="1" t="s">
        <v>112</v>
      </c>
      <c r="G672" s="1">
        <v>10945</v>
      </c>
    </row>
    <row r="673" spans="1:10" x14ac:dyDescent="0.35">
      <c r="A673" s="1" t="str">
        <f t="shared" si="10"/>
        <v>09  Anastrozole 4 µg_L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4276</v>
      </c>
      <c r="D673" s="1" t="s">
        <v>4171</v>
      </c>
      <c r="E673" s="1" t="s">
        <v>4277</v>
      </c>
      <c r="F673" s="1" t="s">
        <v>112</v>
      </c>
      <c r="G673" s="1">
        <v>202045</v>
      </c>
    </row>
    <row r="674" spans="1:10" x14ac:dyDescent="0.35">
      <c r="A674" s="1" t="str">
        <f t="shared" si="10"/>
        <v>09  Anastrozole 4 µg_L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4278</v>
      </c>
    </row>
    <row r="675" spans="1:10" x14ac:dyDescent="0.35">
      <c r="A675" s="1" t="str">
        <f t="shared" si="10"/>
        <v>09  Anastrozole 4 µg_L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4279</v>
      </c>
      <c r="D675" s="1" t="s">
        <v>1610</v>
      </c>
      <c r="E675" s="1" t="s">
        <v>4149</v>
      </c>
      <c r="F675" s="1" t="s">
        <v>112</v>
      </c>
      <c r="G675" s="1">
        <v>19207</v>
      </c>
    </row>
    <row r="676" spans="1:10" x14ac:dyDescent="0.35">
      <c r="A676" s="1" t="str">
        <f t="shared" si="10"/>
        <v>09  Anastrozole 4 µg_L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4280</v>
      </c>
      <c r="D676" s="1" t="s">
        <v>1783</v>
      </c>
      <c r="E676" s="1" t="s">
        <v>4281</v>
      </c>
      <c r="F676" s="1" t="s">
        <v>112</v>
      </c>
      <c r="G676" s="1">
        <v>30174</v>
      </c>
    </row>
    <row r="677" spans="1:10" x14ac:dyDescent="0.35">
      <c r="A677" s="1" t="str">
        <f t="shared" si="10"/>
        <v>09  Anastrozole 4 µg_L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4282</v>
      </c>
      <c r="D677" s="1" t="s">
        <v>2849</v>
      </c>
      <c r="E677" s="1" t="s">
        <v>4283</v>
      </c>
      <c r="F677" s="1" t="s">
        <v>112</v>
      </c>
      <c r="G677" s="1">
        <v>118121</v>
      </c>
    </row>
    <row r="678" spans="1:10" x14ac:dyDescent="0.35">
      <c r="A678" s="1" t="str">
        <f t="shared" si="10"/>
        <v>09  Anastrozole 4 µg_L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4284</v>
      </c>
      <c r="D678" s="1" t="s">
        <v>4285</v>
      </c>
      <c r="E678" s="1" t="s">
        <v>4286</v>
      </c>
      <c r="F678" s="1" t="s">
        <v>112</v>
      </c>
      <c r="G678" s="1">
        <v>340217</v>
      </c>
    </row>
    <row r="679" spans="1:10" x14ac:dyDescent="0.35">
      <c r="A679" s="1" t="str">
        <f t="shared" si="10"/>
        <v>09  Anastrozole 4 µg_L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4287</v>
      </c>
      <c r="D679" s="1" t="s">
        <v>4288</v>
      </c>
      <c r="E679" s="1" t="s">
        <v>4289</v>
      </c>
      <c r="F679" s="1" t="s">
        <v>112</v>
      </c>
      <c r="G679" s="1">
        <v>266610</v>
      </c>
    </row>
    <row r="680" spans="1:10" x14ac:dyDescent="0.35">
      <c r="A680" s="1" t="str">
        <f t="shared" si="10"/>
        <v>09  Anastrozole 4 µg_L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4290</v>
      </c>
      <c r="D680" s="1" t="s">
        <v>1613</v>
      </c>
      <c r="E680" s="1" t="s">
        <v>2160</v>
      </c>
      <c r="F680" s="1" t="s">
        <v>112</v>
      </c>
      <c r="G680" s="1">
        <v>77349</v>
      </c>
    </row>
    <row r="681" spans="1:10" x14ac:dyDescent="0.35">
      <c r="A681" s="1" t="str">
        <f t="shared" si="10"/>
        <v>09  Anastrozole 4 µg_L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4291</v>
      </c>
      <c r="D681" s="1" t="s">
        <v>2268</v>
      </c>
      <c r="E681" s="1" t="s">
        <v>4292</v>
      </c>
      <c r="F681" s="1" t="s">
        <v>112</v>
      </c>
      <c r="G681" s="1">
        <v>45228</v>
      </c>
    </row>
    <row r="682" spans="1:10" x14ac:dyDescent="0.35">
      <c r="A682" s="1" t="str">
        <f t="shared" si="10"/>
        <v>09  Anastrozole 4 µg_L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4293</v>
      </c>
      <c r="D682" s="1" t="s">
        <v>1760</v>
      </c>
      <c r="E682" s="1" t="s">
        <v>4294</v>
      </c>
      <c r="F682" s="1" t="s">
        <v>112</v>
      </c>
      <c r="G682" s="1">
        <v>110334</v>
      </c>
    </row>
    <row r="683" spans="1:10" x14ac:dyDescent="0.35">
      <c r="A683" s="1" t="str">
        <f t="shared" si="10"/>
        <v>09  Anastrozole 4 µg_L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4295</v>
      </c>
      <c r="D683" s="1" t="s">
        <v>2313</v>
      </c>
      <c r="E683" s="1" t="s">
        <v>4296</v>
      </c>
      <c r="F683" s="1" t="s">
        <v>112</v>
      </c>
      <c r="G683" s="1">
        <v>110226</v>
      </c>
    </row>
    <row r="684" spans="1:10" x14ac:dyDescent="0.35">
      <c r="A684" s="1" t="str">
        <f t="shared" si="10"/>
        <v>09  Anastrozole 4 µg_L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4297</v>
      </c>
      <c r="D684" s="1" t="s">
        <v>2305</v>
      </c>
      <c r="E684" s="1" t="s">
        <v>4298</v>
      </c>
      <c r="F684" s="1" t="s">
        <v>112</v>
      </c>
      <c r="G684" s="1">
        <v>104408</v>
      </c>
    </row>
    <row r="685" spans="1:10" x14ac:dyDescent="0.35">
      <c r="A685" s="1" t="str">
        <f t="shared" si="10"/>
        <v>09  Anastrozole 4 µg_L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4299</v>
      </c>
      <c r="D685" s="1" t="s">
        <v>4300</v>
      </c>
      <c r="E685" s="1" t="s">
        <v>4301</v>
      </c>
      <c r="F685" s="1" t="s">
        <v>112</v>
      </c>
      <c r="G685" s="1">
        <v>64630</v>
      </c>
    </row>
    <row r="686" spans="1:10"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227</v>
      </c>
      <c r="D687" s="1" t="s">
        <v>112</v>
      </c>
      <c r="E687" s="1" t="s">
        <v>228</v>
      </c>
      <c r="F687" s="1" t="s">
        <v>229</v>
      </c>
      <c r="G687" s="1" t="s">
        <v>230</v>
      </c>
      <c r="H687" s="1" t="s">
        <v>231</v>
      </c>
      <c r="I687" s="1" t="s">
        <v>232</v>
      </c>
      <c r="J687" s="1" t="s">
        <v>233</v>
      </c>
    </row>
    <row r="688" spans="1:10" x14ac:dyDescent="0.35">
      <c r="A688" s="1" t="str">
        <f t="shared" si="10"/>
        <v>09  Anastrozole 4 µg_L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4302</v>
      </c>
      <c r="D688" s="1" t="s">
        <v>112</v>
      </c>
      <c r="E688" s="1" t="s">
        <v>4303</v>
      </c>
      <c r="F688" s="1" t="s">
        <v>4304</v>
      </c>
      <c r="G688" s="1" t="s">
        <v>4305</v>
      </c>
      <c r="H688" s="1" t="s">
        <v>4306</v>
      </c>
      <c r="I688" s="1">
        <v>24</v>
      </c>
      <c r="J688" s="1">
        <v>24</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 EO1:XFD10 M15:XFD18 K1:L4 K5 A689:XFD1048576 K19:XFD688 A2:B688 K11:K13 AH11:XFD14">
    <cfRule type="containsText" dxfId="26" priority="3" operator="containsText" text="ERREUR">
      <formula>NOT(ISERROR(SEARCH("ERREUR",A1)))</formula>
    </cfRule>
    <cfRule type="containsText" dxfId="25" priority="4" operator="containsText" text="OK">
      <formula>NOT(ISERROR(SEARCH("OK",A1)))</formula>
    </cfRule>
  </conditionalFormatting>
  <conditionalFormatting sqref="C2:J688">
    <cfRule type="containsText" dxfId="24" priority="1" operator="containsText" text="ERREUR">
      <formula>NOT(ISERROR(SEARCH("ERREUR",C2)))</formula>
    </cfRule>
    <cfRule type="containsText" dxfId="23" priority="2" operator="containsText" text="OK">
      <formula>NOT(ISERROR(SEARCH("OK",C2)))</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opLeftCell="U18" zoomScale="70" zoomScaleNormal="70" zoomScaleSheetLayoutView="40" zoomScalePageLayoutView="30" workbookViewId="0">
      <selection activeCell="P60" sqref="P60"/>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36" width="25.81640625" style="1" customWidth="1"/>
    <col min="37" max="37" width="25.81640625" style="1" bestFit="1" customWidth="1"/>
    <col min="38" max="16384" width="9.1796875" style="1"/>
  </cols>
  <sheetData>
    <row r="1" spans="1:37" ht="26.5" thickBot="1" x14ac:dyDescent="0.65">
      <c r="A1" s="222" t="s">
        <v>43</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4"/>
    </row>
    <row r="2" spans="1:37" ht="15" thickBot="1" x14ac:dyDescent="0.4"/>
    <row r="3" spans="1:37" ht="15" thickBot="1" x14ac:dyDescent="0.4">
      <c r="A3" s="158" t="s">
        <v>22</v>
      </c>
      <c r="B3" s="232" t="s">
        <v>6</v>
      </c>
      <c r="C3" s="233"/>
      <c r="D3" s="233"/>
      <c r="E3" s="233"/>
      <c r="F3" s="233"/>
      <c r="G3" s="233"/>
      <c r="H3" s="233"/>
      <c r="I3" s="233"/>
      <c r="J3" s="233"/>
      <c r="K3" s="233"/>
      <c r="L3" s="233"/>
      <c r="M3" s="233"/>
      <c r="O3" s="232" t="s">
        <v>3</v>
      </c>
      <c r="P3" s="233"/>
      <c r="Q3" s="233"/>
      <c r="R3" s="233"/>
      <c r="S3" s="233"/>
      <c r="T3" s="233"/>
      <c r="U3" s="233"/>
      <c r="V3" s="233"/>
      <c r="W3" s="233"/>
      <c r="X3" s="233"/>
      <c r="Y3" s="233"/>
      <c r="Z3" s="233"/>
      <c r="AA3" s="233"/>
      <c r="AB3" s="233"/>
      <c r="AC3" s="233"/>
      <c r="AD3" s="233"/>
      <c r="AE3" s="233"/>
      <c r="AF3" s="233"/>
      <c r="AG3" s="233"/>
      <c r="AH3" s="233"/>
      <c r="AI3" s="233"/>
      <c r="AJ3" s="233"/>
      <c r="AK3" s="234"/>
    </row>
    <row r="4" spans="1:37"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Anastrozole 0,032 ug/L</v>
      </c>
      <c r="J4" s="35" t="str">
        <f>'Page de garde'!A16</f>
        <v>Anastrozole 0,16 ug/L</v>
      </c>
      <c r="K4" s="35" t="str">
        <f>'Page de garde'!A17</f>
        <v>Anastrozole 0,8 ug/L</v>
      </c>
      <c r="L4" s="35" t="str">
        <f>'Page de garde'!A18</f>
        <v>Anastrozole 4 ug/L</v>
      </c>
      <c r="M4" s="35" t="str">
        <f>'Page de garde'!A19</f>
        <v>Anastrozole 20 ug/L</v>
      </c>
      <c r="N4" s="3"/>
      <c r="O4" s="36" t="str">
        <f>'Page de garde'!A36</f>
        <v>Testo -30µg/L</v>
      </c>
      <c r="P4" s="36" t="str">
        <f>'Page de garde'!A37</f>
        <v>Testo 30µg/L + EE2 -64ng/L</v>
      </c>
      <c r="Q4" s="36" t="str">
        <f>'Page de garde'!A38</f>
        <v>Testo 30µg/L + FAD-10mg/L</v>
      </c>
      <c r="R4" s="36" t="str">
        <f>'Page de garde'!A39</f>
        <v>Anastrozole-0,032ug/L + Testostérone</v>
      </c>
      <c r="S4" s="36" t="str">
        <f>'Page de garde'!A40</f>
        <v>Anastrozole-0,16ug/L + Testostérone</v>
      </c>
      <c r="T4" s="36" t="str">
        <f>'Page de garde'!A41</f>
        <v>Anastrozole-0,8ug/L + Testostérone</v>
      </c>
      <c r="U4" s="36" t="str">
        <f>'Page de garde'!A42</f>
        <v>Anastrozole-4ug/L + Testostérone</v>
      </c>
      <c r="V4" s="36" t="str">
        <f>'Page de garde'!A43</f>
        <v>Anastrozole-20ug/L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35">
      <c r="A5" s="235" t="s">
        <v>33</v>
      </c>
      <c r="B5" s="201">
        <v>124206.33333333333</v>
      </c>
      <c r="C5" s="201">
        <v>113723</v>
      </c>
      <c r="D5" s="201">
        <v>952833</v>
      </c>
      <c r="E5" s="201">
        <v>246898</v>
      </c>
      <c r="F5" s="201">
        <v>4816083.666666667</v>
      </c>
      <c r="G5" s="201">
        <v>2810242.3333333335</v>
      </c>
      <c r="H5" s="201">
        <v>2534490</v>
      </c>
      <c r="I5" s="201">
        <v>59266</v>
      </c>
      <c r="J5" s="201">
        <v>30548.333333333332</v>
      </c>
      <c r="K5" s="201">
        <v>100427.33333333333</v>
      </c>
      <c r="L5" s="201">
        <v>204359.33333333334</v>
      </c>
      <c r="M5" s="201">
        <v>76440</v>
      </c>
      <c r="N5" s="3"/>
      <c r="O5" s="201">
        <v>2781878.3333333335</v>
      </c>
      <c r="P5" s="201">
        <v>3473328.3333333335</v>
      </c>
      <c r="Q5" s="201">
        <v>146607.66666666666</v>
      </c>
      <c r="R5" s="201">
        <v>1981103.6666666667</v>
      </c>
      <c r="S5" s="201">
        <v>689640.33333333337</v>
      </c>
      <c r="T5" s="201">
        <v>40304</v>
      </c>
      <c r="U5" s="201">
        <v>81811.333333333328</v>
      </c>
      <c r="V5" s="201">
        <v>216010.33333333334</v>
      </c>
      <c r="W5" s="32"/>
      <c r="X5" s="32"/>
      <c r="Y5" s="32"/>
      <c r="Z5" s="32"/>
      <c r="AA5" s="32"/>
      <c r="AB5" s="32"/>
      <c r="AC5" s="32"/>
      <c r="AD5" s="32"/>
      <c r="AE5" s="32"/>
      <c r="AF5" s="32"/>
      <c r="AG5" s="32"/>
      <c r="AH5" s="32"/>
      <c r="AI5" s="32"/>
      <c r="AJ5" s="32"/>
      <c r="AK5" s="32"/>
    </row>
    <row r="6" spans="1:37" x14ac:dyDescent="0.35">
      <c r="A6" s="235"/>
      <c r="B6" s="201">
        <v>64132.666666666664</v>
      </c>
      <c r="C6" s="201">
        <v>58768.333333333336</v>
      </c>
      <c r="D6" s="201">
        <v>100593</v>
      </c>
      <c r="E6" s="201">
        <v>49099.666666666664</v>
      </c>
      <c r="F6" s="201">
        <v>408762</v>
      </c>
      <c r="G6" s="201">
        <v>2820884.5</v>
      </c>
      <c r="H6" s="201">
        <v>1931109.6666666667</v>
      </c>
      <c r="I6" s="201">
        <v>76288.333333333328</v>
      </c>
      <c r="J6" s="201">
        <v>415503</v>
      </c>
      <c r="K6" s="201">
        <v>660187.66666666663</v>
      </c>
      <c r="L6" s="201">
        <v>104177</v>
      </c>
      <c r="M6" s="201">
        <v>1075211</v>
      </c>
      <c r="N6" s="3"/>
      <c r="O6" s="201">
        <v>1226645.6666666667</v>
      </c>
      <c r="P6" s="201">
        <v>962155.33333333337</v>
      </c>
      <c r="Q6" s="201">
        <v>18306</v>
      </c>
      <c r="R6" s="201">
        <v>3229848</v>
      </c>
      <c r="S6" s="201">
        <v>1328371</v>
      </c>
      <c r="T6" s="201">
        <v>258304.33333333334</v>
      </c>
      <c r="U6" s="201">
        <v>273986</v>
      </c>
      <c r="V6" s="201">
        <v>485115.5</v>
      </c>
      <c r="W6" s="32"/>
      <c r="X6" s="32"/>
      <c r="Y6" s="32"/>
      <c r="Z6" s="32"/>
      <c r="AA6" s="32"/>
      <c r="AB6" s="32"/>
      <c r="AC6" s="32"/>
      <c r="AD6" s="32"/>
      <c r="AE6" s="32"/>
      <c r="AF6" s="32"/>
      <c r="AG6" s="32"/>
      <c r="AH6" s="32"/>
      <c r="AI6" s="32"/>
      <c r="AJ6" s="32"/>
      <c r="AK6" s="32"/>
    </row>
    <row r="7" spans="1:37" x14ac:dyDescent="0.35">
      <c r="A7" s="235"/>
      <c r="B7" s="201">
        <v>39373.333333333336</v>
      </c>
      <c r="C7" s="201">
        <v>74529.333333333328</v>
      </c>
      <c r="D7" s="201">
        <v>46374.333333333336</v>
      </c>
      <c r="E7" s="201">
        <v>904036</v>
      </c>
      <c r="F7" s="201">
        <v>545988.66666666663</v>
      </c>
      <c r="G7" s="201">
        <v>1753910.3333333333</v>
      </c>
      <c r="H7" s="201">
        <v>2723838</v>
      </c>
      <c r="I7" s="201">
        <v>251296</v>
      </c>
      <c r="J7" s="201">
        <v>218512.33333333334</v>
      </c>
      <c r="K7" s="201">
        <v>169016</v>
      </c>
      <c r="L7" s="201">
        <v>42135</v>
      </c>
      <c r="M7" s="201">
        <v>103938.66666666667</v>
      </c>
      <c r="N7" s="3"/>
      <c r="O7" s="201">
        <v>982855.33333333337</v>
      </c>
      <c r="P7" s="201">
        <v>3997327.3333333335</v>
      </c>
      <c r="Q7" s="201">
        <v>218433</v>
      </c>
      <c r="R7" s="201">
        <v>3495795</v>
      </c>
      <c r="S7" s="201">
        <v>896609.66666666663</v>
      </c>
      <c r="T7" s="201">
        <v>189823.66666666666</v>
      </c>
      <c r="U7" s="201">
        <v>317252.66666666669</v>
      </c>
      <c r="V7" s="201">
        <v>27448.333333333332</v>
      </c>
      <c r="W7" s="32"/>
      <c r="X7" s="32"/>
      <c r="Y7" s="32"/>
      <c r="Z7" s="32"/>
      <c r="AA7" s="32"/>
      <c r="AB7" s="32"/>
      <c r="AC7" s="32"/>
      <c r="AD7" s="32"/>
      <c r="AE7" s="32"/>
      <c r="AF7" s="32"/>
      <c r="AG7" s="32"/>
      <c r="AH7" s="32"/>
      <c r="AI7" s="32"/>
      <c r="AJ7" s="32"/>
      <c r="AK7" s="32"/>
    </row>
    <row r="8" spans="1:37" x14ac:dyDescent="0.35">
      <c r="A8" s="235"/>
      <c r="B8" s="201">
        <v>295226.66666666669</v>
      </c>
      <c r="C8" s="201">
        <v>248873.33333333334</v>
      </c>
      <c r="D8" s="201">
        <v>252824.66666666666</v>
      </c>
      <c r="E8" s="201">
        <v>1584159</v>
      </c>
      <c r="F8" s="201">
        <v>2798735.3333333335</v>
      </c>
      <c r="G8" s="201">
        <v>2914787</v>
      </c>
      <c r="H8" s="201">
        <v>8134866.333333333</v>
      </c>
      <c r="I8" s="201">
        <v>60751.333333333336</v>
      </c>
      <c r="J8" s="201">
        <v>238505.66666666666</v>
      </c>
      <c r="K8" s="201">
        <v>467076</v>
      </c>
      <c r="L8" s="201">
        <v>37254</v>
      </c>
      <c r="M8" s="201">
        <v>217430.66666666666</v>
      </c>
      <c r="N8" s="3"/>
      <c r="O8" s="201">
        <v>2096239.6666666667</v>
      </c>
      <c r="P8" s="201">
        <v>4040017.3333333335</v>
      </c>
      <c r="Q8" s="201">
        <v>451993</v>
      </c>
      <c r="R8" s="201">
        <v>4097675.3333333335</v>
      </c>
      <c r="S8" s="201">
        <v>924382</v>
      </c>
      <c r="T8" s="201">
        <v>336272.66666666669</v>
      </c>
      <c r="U8" s="201">
        <v>240135</v>
      </c>
      <c r="V8" s="201">
        <v>121452</v>
      </c>
      <c r="W8" s="32"/>
      <c r="X8" s="32"/>
      <c r="Y8" s="32"/>
      <c r="Z8" s="32"/>
      <c r="AA8" s="32"/>
      <c r="AB8" s="32"/>
      <c r="AC8" s="32"/>
      <c r="AD8" s="32"/>
      <c r="AE8" s="32"/>
      <c r="AF8" s="32"/>
      <c r="AG8" s="32"/>
      <c r="AH8" s="32"/>
      <c r="AI8" s="32"/>
      <c r="AJ8" s="32"/>
      <c r="AK8" s="32"/>
    </row>
    <row r="9" spans="1:37" x14ac:dyDescent="0.35">
      <c r="A9" s="235"/>
      <c r="B9" s="201">
        <v>368169.66666666669</v>
      </c>
      <c r="C9" s="201">
        <v>24917.666666666668</v>
      </c>
      <c r="D9" s="201">
        <v>78992.333333333328</v>
      </c>
      <c r="E9" s="201"/>
      <c r="F9" s="201">
        <v>2476789</v>
      </c>
      <c r="G9" s="201">
        <v>3120220.5</v>
      </c>
      <c r="H9" s="201">
        <v>3759924.6666666665</v>
      </c>
      <c r="I9" s="201">
        <v>57283.333333333336</v>
      </c>
      <c r="J9" s="201">
        <v>73549</v>
      </c>
      <c r="K9" s="201">
        <v>156391.33333333334</v>
      </c>
      <c r="L9" s="201">
        <v>412925.5</v>
      </c>
      <c r="M9" s="201">
        <v>13533</v>
      </c>
      <c r="N9" s="3"/>
      <c r="O9" s="201">
        <v>2676245</v>
      </c>
      <c r="P9" s="201">
        <v>2173624</v>
      </c>
      <c r="Q9" s="201">
        <v>258174.66666666666</v>
      </c>
      <c r="R9" s="201">
        <v>800796.33333333337</v>
      </c>
      <c r="S9" s="201">
        <v>2532456.6666666665</v>
      </c>
      <c r="T9" s="201">
        <v>175245</v>
      </c>
      <c r="U9" s="201">
        <v>236162.66666666666</v>
      </c>
      <c r="V9" s="201">
        <v>24690.5</v>
      </c>
      <c r="W9" s="32"/>
      <c r="X9" s="32"/>
      <c r="Y9" s="32"/>
      <c r="Z9" s="32"/>
      <c r="AA9" s="32"/>
      <c r="AB9" s="32"/>
      <c r="AC9" s="32"/>
      <c r="AD9" s="32"/>
      <c r="AE9" s="32"/>
      <c r="AF9" s="32"/>
      <c r="AG9" s="32"/>
      <c r="AH9" s="32"/>
      <c r="AI9" s="32"/>
      <c r="AJ9" s="32"/>
      <c r="AK9" s="32"/>
    </row>
    <row r="10" spans="1:37" x14ac:dyDescent="0.35">
      <c r="A10" s="235"/>
      <c r="B10" s="201">
        <v>36330.666666666664</v>
      </c>
      <c r="C10" s="201">
        <v>132104.5</v>
      </c>
      <c r="D10" s="201">
        <v>29049</v>
      </c>
      <c r="E10" s="201">
        <v>109436.5</v>
      </c>
      <c r="F10" s="201">
        <v>1992070</v>
      </c>
      <c r="G10" s="201">
        <v>2725554</v>
      </c>
      <c r="H10" s="201">
        <v>3905890</v>
      </c>
      <c r="I10" s="201">
        <v>316085</v>
      </c>
      <c r="J10" s="201">
        <v>85488.666666666672</v>
      </c>
      <c r="K10" s="201">
        <v>12696.666666666666</v>
      </c>
      <c r="L10" s="201">
        <v>15681.666666666666</v>
      </c>
      <c r="M10" s="201">
        <v>307253</v>
      </c>
      <c r="N10" s="3"/>
      <c r="O10" s="201">
        <v>330620</v>
      </c>
      <c r="P10" s="201">
        <v>1467264</v>
      </c>
      <c r="Q10" s="201">
        <v>24989.666666666668</v>
      </c>
      <c r="R10" s="201">
        <v>1158439.3333333333</v>
      </c>
      <c r="S10" s="201">
        <v>357261</v>
      </c>
      <c r="T10" s="201">
        <v>430910.66666666669</v>
      </c>
      <c r="U10" s="201">
        <v>88077</v>
      </c>
      <c r="V10" s="201">
        <v>241649.33333333334</v>
      </c>
      <c r="W10" s="32"/>
      <c r="X10" s="32"/>
      <c r="Y10" s="32"/>
      <c r="Z10" s="32"/>
      <c r="AA10" s="32"/>
      <c r="AB10" s="32"/>
      <c r="AC10" s="32"/>
      <c r="AD10" s="32"/>
      <c r="AE10" s="32"/>
      <c r="AF10" s="32"/>
      <c r="AG10" s="32"/>
      <c r="AH10" s="32"/>
      <c r="AI10" s="32"/>
      <c r="AJ10" s="32"/>
      <c r="AK10" s="32"/>
    </row>
    <row r="11" spans="1:37" x14ac:dyDescent="0.35">
      <c r="A11" s="235"/>
      <c r="B11" s="201">
        <v>130551</v>
      </c>
      <c r="C11" s="201">
        <v>68350</v>
      </c>
      <c r="D11" s="201">
        <v>32524</v>
      </c>
      <c r="E11" s="201">
        <v>1075503.3333333333</v>
      </c>
      <c r="F11" s="201">
        <v>3407032.6666666665</v>
      </c>
      <c r="G11" s="201">
        <v>3613432.3333333335</v>
      </c>
      <c r="H11" s="201">
        <v>4849775.666666667</v>
      </c>
      <c r="I11" s="201">
        <v>28263</v>
      </c>
      <c r="J11" s="201">
        <v>43699.666666666664</v>
      </c>
      <c r="K11" s="201">
        <v>173096.66666666666</v>
      </c>
      <c r="L11" s="201">
        <v>35177.666666666664</v>
      </c>
      <c r="M11" s="201">
        <v>486016.33333333331</v>
      </c>
      <c r="N11" s="3"/>
      <c r="O11" s="201">
        <v>4570519.666666667</v>
      </c>
      <c r="P11" s="201">
        <v>1567201</v>
      </c>
      <c r="Q11" s="201">
        <v>38793.5</v>
      </c>
      <c r="R11" s="201">
        <v>1211432.6666666667</v>
      </c>
      <c r="S11" s="201">
        <v>316510.33333333331</v>
      </c>
      <c r="T11" s="201">
        <v>55055.333333333336</v>
      </c>
      <c r="U11" s="201">
        <v>72431.333333333328</v>
      </c>
      <c r="V11" s="201">
        <v>77637</v>
      </c>
      <c r="W11" s="32"/>
      <c r="X11" s="32"/>
      <c r="Y11" s="32"/>
      <c r="Z11" s="32"/>
      <c r="AA11" s="32"/>
      <c r="AB11" s="32"/>
      <c r="AC11" s="32"/>
      <c r="AD11" s="32"/>
      <c r="AE11" s="32"/>
      <c r="AF11" s="32"/>
      <c r="AG11" s="32"/>
      <c r="AH11" s="32"/>
      <c r="AI11" s="32"/>
      <c r="AJ11" s="32"/>
      <c r="AK11" s="32"/>
    </row>
    <row r="12" spans="1:37" x14ac:dyDescent="0.35">
      <c r="A12" s="235"/>
      <c r="B12" s="201"/>
      <c r="C12" s="201">
        <v>32142</v>
      </c>
      <c r="D12" s="201">
        <v>381493.66666666669</v>
      </c>
      <c r="E12" s="201">
        <v>69655.666666666672</v>
      </c>
      <c r="F12" s="201">
        <v>1077788.6666666667</v>
      </c>
      <c r="G12" s="201">
        <v>3695647.6666666665</v>
      </c>
      <c r="H12" s="201">
        <v>7854535.666666667</v>
      </c>
      <c r="I12" s="201">
        <v>349928.66666666669</v>
      </c>
      <c r="J12" s="201">
        <v>86707</v>
      </c>
      <c r="K12" s="201">
        <v>94897.666666666672</v>
      </c>
      <c r="L12" s="201">
        <v>130049.5</v>
      </c>
      <c r="M12" s="201">
        <v>977022.33333333337</v>
      </c>
      <c r="N12" s="3"/>
      <c r="O12" s="201">
        <v>1425071.3333333333</v>
      </c>
      <c r="P12" s="201">
        <v>2076924</v>
      </c>
      <c r="Q12" s="201">
        <v>33555.333333333336</v>
      </c>
      <c r="R12" s="201">
        <v>522246.66666666669</v>
      </c>
      <c r="S12" s="201">
        <v>1329308.3333333333</v>
      </c>
      <c r="T12" s="201">
        <v>120053</v>
      </c>
      <c r="U12" s="201">
        <v>6835</v>
      </c>
      <c r="V12" s="201">
        <v>93088</v>
      </c>
      <c r="W12" s="32"/>
      <c r="X12" s="32"/>
      <c r="Y12" s="32"/>
      <c r="Z12" s="32"/>
      <c r="AA12" s="32"/>
      <c r="AB12" s="32"/>
      <c r="AC12" s="32"/>
      <c r="AD12" s="32"/>
      <c r="AE12" s="32"/>
      <c r="AF12" s="32"/>
      <c r="AG12" s="32"/>
      <c r="AH12" s="32"/>
      <c r="AI12" s="32"/>
      <c r="AJ12" s="32"/>
      <c r="AK12" s="32"/>
    </row>
    <row r="13" spans="1:37" ht="16.5" x14ac:dyDescent="0.35">
      <c r="A13" s="235"/>
      <c r="B13" s="14"/>
      <c r="C13" s="13"/>
      <c r="D13" s="32"/>
      <c r="E13" s="32"/>
      <c r="F13" s="32"/>
      <c r="G13" s="32"/>
      <c r="H13" s="32"/>
      <c r="I13" s="32"/>
      <c r="J13" s="32"/>
      <c r="K13" s="13"/>
      <c r="L13" s="13"/>
      <c r="M13" s="13"/>
      <c r="N13" s="3"/>
      <c r="O13" s="201">
        <v>1284772.6666666667</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35">
      <c r="A14" s="235"/>
      <c r="B14" s="14"/>
      <c r="C14" s="32"/>
      <c r="D14" s="32"/>
      <c r="E14" s="32"/>
      <c r="F14" s="32"/>
      <c r="G14" s="32"/>
      <c r="H14" s="32"/>
      <c r="I14" s="32"/>
      <c r="J14" s="32"/>
      <c r="K14" s="13"/>
      <c r="L14" s="13"/>
      <c r="M14" s="13"/>
      <c r="N14" s="3"/>
      <c r="O14" s="201">
        <v>46273.333333333336</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35">
      <c r="A15" s="235"/>
      <c r="B15" s="14"/>
      <c r="C15" s="32"/>
      <c r="D15" s="32"/>
      <c r="E15" s="32"/>
      <c r="F15" s="32"/>
      <c r="G15" s="32"/>
      <c r="H15" s="32"/>
      <c r="I15" s="32"/>
      <c r="J15" s="32"/>
      <c r="K15" s="13"/>
      <c r="L15" s="13"/>
      <c r="M15" s="13"/>
      <c r="N15" s="3"/>
      <c r="O15" s="201">
        <v>3029346</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35">
      <c r="A16" s="235"/>
      <c r="B16" s="14"/>
      <c r="C16" s="32"/>
      <c r="D16" s="32"/>
      <c r="E16" s="32"/>
      <c r="F16" s="32"/>
      <c r="G16" s="32"/>
      <c r="H16" s="32"/>
      <c r="I16" s="32"/>
      <c r="J16" s="32"/>
      <c r="K16" s="13"/>
      <c r="L16" s="13"/>
      <c r="M16" s="13"/>
      <c r="N16" s="3"/>
      <c r="O16" s="201">
        <v>1036353.3333333334</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35">
      <c r="A17" s="235"/>
      <c r="B17" s="14"/>
      <c r="C17" s="32"/>
      <c r="D17" s="32"/>
      <c r="E17" s="32"/>
      <c r="F17" s="32"/>
      <c r="G17" s="32"/>
      <c r="H17" s="32"/>
      <c r="I17" s="32"/>
      <c r="J17" s="32"/>
      <c r="K17" s="13"/>
      <c r="L17" s="13"/>
      <c r="M17" s="13"/>
      <c r="N17" s="3"/>
      <c r="O17" s="201">
        <v>4524527</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35">
      <c r="A18" s="235"/>
      <c r="B18" s="14"/>
      <c r="C18" s="32"/>
      <c r="D18" s="32"/>
      <c r="E18" s="32"/>
      <c r="F18" s="32"/>
      <c r="G18" s="32"/>
      <c r="H18" s="32"/>
      <c r="I18" s="32"/>
      <c r="J18" s="32"/>
      <c r="K18" s="13"/>
      <c r="L18" s="13"/>
      <c r="M18" s="13"/>
      <c r="N18" s="3"/>
      <c r="O18" s="201">
        <v>2228910</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35">
      <c r="A19" s="235"/>
      <c r="B19" s="14"/>
      <c r="C19" s="32"/>
      <c r="D19" s="32"/>
      <c r="E19" s="32"/>
      <c r="F19" s="32"/>
      <c r="G19" s="32"/>
      <c r="H19" s="32"/>
      <c r="I19" s="32"/>
      <c r="J19" s="32"/>
      <c r="K19" s="13"/>
      <c r="L19" s="13"/>
      <c r="M19" s="13"/>
      <c r="N19" s="3"/>
      <c r="O19" s="201">
        <v>312602.33333333331</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35">
      <c r="A20" s="235"/>
      <c r="B20" s="14"/>
      <c r="C20" s="32"/>
      <c r="D20" s="32"/>
      <c r="E20" s="32"/>
      <c r="F20" s="32"/>
      <c r="G20" s="32"/>
      <c r="H20" s="32"/>
      <c r="I20" s="32"/>
      <c r="J20" s="32"/>
      <c r="K20" s="13"/>
      <c r="L20" s="13"/>
      <c r="M20" s="13"/>
      <c r="N20" s="3"/>
      <c r="O20" s="201">
        <v>503425</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3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35">
      <c r="A22" s="3" t="str">
        <f>A4</f>
        <v>Noms des groupes</v>
      </c>
      <c r="B22" s="3" t="str">
        <f t="shared" ref="B22:AK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 0,032 ug/L</v>
      </c>
      <c r="J22" s="3" t="str">
        <f t="shared" si="0"/>
        <v>Anastrozole 0,16 ug/L</v>
      </c>
      <c r="K22" s="3" t="str">
        <f t="shared" si="0"/>
        <v>Anastrozole 0,8 ug/L</v>
      </c>
      <c r="L22" s="3" t="str">
        <f t="shared" si="0"/>
        <v>Anastrozole 4 ug/L</v>
      </c>
      <c r="M22" s="3" t="str">
        <f t="shared" si="0"/>
        <v>Anastrozole 20 ug/L</v>
      </c>
      <c r="N22" s="3" t="s">
        <v>41</v>
      </c>
      <c r="O22" s="3" t="str">
        <f t="shared" si="0"/>
        <v>Testo -30µg/L</v>
      </c>
      <c r="P22" s="3" t="str">
        <f t="shared" si="0"/>
        <v>Testo 30µg/L + EE2 -64ng/L</v>
      </c>
      <c r="Q22" s="3" t="str">
        <f t="shared" si="0"/>
        <v>Testo 30µg/L + FAD-10mg/L</v>
      </c>
      <c r="R22" s="3" t="str">
        <f t="shared" si="0"/>
        <v>Anastrozole-0,032ug/L + Testostérone</v>
      </c>
      <c r="S22" s="3" t="str">
        <f t="shared" si="0"/>
        <v>Anastrozole-0,16ug/L + Testostérone</v>
      </c>
      <c r="T22" s="3" t="str">
        <f t="shared" si="0"/>
        <v>Anastrozole-0,8ug/L + Testostérone</v>
      </c>
      <c r="U22" s="3" t="str">
        <f t="shared" si="0"/>
        <v>Anastrozole-4ug/L + Testostérone</v>
      </c>
      <c r="V22" s="3" t="str">
        <f t="shared" si="0"/>
        <v>Anastrozole-20ug/L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35">
      <c r="A23" s="5" t="s">
        <v>0</v>
      </c>
      <c r="B23" s="5">
        <f t="shared" ref="B23:J23" si="1">AVERAGE(B5:B20)</f>
        <v>151141.47619047621</v>
      </c>
      <c r="C23" s="5">
        <f t="shared" si="1"/>
        <v>94176.020833333343</v>
      </c>
      <c r="D23" s="5">
        <f t="shared" si="1"/>
        <v>234335.5</v>
      </c>
      <c r="E23" s="5">
        <f t="shared" si="1"/>
        <v>576969.73809523811</v>
      </c>
      <c r="F23" s="5">
        <f t="shared" si="1"/>
        <v>2190406.25</v>
      </c>
      <c r="G23" s="5">
        <f t="shared" si="1"/>
        <v>2931834.8333333335</v>
      </c>
      <c r="H23" s="5">
        <f t="shared" si="1"/>
        <v>4461803.75</v>
      </c>
      <c r="I23" s="5">
        <f t="shared" si="1"/>
        <v>149895.20833333334</v>
      </c>
      <c r="J23" s="5">
        <f t="shared" si="1"/>
        <v>149064.20833333334</v>
      </c>
      <c r="K23" s="5"/>
      <c r="L23" s="5">
        <f>AVERAGE(L5:L20)</f>
        <v>122719.95833333333</v>
      </c>
      <c r="M23" s="5"/>
      <c r="N23" s="5" t="s">
        <v>0</v>
      </c>
      <c r="O23" s="5">
        <f>AVERAGE(O5:O20)</f>
        <v>1816017.7916666665</v>
      </c>
      <c r="P23" s="5">
        <f>AVERAGE(P5:P20)</f>
        <v>2469730.166666667</v>
      </c>
      <c r="Q23" s="5">
        <f>AVERAGE(Q5:Q20)</f>
        <v>148856.60416666666</v>
      </c>
      <c r="R23" s="5">
        <f>AVERAGE(R5:R20)</f>
        <v>2062167.1250000002</v>
      </c>
      <c r="S23" s="5">
        <f>AVERAGE(S5:S20)</f>
        <v>1046817.4166666665</v>
      </c>
      <c r="T23" s="5">
        <f t="shared" ref="T23:AK23" si="2">AVERAGE(T5:T20)</f>
        <v>200746.08333333334</v>
      </c>
      <c r="U23" s="5">
        <f t="shared" si="2"/>
        <v>164586.375</v>
      </c>
      <c r="V23" s="5">
        <f t="shared" si="2"/>
        <v>160886.375</v>
      </c>
      <c r="W23" s="5" t="e">
        <f t="shared" si="2"/>
        <v>#DIV/0!</v>
      </c>
      <c r="X23" s="5" t="e">
        <f t="shared" si="2"/>
        <v>#DIV/0!</v>
      </c>
      <c r="Y23" s="5" t="e">
        <f t="shared" si="2"/>
        <v>#DIV/0!</v>
      </c>
      <c r="Z23" s="5" t="e">
        <f t="shared" si="2"/>
        <v>#DIV/0!</v>
      </c>
      <c r="AA23" s="5" t="e">
        <f t="shared" si="2"/>
        <v>#DIV/0!</v>
      </c>
      <c r="AB23" s="5" t="e">
        <f t="shared" si="2"/>
        <v>#DIV/0!</v>
      </c>
      <c r="AC23" s="5" t="e">
        <f t="shared" si="2"/>
        <v>#DIV/0!</v>
      </c>
      <c r="AD23" s="5" t="e">
        <f t="shared" si="2"/>
        <v>#DIV/0!</v>
      </c>
      <c r="AE23" s="5" t="e">
        <f t="shared" si="2"/>
        <v>#DIV/0!</v>
      </c>
      <c r="AF23" s="5" t="e">
        <f t="shared" si="2"/>
        <v>#DIV/0!</v>
      </c>
      <c r="AG23" s="5" t="e">
        <f t="shared" si="2"/>
        <v>#DIV/0!</v>
      </c>
      <c r="AH23" s="5" t="e">
        <f t="shared" si="2"/>
        <v>#DIV/0!</v>
      </c>
      <c r="AI23" s="5" t="e">
        <f t="shared" si="2"/>
        <v>#DIV/0!</v>
      </c>
      <c r="AJ23" s="5" t="e">
        <f t="shared" si="2"/>
        <v>#DIV/0!</v>
      </c>
      <c r="AK23" s="5" t="e">
        <f t="shared" si="2"/>
        <v>#DIV/0!</v>
      </c>
    </row>
    <row r="24" spans="1:37" x14ac:dyDescent="0.35">
      <c r="A24" s="3" t="s">
        <v>1</v>
      </c>
      <c r="B24" s="3">
        <f t="shared" ref="B24:J24" si="3">STDEV(B5:B20)</f>
        <v>130547.19445626598</v>
      </c>
      <c r="C24" s="3">
        <f t="shared" si="3"/>
        <v>72411.06052026953</v>
      </c>
      <c r="D24" s="3">
        <f t="shared" si="3"/>
        <v>315878.46155770653</v>
      </c>
      <c r="E24" s="3">
        <f t="shared" si="3"/>
        <v>610121.21131052077</v>
      </c>
      <c r="F24" s="3">
        <f t="shared" si="3"/>
        <v>1511010.1476444602</v>
      </c>
      <c r="G24" s="3">
        <f t="shared" si="3"/>
        <v>602485.04508075537</v>
      </c>
      <c r="H24" s="3">
        <f t="shared" si="3"/>
        <v>2363220.8933440326</v>
      </c>
      <c r="I24" s="3">
        <f t="shared" si="3"/>
        <v>132484.04823282213</v>
      </c>
      <c r="J24" s="3">
        <f t="shared" si="3"/>
        <v>132337.7514037517</v>
      </c>
      <c r="K24" s="3"/>
      <c r="L24" s="3">
        <f>STDEV(L5:L20)</f>
        <v>133202.86446181012</v>
      </c>
      <c r="M24" s="3"/>
      <c r="N24" s="3" t="s">
        <v>1</v>
      </c>
      <c r="O24" s="3">
        <f>STDEV(O5:O20)</f>
        <v>1407678.1368568223</v>
      </c>
      <c r="P24" s="3">
        <f>STDEV(P5:P20)</f>
        <v>1203614.7287084581</v>
      </c>
      <c r="Q24" s="3">
        <f>STDEV(Q5:Q20)</f>
        <v>154218.21008516641</v>
      </c>
      <c r="R24" s="3">
        <f>STDEV(R5:R20)</f>
        <v>1366513.6449257005</v>
      </c>
      <c r="S24" s="3">
        <f>STDEV(S5:S20)</f>
        <v>711152.2114984045</v>
      </c>
      <c r="T24" s="3">
        <f t="shared" ref="T24:AK24" si="4">STDEV(T5:T20)</f>
        <v>135701.65660049641</v>
      </c>
      <c r="U24" s="3">
        <f t="shared" si="4"/>
        <v>114760.29355282841</v>
      </c>
      <c r="V24" s="3">
        <f t="shared" si="4"/>
        <v>153121.33707449835</v>
      </c>
      <c r="W24" s="3" t="e">
        <f t="shared" si="4"/>
        <v>#DIV/0!</v>
      </c>
      <c r="X24" s="3" t="e">
        <f t="shared" si="4"/>
        <v>#DIV/0!</v>
      </c>
      <c r="Y24" s="3" t="e">
        <f t="shared" si="4"/>
        <v>#DIV/0!</v>
      </c>
      <c r="Z24" s="3" t="e">
        <f t="shared" si="4"/>
        <v>#DIV/0!</v>
      </c>
      <c r="AA24" s="3" t="e">
        <f t="shared" si="4"/>
        <v>#DIV/0!</v>
      </c>
      <c r="AB24" s="3" t="e">
        <f t="shared" si="4"/>
        <v>#DIV/0!</v>
      </c>
      <c r="AC24" s="3" t="e">
        <f t="shared" si="4"/>
        <v>#DIV/0!</v>
      </c>
      <c r="AD24" s="3" t="e">
        <f t="shared" si="4"/>
        <v>#DIV/0!</v>
      </c>
      <c r="AE24" s="3" t="e">
        <f t="shared" si="4"/>
        <v>#DIV/0!</v>
      </c>
      <c r="AF24" s="3" t="e">
        <f t="shared" si="4"/>
        <v>#DIV/0!</v>
      </c>
      <c r="AG24" s="3" t="e">
        <f t="shared" si="4"/>
        <v>#DIV/0!</v>
      </c>
      <c r="AH24" s="3" t="e">
        <f t="shared" si="4"/>
        <v>#DIV/0!</v>
      </c>
      <c r="AI24" s="3" t="e">
        <f t="shared" si="4"/>
        <v>#DIV/0!</v>
      </c>
      <c r="AJ24" s="3" t="e">
        <f t="shared" si="4"/>
        <v>#DIV/0!</v>
      </c>
      <c r="AK24" s="3" t="e">
        <f t="shared" si="4"/>
        <v>#DIV/0!</v>
      </c>
    </row>
    <row r="25" spans="1:37" ht="15" thickBot="1" x14ac:dyDescent="0.4"/>
    <row r="26" spans="1:37" ht="15" thickBot="1" x14ac:dyDescent="0.4">
      <c r="B26" s="232" t="s">
        <v>6</v>
      </c>
      <c r="C26" s="233"/>
      <c r="D26" s="233"/>
      <c r="E26" s="233"/>
      <c r="F26" s="233"/>
      <c r="G26" s="233"/>
      <c r="H26" s="233"/>
      <c r="I26" s="233"/>
      <c r="J26" s="233"/>
      <c r="K26" s="233"/>
      <c r="L26" s="233"/>
      <c r="M26" s="233"/>
      <c r="O26" s="232" t="s">
        <v>3</v>
      </c>
      <c r="P26" s="233"/>
      <c r="Q26" s="233"/>
      <c r="R26" s="233"/>
      <c r="S26" s="233"/>
      <c r="T26" s="233"/>
      <c r="U26" s="233"/>
      <c r="V26" s="233"/>
      <c r="W26" s="233"/>
      <c r="X26" s="233"/>
      <c r="Y26" s="233"/>
      <c r="Z26" s="233"/>
      <c r="AA26" s="233"/>
      <c r="AB26" s="233"/>
      <c r="AC26" s="233"/>
      <c r="AD26" s="233"/>
      <c r="AE26" s="233"/>
      <c r="AF26" s="233"/>
      <c r="AG26" s="233"/>
      <c r="AH26" s="233"/>
      <c r="AI26" s="233"/>
      <c r="AJ26" s="233"/>
      <c r="AK26" s="234"/>
    </row>
    <row r="27" spans="1:37"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Anastrozole 0,032 ug/L</v>
      </c>
      <c r="J27" s="35" t="str">
        <f t="shared" si="5"/>
        <v>Anastrozole 0,16 ug/L</v>
      </c>
      <c r="K27" s="35" t="str">
        <f t="shared" si="5"/>
        <v>Anastrozole 0,8 ug/L</v>
      </c>
      <c r="L27" s="35" t="str">
        <f t="shared" si="5"/>
        <v>Anastrozole 4 ug/L</v>
      </c>
      <c r="M27" s="35" t="str">
        <f t="shared" si="5"/>
        <v>Anastrozole 20 ug/L</v>
      </c>
      <c r="N27" s="3"/>
      <c r="O27" s="36" t="str">
        <f>O4</f>
        <v>Testo -30µg/L</v>
      </c>
      <c r="P27" s="36" t="str">
        <f t="shared" ref="P27:AK27" si="6">P4</f>
        <v>Testo 30µg/L + EE2 -64ng/L</v>
      </c>
      <c r="Q27" s="36" t="str">
        <f t="shared" si="6"/>
        <v>Testo 30µg/L + FAD-10mg/L</v>
      </c>
      <c r="R27" s="36" t="str">
        <f t="shared" si="6"/>
        <v>Anastrozole-0,032ug/L + Testostérone</v>
      </c>
      <c r="S27" s="36" t="str">
        <f t="shared" si="6"/>
        <v>Anastrozole-0,16ug/L + Testostérone</v>
      </c>
      <c r="T27" s="36" t="str">
        <f t="shared" si="6"/>
        <v>Anastrozole-0,8ug/L + Testostérone</v>
      </c>
      <c r="U27" s="36" t="str">
        <f t="shared" si="6"/>
        <v>Anastrozole-4ug/L + Testostérone</v>
      </c>
      <c r="V27" s="36" t="str">
        <f t="shared" si="6"/>
        <v>Anastrozole-20ug/L + Testostérone</v>
      </c>
      <c r="W27" s="36" t="str">
        <f t="shared" si="6"/>
        <v>0-00 + Testostérone</v>
      </c>
      <c r="X27" s="36" t="str">
        <f t="shared" si="6"/>
        <v>0-00 + Testostérone</v>
      </c>
      <c r="Y27" s="36" t="str">
        <f t="shared" si="6"/>
        <v>0-00 + Testostérone</v>
      </c>
      <c r="Z27" s="36" t="str">
        <f t="shared" si="6"/>
        <v>0-00 + Testostérone</v>
      </c>
      <c r="AA27" s="36" t="str">
        <f t="shared" si="6"/>
        <v>0-00 + Testostérone</v>
      </c>
      <c r="AB27" s="36" t="str">
        <f t="shared" si="6"/>
        <v>0-00 + Testostérone</v>
      </c>
      <c r="AC27" s="36" t="str">
        <f t="shared" si="6"/>
        <v>0-00 + Testostérone</v>
      </c>
      <c r="AD27" s="36" t="str">
        <f t="shared" si="6"/>
        <v>0-00 + Testostérone</v>
      </c>
      <c r="AE27" s="36" t="str">
        <f t="shared" si="6"/>
        <v>0-00 + Testostérone</v>
      </c>
      <c r="AF27" s="36" t="str">
        <f t="shared" si="6"/>
        <v>0-00 + Testostérone</v>
      </c>
      <c r="AG27" s="36" t="str">
        <f t="shared" si="6"/>
        <v>0-00 + Testostérone</v>
      </c>
      <c r="AH27" s="36" t="str">
        <f t="shared" si="6"/>
        <v>0-00 + Testostérone</v>
      </c>
      <c r="AI27" s="36" t="str">
        <f t="shared" si="6"/>
        <v>0-00 + Testostérone</v>
      </c>
      <c r="AJ27" s="36" t="str">
        <f t="shared" si="6"/>
        <v>0-00 + Testostérone</v>
      </c>
      <c r="AK27" s="36" t="str">
        <f t="shared" si="6"/>
        <v>0-00 + Testostérone</v>
      </c>
    </row>
    <row r="28" spans="1:37" x14ac:dyDescent="0.35">
      <c r="A28" s="236" t="s">
        <v>34</v>
      </c>
      <c r="B28" s="11">
        <f t="shared" ref="B28:M28" si="7">IF(B5="","",(B5/$O$23))</f>
        <v>6.8394887926368747E-2</v>
      </c>
      <c r="C28" s="11">
        <f t="shared" si="7"/>
        <v>6.2622183836442316E-2</v>
      </c>
      <c r="D28" s="11">
        <f t="shared" si="7"/>
        <v>0.52468263492370804</v>
      </c>
      <c r="E28" s="11">
        <f t="shared" si="7"/>
        <v>0.13595571647643781</v>
      </c>
      <c r="F28" s="11">
        <f t="shared" si="7"/>
        <v>2.652002468679926</v>
      </c>
      <c r="G28" s="11">
        <f t="shared" si="7"/>
        <v>1.5474751107775264</v>
      </c>
      <c r="H28" s="11">
        <f t="shared" si="7"/>
        <v>1.395630599892939</v>
      </c>
      <c r="I28" s="11">
        <f t="shared" si="7"/>
        <v>3.2635142822917004E-2</v>
      </c>
      <c r="J28" s="11">
        <f t="shared" si="7"/>
        <v>1.6821604652505814E-2</v>
      </c>
      <c r="K28" s="11">
        <f t="shared" si="7"/>
        <v>5.5300853215300962E-2</v>
      </c>
      <c r="L28" s="11">
        <f t="shared" si="7"/>
        <v>0.11253157004909117</v>
      </c>
      <c r="M28" s="11">
        <f t="shared" si="7"/>
        <v>4.2092098629632098E-2</v>
      </c>
      <c r="N28" s="6"/>
      <c r="O28" s="11">
        <f t="shared" ref="O28:AK39" si="8">IF(O5="","",(O5/$O$23))</f>
        <v>1.5318563210662379</v>
      </c>
      <c r="P28" s="11">
        <f t="shared" si="8"/>
        <v>1.912606996072244</v>
      </c>
      <c r="Q28" s="11">
        <f t="shared" si="8"/>
        <v>8.0730303050674496E-2</v>
      </c>
      <c r="R28" s="11">
        <f t="shared" si="8"/>
        <v>1.0909054282163675</v>
      </c>
      <c r="S28" s="11">
        <f t="shared" si="8"/>
        <v>0.37975417228727137</v>
      </c>
      <c r="T28" s="11">
        <f t="shared" si="8"/>
        <v>2.2193615164425588E-2</v>
      </c>
      <c r="U28" s="11">
        <f t="shared" si="8"/>
        <v>4.5049852324547023E-2</v>
      </c>
      <c r="V28" s="11">
        <f t="shared" si="8"/>
        <v>0.11894725609218175</v>
      </c>
      <c r="W28" s="11" t="str">
        <f t="shared" si="8"/>
        <v/>
      </c>
      <c r="X28" s="11" t="str">
        <f t="shared" si="8"/>
        <v/>
      </c>
      <c r="Y28" s="11" t="str">
        <f t="shared" si="8"/>
        <v/>
      </c>
      <c r="Z28" s="11" t="str">
        <f t="shared" si="8"/>
        <v/>
      </c>
      <c r="AA28" s="11" t="str">
        <f t="shared" si="8"/>
        <v/>
      </c>
      <c r="AB28" s="11" t="str">
        <f t="shared" si="8"/>
        <v/>
      </c>
      <c r="AC28" s="11" t="str">
        <f t="shared" si="8"/>
        <v/>
      </c>
      <c r="AD28" s="11" t="str">
        <f t="shared" si="8"/>
        <v/>
      </c>
      <c r="AE28" s="11" t="str">
        <f t="shared" si="8"/>
        <v/>
      </c>
      <c r="AF28" s="11" t="str">
        <f t="shared" si="8"/>
        <v/>
      </c>
      <c r="AG28" s="11" t="str">
        <f t="shared" si="8"/>
        <v/>
      </c>
      <c r="AH28" s="11" t="str">
        <f t="shared" si="8"/>
        <v/>
      </c>
      <c r="AI28" s="11" t="str">
        <f t="shared" si="8"/>
        <v/>
      </c>
      <c r="AJ28" s="11" t="str">
        <f t="shared" si="8"/>
        <v/>
      </c>
      <c r="AK28" s="11" t="str">
        <f t="shared" si="8"/>
        <v/>
      </c>
    </row>
    <row r="29" spans="1:37" x14ac:dyDescent="0.35">
      <c r="A29" s="236"/>
      <c r="B29" s="11">
        <f t="shared" ref="B29:M29" si="9">IF(B6="","",(B6/$O$23))</f>
        <v>3.5314999093598275E-2</v>
      </c>
      <c r="C29" s="11">
        <f t="shared" si="9"/>
        <v>3.2361099986469945E-2</v>
      </c>
      <c r="D29" s="11">
        <f t="shared" si="9"/>
        <v>5.5392078459583743E-2</v>
      </c>
      <c r="E29" s="11">
        <f t="shared" si="9"/>
        <v>2.7036996494183577E-2</v>
      </c>
      <c r="F29" s="11">
        <f t="shared" si="9"/>
        <v>0.22508700183209937</v>
      </c>
      <c r="G29" s="11">
        <f t="shared" si="9"/>
        <v>1.5533352772998485</v>
      </c>
      <c r="H29" s="11">
        <f t="shared" si="9"/>
        <v>1.0633759622444963</v>
      </c>
      <c r="I29" s="11">
        <f t="shared" si="9"/>
        <v>4.2008582560922506E-2</v>
      </c>
      <c r="J29" s="11">
        <f t="shared" si="9"/>
        <v>0.22879896987059165</v>
      </c>
      <c r="K29" s="11">
        <f t="shared" si="9"/>
        <v>0.36353590239926753</v>
      </c>
      <c r="L29" s="11">
        <f t="shared" si="9"/>
        <v>5.7365627406321076E-2</v>
      </c>
      <c r="M29" s="11">
        <f t="shared" si="9"/>
        <v>0.59207074123057768</v>
      </c>
      <c r="N29" s="6"/>
      <c r="O29" s="11">
        <f t="shared" si="8"/>
        <v>0.67545905788780947</v>
      </c>
      <c r="P29" s="11">
        <f t="shared" si="8"/>
        <v>0.52981602809645756</v>
      </c>
      <c r="Q29" s="11">
        <f t="shared" si="8"/>
        <v>1.0080297717347529E-2</v>
      </c>
      <c r="R29" s="11">
        <f t="shared" si="8"/>
        <v>1.778533236194662</v>
      </c>
      <c r="S29" s="11">
        <f t="shared" si="8"/>
        <v>0.7314746618098249</v>
      </c>
      <c r="T29" s="11">
        <f t="shared" si="8"/>
        <v>0.14223667549879687</v>
      </c>
      <c r="U29" s="11">
        <f t="shared" si="8"/>
        <v>0.1508718698997695</v>
      </c>
      <c r="V29" s="11">
        <f t="shared" si="8"/>
        <v>0.2671314687697971</v>
      </c>
      <c r="W29" s="11" t="str">
        <f t="shared" si="8"/>
        <v/>
      </c>
      <c r="X29" s="11" t="str">
        <f t="shared" si="8"/>
        <v/>
      </c>
      <c r="Y29" s="11" t="str">
        <f t="shared" si="8"/>
        <v/>
      </c>
      <c r="Z29" s="11" t="str">
        <f t="shared" si="8"/>
        <v/>
      </c>
      <c r="AA29" s="11" t="str">
        <f t="shared" si="8"/>
        <v/>
      </c>
      <c r="AB29" s="11" t="str">
        <f t="shared" si="8"/>
        <v/>
      </c>
      <c r="AC29" s="11" t="str">
        <f t="shared" si="8"/>
        <v/>
      </c>
      <c r="AD29" s="11" t="str">
        <f t="shared" si="8"/>
        <v/>
      </c>
      <c r="AE29" s="11" t="str">
        <f t="shared" si="8"/>
        <v/>
      </c>
      <c r="AF29" s="11" t="str">
        <f t="shared" si="8"/>
        <v/>
      </c>
      <c r="AG29" s="11" t="str">
        <f t="shared" si="8"/>
        <v/>
      </c>
      <c r="AH29" s="11" t="str">
        <f t="shared" si="8"/>
        <v/>
      </c>
      <c r="AI29" s="11" t="str">
        <f t="shared" si="8"/>
        <v/>
      </c>
      <c r="AJ29" s="11" t="str">
        <f t="shared" si="8"/>
        <v/>
      </c>
      <c r="AK29" s="11" t="str">
        <f t="shared" si="8"/>
        <v/>
      </c>
    </row>
    <row r="30" spans="1:37" x14ac:dyDescent="0.35">
      <c r="A30" s="236"/>
      <c r="B30" s="11">
        <f t="shared" ref="B30:M30" si="10">IF(B7="","",(B7/$O$23))</f>
        <v>2.1681138540607638E-2</v>
      </c>
      <c r="C30" s="11">
        <f t="shared" si="10"/>
        <v>4.1039979715690657E-2</v>
      </c>
      <c r="D30" s="11">
        <f t="shared" si="10"/>
        <v>2.5536276982602069E-2</v>
      </c>
      <c r="E30" s="11">
        <f t="shared" si="10"/>
        <v>0.49781230346334487</v>
      </c>
      <c r="F30" s="11">
        <f t="shared" si="10"/>
        <v>0.30065160659333667</v>
      </c>
      <c r="G30" s="11">
        <f t="shared" si="10"/>
        <v>0.96580019280739893</v>
      </c>
      <c r="H30" s="11">
        <f t="shared" si="10"/>
        <v>1.4998960982095739</v>
      </c>
      <c r="I30" s="11">
        <f t="shared" si="10"/>
        <v>0.13837749891721648</v>
      </c>
      <c r="J30" s="11">
        <f t="shared" si="10"/>
        <v>0.1203249958981909</v>
      </c>
      <c r="K30" s="11">
        <f t="shared" si="10"/>
        <v>9.3069572762766853E-2</v>
      </c>
      <c r="L30" s="11">
        <f t="shared" si="10"/>
        <v>2.3201865198319575E-2</v>
      </c>
      <c r="M30" s="11">
        <f t="shared" si="10"/>
        <v>5.7234387869777442E-2</v>
      </c>
      <c r="N30" s="6"/>
      <c r="O30" s="11">
        <f t="shared" si="8"/>
        <v>0.54121459483682099</v>
      </c>
      <c r="P30" s="11">
        <f t="shared" si="8"/>
        <v>2.2011498740134869</v>
      </c>
      <c r="Q30" s="11">
        <f t="shared" si="8"/>
        <v>0.1202813105699428</v>
      </c>
      <c r="R30" s="11">
        <f t="shared" si="8"/>
        <v>1.9249783873492248</v>
      </c>
      <c r="S30" s="11">
        <f t="shared" si="8"/>
        <v>0.49372295292536483</v>
      </c>
      <c r="T30" s="11">
        <f t="shared" si="8"/>
        <v>0.10452742673432416</v>
      </c>
      <c r="U30" s="11">
        <f t="shared" si="8"/>
        <v>0.17469689345692216</v>
      </c>
      <c r="V30" s="11">
        <f t="shared" si="8"/>
        <v>1.5114572918441718E-2</v>
      </c>
      <c r="W30" s="11" t="str">
        <f t="shared" si="8"/>
        <v/>
      </c>
      <c r="X30" s="11" t="str">
        <f t="shared" si="8"/>
        <v/>
      </c>
      <c r="Y30" s="11" t="str">
        <f t="shared" si="8"/>
        <v/>
      </c>
      <c r="Z30" s="11" t="str">
        <f t="shared" si="8"/>
        <v/>
      </c>
      <c r="AA30" s="11" t="str">
        <f t="shared" si="8"/>
        <v/>
      </c>
      <c r="AB30" s="11" t="str">
        <f t="shared" si="8"/>
        <v/>
      </c>
      <c r="AC30" s="11" t="str">
        <f t="shared" si="8"/>
        <v/>
      </c>
      <c r="AD30" s="11" t="str">
        <f t="shared" si="8"/>
        <v/>
      </c>
      <c r="AE30" s="11" t="str">
        <f t="shared" si="8"/>
        <v/>
      </c>
      <c r="AF30" s="11" t="str">
        <f t="shared" si="8"/>
        <v/>
      </c>
      <c r="AG30" s="11" t="str">
        <f t="shared" si="8"/>
        <v/>
      </c>
      <c r="AH30" s="11" t="str">
        <f t="shared" si="8"/>
        <v/>
      </c>
      <c r="AI30" s="11" t="str">
        <f t="shared" si="8"/>
        <v/>
      </c>
      <c r="AJ30" s="11" t="str">
        <f t="shared" si="8"/>
        <v/>
      </c>
      <c r="AK30" s="11" t="str">
        <f t="shared" si="8"/>
        <v/>
      </c>
    </row>
    <row r="31" spans="1:37" x14ac:dyDescent="0.35">
      <c r="A31" s="236"/>
      <c r="B31" s="11">
        <f t="shared" ref="B31:M31" si="11">IF(B8="","",(B8/$O$23))</f>
        <v>0.1625681576586977</v>
      </c>
      <c r="C31" s="11">
        <f t="shared" si="11"/>
        <v>0.13704344443945543</v>
      </c>
      <c r="D31" s="11">
        <f t="shared" si="11"/>
        <v>0.13921926746908936</v>
      </c>
      <c r="E31" s="11">
        <f t="shared" si="11"/>
        <v>0.87232570477524007</v>
      </c>
      <c r="F31" s="11">
        <f t="shared" si="11"/>
        <v>1.54113871911176</v>
      </c>
      <c r="G31" s="11">
        <f t="shared" si="11"/>
        <v>1.6050431958185434</v>
      </c>
      <c r="H31" s="11">
        <f t="shared" si="11"/>
        <v>4.4795080591514944</v>
      </c>
      <c r="I31" s="11">
        <f t="shared" si="11"/>
        <v>3.3453049640872881E-2</v>
      </c>
      <c r="J31" s="11">
        <f t="shared" si="11"/>
        <v>0.1313344328239075</v>
      </c>
      <c r="K31" s="11">
        <f t="shared" si="11"/>
        <v>0.25719792071603925</v>
      </c>
      <c r="L31" s="11">
        <f t="shared" si="11"/>
        <v>2.0514116200265754E-2</v>
      </c>
      <c r="M31" s="11">
        <f t="shared" si="11"/>
        <v>0.11972937030926208</v>
      </c>
      <c r="N31" s="6"/>
      <c r="O31" s="11">
        <f t="shared" si="8"/>
        <v>1.1543056881303042</v>
      </c>
      <c r="P31" s="11">
        <f t="shared" si="8"/>
        <v>2.2246573529577436</v>
      </c>
      <c r="Q31" s="11">
        <f t="shared" si="8"/>
        <v>0.24889238534672031</v>
      </c>
      <c r="R31" s="11">
        <f t="shared" si="8"/>
        <v>2.2564070419005398</v>
      </c>
      <c r="S31" s="11">
        <f t="shared" si="8"/>
        <v>0.50901593819278623</v>
      </c>
      <c r="T31" s="11">
        <f t="shared" si="8"/>
        <v>0.18517035912850252</v>
      </c>
      <c r="U31" s="11">
        <f t="shared" si="8"/>
        <v>0.13223163401918764</v>
      </c>
      <c r="V31" s="11">
        <f t="shared" si="8"/>
        <v>6.6878199408242772E-2</v>
      </c>
      <c r="W31" s="11" t="str">
        <f t="shared" si="8"/>
        <v/>
      </c>
      <c r="X31" s="11" t="str">
        <f t="shared" si="8"/>
        <v/>
      </c>
      <c r="Y31" s="11" t="str">
        <f t="shared" si="8"/>
        <v/>
      </c>
      <c r="Z31" s="11" t="str">
        <f t="shared" si="8"/>
        <v/>
      </c>
      <c r="AA31" s="11" t="str">
        <f t="shared" si="8"/>
        <v/>
      </c>
      <c r="AB31" s="11" t="str">
        <f t="shared" si="8"/>
        <v/>
      </c>
      <c r="AC31" s="11" t="str">
        <f t="shared" si="8"/>
        <v/>
      </c>
      <c r="AD31" s="11" t="str">
        <f t="shared" si="8"/>
        <v/>
      </c>
      <c r="AE31" s="11" t="str">
        <f t="shared" si="8"/>
        <v/>
      </c>
      <c r="AF31" s="11" t="str">
        <f t="shared" si="8"/>
        <v/>
      </c>
      <c r="AG31" s="11" t="str">
        <f t="shared" si="8"/>
        <v/>
      </c>
      <c r="AH31" s="11" t="str">
        <f t="shared" si="8"/>
        <v/>
      </c>
      <c r="AI31" s="11" t="str">
        <f t="shared" si="8"/>
        <v/>
      </c>
      <c r="AJ31" s="11" t="str">
        <f t="shared" si="8"/>
        <v/>
      </c>
      <c r="AK31" s="11" t="str">
        <f t="shared" si="8"/>
        <v/>
      </c>
    </row>
    <row r="32" spans="1:37" x14ac:dyDescent="0.35">
      <c r="A32" s="236"/>
      <c r="B32" s="11">
        <f t="shared" ref="B32:M32" si="12">IF(B9="","",(B9/$O$23))</f>
        <v>0.20273461436122589</v>
      </c>
      <c r="C32" s="11">
        <f t="shared" si="12"/>
        <v>1.372104765768746E-2</v>
      </c>
      <c r="D32" s="11">
        <f t="shared" si="12"/>
        <v>4.3497554757344868E-2</v>
      </c>
      <c r="E32" s="11" t="str">
        <f t="shared" si="12"/>
        <v/>
      </c>
      <c r="F32" s="11">
        <f t="shared" si="12"/>
        <v>1.3638572327680252</v>
      </c>
      <c r="G32" s="11">
        <f t="shared" si="12"/>
        <v>1.7181662615410775</v>
      </c>
      <c r="H32" s="11">
        <f t="shared" si="12"/>
        <v>2.0704228140936669</v>
      </c>
      <c r="I32" s="11">
        <f t="shared" si="12"/>
        <v>3.1543376720313432E-2</v>
      </c>
      <c r="J32" s="11">
        <f t="shared" si="12"/>
        <v>4.0500153873767805E-2</v>
      </c>
      <c r="K32" s="11">
        <f t="shared" si="12"/>
        <v>8.6117731913740669E-2</v>
      </c>
      <c r="L32" s="11">
        <f t="shared" si="12"/>
        <v>0.22737965558202705</v>
      </c>
      <c r="M32" s="11">
        <f t="shared" si="12"/>
        <v>7.4520195022869072E-3</v>
      </c>
      <c r="N32" s="6"/>
      <c r="O32" s="11">
        <f t="shared" si="8"/>
        <v>1.4736887558485054</v>
      </c>
      <c r="P32" s="11">
        <f t="shared" si="8"/>
        <v>1.196917789007528</v>
      </c>
      <c r="Q32" s="11">
        <f t="shared" si="8"/>
        <v>0.14216527384884514</v>
      </c>
      <c r="R32" s="11">
        <f t="shared" si="8"/>
        <v>0.44096282371682899</v>
      </c>
      <c r="S32" s="11">
        <f t="shared" si="8"/>
        <v>1.3945109339168322</v>
      </c>
      <c r="T32" s="11">
        <f t="shared" si="8"/>
        <v>9.6499605237439515E-2</v>
      </c>
      <c r="U32" s="11">
        <f t="shared" si="8"/>
        <v>0.1300442472261939</v>
      </c>
      <c r="V32" s="11">
        <f t="shared" si="8"/>
        <v>1.3595957106422439E-2</v>
      </c>
      <c r="W32" s="11" t="str">
        <f t="shared" si="8"/>
        <v/>
      </c>
      <c r="X32" s="11" t="str">
        <f t="shared" si="8"/>
        <v/>
      </c>
      <c r="Y32" s="11" t="str">
        <f t="shared" si="8"/>
        <v/>
      </c>
      <c r="Z32" s="11" t="str">
        <f t="shared" si="8"/>
        <v/>
      </c>
      <c r="AA32" s="11" t="str">
        <f t="shared" si="8"/>
        <v/>
      </c>
      <c r="AB32" s="11" t="str">
        <f t="shared" si="8"/>
        <v/>
      </c>
      <c r="AC32" s="11" t="str">
        <f t="shared" si="8"/>
        <v/>
      </c>
      <c r="AD32" s="11" t="str">
        <f t="shared" si="8"/>
        <v/>
      </c>
      <c r="AE32" s="11" t="str">
        <f t="shared" si="8"/>
        <v/>
      </c>
      <c r="AF32" s="11" t="str">
        <f t="shared" si="8"/>
        <v/>
      </c>
      <c r="AG32" s="11" t="str">
        <f t="shared" si="8"/>
        <v/>
      </c>
      <c r="AH32" s="11" t="str">
        <f t="shared" si="8"/>
        <v/>
      </c>
      <c r="AI32" s="11" t="str">
        <f t="shared" si="8"/>
        <v/>
      </c>
      <c r="AJ32" s="11" t="str">
        <f t="shared" si="8"/>
        <v/>
      </c>
      <c r="AK32" s="11" t="str">
        <f t="shared" si="8"/>
        <v/>
      </c>
    </row>
    <row r="33" spans="1:37" x14ac:dyDescent="0.35">
      <c r="A33" s="236"/>
      <c r="B33" s="11">
        <f t="shared" ref="B33:M33" si="13">IF(B10="","",(B10/$O$23))</f>
        <v>2.0005677716033756E-2</v>
      </c>
      <c r="C33" s="11">
        <f t="shared" si="13"/>
        <v>7.2744056036345275E-2</v>
      </c>
      <c r="D33" s="11">
        <f t="shared" si="13"/>
        <v>1.5995988658976751E-2</v>
      </c>
      <c r="E33" s="11">
        <f t="shared" si="13"/>
        <v>6.0261799472550143E-2</v>
      </c>
      <c r="F33" s="11">
        <f t="shared" si="13"/>
        <v>1.096944098863569</v>
      </c>
      <c r="G33" s="11">
        <f t="shared" si="13"/>
        <v>1.5008410228726881</v>
      </c>
      <c r="H33" s="11">
        <f t="shared" si="13"/>
        <v>2.1507994128269714</v>
      </c>
      <c r="I33" s="11">
        <f t="shared" si="13"/>
        <v>0.17405391150375799</v>
      </c>
      <c r="J33" s="11">
        <f t="shared" si="13"/>
        <v>4.7074795775105642E-2</v>
      </c>
      <c r="K33" s="11">
        <f t="shared" si="13"/>
        <v>6.9914880376883244E-3</v>
      </c>
      <c r="L33" s="11">
        <f t="shared" si="13"/>
        <v>8.6351944009726237E-3</v>
      </c>
      <c r="M33" s="11">
        <f t="shared" si="13"/>
        <v>0.16919052302786958</v>
      </c>
      <c r="N33" s="6"/>
      <c r="O33" s="11">
        <f t="shared" si="8"/>
        <v>0.18205768771492625</v>
      </c>
      <c r="P33" s="11">
        <f t="shared" si="8"/>
        <v>0.80795684201607154</v>
      </c>
      <c r="Q33" s="11">
        <f t="shared" si="8"/>
        <v>1.3760694846349593E-2</v>
      </c>
      <c r="R33" s="11">
        <f t="shared" si="8"/>
        <v>0.63790087225421133</v>
      </c>
      <c r="S33" s="11">
        <f t="shared" si="8"/>
        <v>0.19672769817531388</v>
      </c>
      <c r="T33" s="11">
        <f t="shared" si="8"/>
        <v>0.23728328469248894</v>
      </c>
      <c r="U33" s="11">
        <f t="shared" si="8"/>
        <v>4.8500075497149478E-2</v>
      </c>
      <c r="V33" s="11">
        <f t="shared" si="8"/>
        <v>0.13306550984368798</v>
      </c>
      <c r="W33" s="11" t="str">
        <f t="shared" si="8"/>
        <v/>
      </c>
      <c r="X33" s="11" t="str">
        <f t="shared" si="8"/>
        <v/>
      </c>
      <c r="Y33" s="11" t="str">
        <f t="shared" si="8"/>
        <v/>
      </c>
      <c r="Z33" s="11" t="str">
        <f t="shared" si="8"/>
        <v/>
      </c>
      <c r="AA33" s="11" t="str">
        <f t="shared" si="8"/>
        <v/>
      </c>
      <c r="AB33" s="11" t="str">
        <f t="shared" si="8"/>
        <v/>
      </c>
      <c r="AC33" s="11" t="str">
        <f t="shared" si="8"/>
        <v/>
      </c>
      <c r="AD33" s="11" t="str">
        <f t="shared" si="8"/>
        <v/>
      </c>
      <c r="AE33" s="11" t="str">
        <f t="shared" si="8"/>
        <v/>
      </c>
      <c r="AF33" s="11" t="str">
        <f t="shared" si="8"/>
        <v/>
      </c>
      <c r="AG33" s="11" t="str">
        <f t="shared" si="8"/>
        <v/>
      </c>
      <c r="AH33" s="11" t="str">
        <f t="shared" si="8"/>
        <v/>
      </c>
      <c r="AI33" s="11" t="str">
        <f t="shared" si="8"/>
        <v/>
      </c>
      <c r="AJ33" s="11" t="str">
        <f t="shared" si="8"/>
        <v/>
      </c>
      <c r="AK33" s="11" t="str">
        <f t="shared" si="8"/>
        <v/>
      </c>
    </row>
    <row r="34" spans="1:37" x14ac:dyDescent="0.35">
      <c r="A34" s="236"/>
      <c r="B34" s="11">
        <f t="shared" ref="B34:M34" si="14">IF(B11="","",(B11/$O$23))</f>
        <v>7.1888612875419935E-2</v>
      </c>
      <c r="C34" s="11">
        <f t="shared" si="14"/>
        <v>3.7637296459122893E-2</v>
      </c>
      <c r="D34" s="11">
        <f t="shared" si="14"/>
        <v>1.7909516167322795E-2</v>
      </c>
      <c r="E34" s="11">
        <f t="shared" si="14"/>
        <v>0.5922317161586178</v>
      </c>
      <c r="F34" s="11">
        <f t="shared" si="14"/>
        <v>1.8761009293525874</v>
      </c>
      <c r="G34" s="11">
        <f t="shared" si="14"/>
        <v>1.9897560199655719</v>
      </c>
      <c r="H34" s="11">
        <f t="shared" si="14"/>
        <v>2.6705551503522122</v>
      </c>
      <c r="I34" s="11">
        <f t="shared" si="14"/>
        <v>1.556317351608179E-2</v>
      </c>
      <c r="J34" s="11">
        <f t="shared" si="14"/>
        <v>2.4063457344523538E-2</v>
      </c>
      <c r="K34" s="11">
        <f t="shared" si="14"/>
        <v>9.5316613890553153E-2</v>
      </c>
      <c r="L34" s="11">
        <f t="shared" si="14"/>
        <v>1.9370772042041531E-2</v>
      </c>
      <c r="M34" s="11">
        <f t="shared" si="14"/>
        <v>0.26762751750757213</v>
      </c>
      <c r="N34" s="6"/>
      <c r="O34" s="11">
        <f t="shared" si="8"/>
        <v>2.5167813265045336</v>
      </c>
      <c r="P34" s="11">
        <f t="shared" si="8"/>
        <v>0.86298769053451141</v>
      </c>
      <c r="Q34" s="11">
        <f t="shared" si="8"/>
        <v>2.1361850185617905E-2</v>
      </c>
      <c r="R34" s="11">
        <f t="shared" si="8"/>
        <v>0.66708193731673937</v>
      </c>
      <c r="S34" s="11">
        <f t="shared" si="8"/>
        <v>0.17428812359974355</v>
      </c>
      <c r="T34" s="11">
        <f t="shared" si="8"/>
        <v>3.0316516493379624E-2</v>
      </c>
      <c r="U34" s="11">
        <f t="shared" si="8"/>
        <v>3.9884704690507922E-2</v>
      </c>
      <c r="V34" s="11">
        <f t="shared" si="8"/>
        <v>4.2751233141140071E-2</v>
      </c>
      <c r="W34" s="11" t="str">
        <f t="shared" si="8"/>
        <v/>
      </c>
      <c r="X34" s="11" t="str">
        <f t="shared" si="8"/>
        <v/>
      </c>
      <c r="Y34" s="11" t="str">
        <f t="shared" si="8"/>
        <v/>
      </c>
      <c r="Z34" s="11" t="str">
        <f t="shared" si="8"/>
        <v/>
      </c>
      <c r="AA34" s="11" t="str">
        <f t="shared" si="8"/>
        <v/>
      </c>
      <c r="AB34" s="11" t="str">
        <f t="shared" si="8"/>
        <v/>
      </c>
      <c r="AC34" s="11" t="str">
        <f t="shared" si="8"/>
        <v/>
      </c>
      <c r="AD34" s="11" t="str">
        <f t="shared" si="8"/>
        <v/>
      </c>
      <c r="AE34" s="11" t="str">
        <f t="shared" si="8"/>
        <v/>
      </c>
      <c r="AF34" s="11" t="str">
        <f t="shared" si="8"/>
        <v/>
      </c>
      <c r="AG34" s="11" t="str">
        <f t="shared" si="8"/>
        <v/>
      </c>
      <c r="AH34" s="11" t="str">
        <f t="shared" si="8"/>
        <v/>
      </c>
      <c r="AI34" s="11" t="str">
        <f t="shared" si="8"/>
        <v/>
      </c>
      <c r="AJ34" s="11" t="str">
        <f t="shared" si="8"/>
        <v/>
      </c>
      <c r="AK34" s="11" t="str">
        <f t="shared" si="8"/>
        <v/>
      </c>
    </row>
    <row r="35" spans="1:37" x14ac:dyDescent="0.35">
      <c r="A35" s="236"/>
      <c r="B35" s="11" t="str">
        <f t="shared" ref="B35:M35" si="15">IF(B12="","",(B12/$O$23))</f>
        <v/>
      </c>
      <c r="C35" s="11">
        <f t="shared" si="15"/>
        <v>1.7699165805254252E-2</v>
      </c>
      <c r="D35" s="11">
        <f t="shared" si="15"/>
        <v>0.21007154688531299</v>
      </c>
      <c r="E35" s="11">
        <f t="shared" si="15"/>
        <v>3.8356268857222792E-2</v>
      </c>
      <c r="F35" s="11">
        <f t="shared" si="15"/>
        <v>0.59349014729504201</v>
      </c>
      <c r="G35" s="11">
        <f t="shared" si="15"/>
        <v>2.035028337070945</v>
      </c>
      <c r="H35" s="11">
        <f t="shared" si="15"/>
        <v>4.3251424643026741</v>
      </c>
      <c r="I35" s="11">
        <f t="shared" si="15"/>
        <v>0.19269010924475388</v>
      </c>
      <c r="J35" s="11">
        <f t="shared" si="15"/>
        <v>4.7745677601772764E-2</v>
      </c>
      <c r="K35" s="11">
        <f t="shared" si="15"/>
        <v>5.2255912415689214E-2</v>
      </c>
      <c r="L35" s="11">
        <f t="shared" si="15"/>
        <v>7.1612459193280215E-2</v>
      </c>
      <c r="M35" s="11">
        <f t="shared" si="15"/>
        <v>0.53800262189979009</v>
      </c>
      <c r="N35" s="6"/>
      <c r="O35" s="11">
        <f t="shared" si="8"/>
        <v>0.7847232223564623</v>
      </c>
      <c r="P35" s="11">
        <f t="shared" si="8"/>
        <v>1.1436694120126898</v>
      </c>
      <c r="Q35" s="11">
        <f t="shared" si="8"/>
        <v>1.847742543454799E-2</v>
      </c>
      <c r="R35" s="11">
        <f t="shared" si="8"/>
        <v>0.28757794613199805</v>
      </c>
      <c r="S35" s="11">
        <f t="shared" si="8"/>
        <v>0.73199080946963013</v>
      </c>
      <c r="T35" s="11">
        <f t="shared" si="8"/>
        <v>6.6107832506321587E-2</v>
      </c>
      <c r="U35" s="11">
        <f t="shared" si="8"/>
        <v>3.7637296459122893E-3</v>
      </c>
      <c r="V35" s="11">
        <f t="shared" si="8"/>
        <v>5.1259409696954375E-2</v>
      </c>
      <c r="W35" s="11" t="str">
        <f t="shared" si="8"/>
        <v/>
      </c>
      <c r="X35" s="11" t="str">
        <f t="shared" si="8"/>
        <v/>
      </c>
      <c r="Y35" s="11" t="str">
        <f t="shared" si="8"/>
        <v/>
      </c>
      <c r="Z35" s="11" t="str">
        <f t="shared" si="8"/>
        <v/>
      </c>
      <c r="AA35" s="11" t="str">
        <f t="shared" si="8"/>
        <v/>
      </c>
      <c r="AB35" s="11" t="str">
        <f t="shared" si="8"/>
        <v/>
      </c>
      <c r="AC35" s="11" t="str">
        <f t="shared" si="8"/>
        <v/>
      </c>
      <c r="AD35" s="11" t="str">
        <f t="shared" si="8"/>
        <v/>
      </c>
      <c r="AE35" s="11" t="str">
        <f t="shared" si="8"/>
        <v/>
      </c>
      <c r="AF35" s="11" t="str">
        <f t="shared" si="8"/>
        <v/>
      </c>
      <c r="AG35" s="11" t="str">
        <f t="shared" si="8"/>
        <v/>
      </c>
      <c r="AH35" s="11" t="str">
        <f t="shared" si="8"/>
        <v/>
      </c>
      <c r="AI35" s="11" t="str">
        <f t="shared" si="8"/>
        <v/>
      </c>
      <c r="AJ35" s="11" t="str">
        <f t="shared" si="8"/>
        <v/>
      </c>
      <c r="AK35" s="11" t="str">
        <f t="shared" si="8"/>
        <v/>
      </c>
    </row>
    <row r="36" spans="1:37" x14ac:dyDescent="0.35">
      <c r="A36" s="236"/>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0.70746700421230735</v>
      </c>
      <c r="P36" s="11" t="str">
        <f t="shared" si="8"/>
        <v/>
      </c>
      <c r="Q36" s="11" t="str">
        <f t="shared" si="8"/>
        <v/>
      </c>
      <c r="R36" s="11" t="str">
        <f t="shared" si="8"/>
        <v/>
      </c>
      <c r="S36" s="11" t="str">
        <f t="shared" si="8"/>
        <v/>
      </c>
      <c r="T36" s="11" t="str">
        <f t="shared" si="8"/>
        <v/>
      </c>
      <c r="U36" s="11" t="str">
        <f t="shared" si="8"/>
        <v/>
      </c>
      <c r="V36" s="11" t="str">
        <f t="shared" si="8"/>
        <v/>
      </c>
      <c r="W36" s="11" t="str">
        <f t="shared" si="8"/>
        <v/>
      </c>
      <c r="X36" s="11" t="str">
        <f t="shared" si="8"/>
        <v/>
      </c>
      <c r="Y36" s="11" t="str">
        <f t="shared" si="8"/>
        <v/>
      </c>
      <c r="Z36" s="11" t="str">
        <f t="shared" si="8"/>
        <v/>
      </c>
      <c r="AA36" s="11" t="str">
        <f t="shared" si="8"/>
        <v/>
      </c>
      <c r="AB36" s="11" t="str">
        <f t="shared" si="8"/>
        <v/>
      </c>
      <c r="AC36" s="11" t="str">
        <f t="shared" si="8"/>
        <v/>
      </c>
      <c r="AD36" s="11" t="str">
        <f t="shared" si="8"/>
        <v/>
      </c>
      <c r="AE36" s="11" t="str">
        <f t="shared" si="8"/>
        <v/>
      </c>
      <c r="AF36" s="11" t="str">
        <f t="shared" si="8"/>
        <v/>
      </c>
      <c r="AG36" s="11" t="str">
        <f t="shared" si="8"/>
        <v/>
      </c>
      <c r="AH36" s="11" t="str">
        <f t="shared" si="8"/>
        <v/>
      </c>
      <c r="AI36" s="11" t="str">
        <f t="shared" si="8"/>
        <v/>
      </c>
      <c r="AJ36" s="11" t="str">
        <f t="shared" si="8"/>
        <v/>
      </c>
      <c r="AK36" s="11" t="str">
        <f t="shared" si="8"/>
        <v/>
      </c>
    </row>
    <row r="37" spans="1:37" x14ac:dyDescent="0.35">
      <c r="A37" s="236"/>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2.5480660787395464E-2</v>
      </c>
      <c r="P37" s="11" t="str">
        <f t="shared" si="8"/>
        <v/>
      </c>
      <c r="Q37" s="11" t="str">
        <f t="shared" si="8"/>
        <v/>
      </c>
      <c r="R37" s="11" t="str">
        <f t="shared" si="8"/>
        <v/>
      </c>
      <c r="S37" s="11" t="str">
        <f t="shared" si="8"/>
        <v/>
      </c>
      <c r="T37" s="11" t="str">
        <f t="shared" si="8"/>
        <v/>
      </c>
      <c r="U37" s="11" t="str">
        <f t="shared" si="8"/>
        <v/>
      </c>
      <c r="V37" s="11" t="str">
        <f t="shared" si="8"/>
        <v/>
      </c>
      <c r="W37" s="11" t="str">
        <f t="shared" si="8"/>
        <v/>
      </c>
      <c r="X37" s="11" t="str">
        <f t="shared" si="8"/>
        <v/>
      </c>
      <c r="Y37" s="11" t="str">
        <f t="shared" si="8"/>
        <v/>
      </c>
      <c r="Z37" s="11" t="str">
        <f t="shared" si="8"/>
        <v/>
      </c>
      <c r="AA37" s="11" t="str">
        <f t="shared" si="8"/>
        <v/>
      </c>
      <c r="AB37" s="11" t="str">
        <f t="shared" si="8"/>
        <v/>
      </c>
      <c r="AC37" s="11" t="str">
        <f t="shared" si="8"/>
        <v/>
      </c>
      <c r="AD37" s="11" t="str">
        <f t="shared" si="8"/>
        <v/>
      </c>
      <c r="AE37" s="11" t="str">
        <f t="shared" si="8"/>
        <v/>
      </c>
      <c r="AF37" s="11" t="str">
        <f t="shared" si="8"/>
        <v/>
      </c>
      <c r="AG37" s="11" t="str">
        <f t="shared" si="8"/>
        <v/>
      </c>
      <c r="AH37" s="11" t="str">
        <f t="shared" si="8"/>
        <v/>
      </c>
      <c r="AI37" s="11" t="str">
        <f t="shared" si="8"/>
        <v/>
      </c>
      <c r="AJ37" s="11" t="str">
        <f t="shared" si="8"/>
        <v/>
      </c>
      <c r="AK37" s="11" t="str">
        <f t="shared" si="8"/>
        <v/>
      </c>
    </row>
    <row r="38" spans="1:37" x14ac:dyDescent="0.35">
      <c r="A38" s="236"/>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1.6681257275677848</v>
      </c>
      <c r="P38" s="11" t="str">
        <f t="shared" si="8"/>
        <v/>
      </c>
      <c r="Q38" s="11" t="str">
        <f t="shared" si="8"/>
        <v/>
      </c>
      <c r="R38" s="11" t="str">
        <f t="shared" si="8"/>
        <v/>
      </c>
      <c r="S38" s="11" t="str">
        <f t="shared" si="8"/>
        <v/>
      </c>
      <c r="T38" s="11" t="str">
        <f t="shared" si="8"/>
        <v/>
      </c>
      <c r="U38" s="11" t="str">
        <f t="shared" si="8"/>
        <v/>
      </c>
      <c r="V38" s="11" t="str">
        <f t="shared" si="8"/>
        <v/>
      </c>
      <c r="W38" s="11" t="str">
        <f t="shared" si="8"/>
        <v/>
      </c>
      <c r="X38" s="11" t="str">
        <f t="shared" si="8"/>
        <v/>
      </c>
      <c r="Y38" s="11" t="str">
        <f t="shared" si="8"/>
        <v/>
      </c>
      <c r="Z38" s="11" t="str">
        <f t="shared" si="8"/>
        <v/>
      </c>
      <c r="AA38" s="11" t="str">
        <f t="shared" si="8"/>
        <v/>
      </c>
      <c r="AB38" s="11" t="str">
        <f t="shared" si="8"/>
        <v/>
      </c>
      <c r="AC38" s="11" t="str">
        <f t="shared" si="8"/>
        <v/>
      </c>
      <c r="AD38" s="11" t="str">
        <f t="shared" si="8"/>
        <v/>
      </c>
      <c r="AE38" s="11" t="str">
        <f t="shared" si="8"/>
        <v/>
      </c>
      <c r="AF38" s="11" t="str">
        <f t="shared" si="8"/>
        <v/>
      </c>
      <c r="AG38" s="11" t="str">
        <f t="shared" si="8"/>
        <v/>
      </c>
      <c r="AH38" s="11" t="str">
        <f t="shared" si="8"/>
        <v/>
      </c>
      <c r="AI38" s="11" t="str">
        <f t="shared" si="8"/>
        <v/>
      </c>
      <c r="AJ38" s="11" t="str">
        <f t="shared" si="8"/>
        <v/>
      </c>
      <c r="AK38" s="11" t="str">
        <f t="shared" si="8"/>
        <v/>
      </c>
    </row>
    <row r="39" spans="1:37" x14ac:dyDescent="0.35">
      <c r="A39" s="236"/>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0.5706735573235826</v>
      </c>
      <c r="P39" s="11" t="str">
        <f t="shared" si="8"/>
        <v/>
      </c>
      <c r="Q39" s="11" t="str">
        <f t="shared" ref="Q39:AK39" si="20">IF(Q16="","",(Q16/$O$23))</f>
        <v/>
      </c>
      <c r="R39" s="11" t="str">
        <f t="shared" si="20"/>
        <v/>
      </c>
      <c r="S39" s="11" t="str">
        <f t="shared" si="20"/>
        <v/>
      </c>
      <c r="T39" s="11" t="str">
        <f t="shared" si="20"/>
        <v/>
      </c>
      <c r="U39" s="11" t="str">
        <f t="shared" si="20"/>
        <v/>
      </c>
      <c r="V39" s="11" t="str">
        <f t="shared" si="20"/>
        <v/>
      </c>
      <c r="W39" s="11" t="str">
        <f t="shared" si="20"/>
        <v/>
      </c>
      <c r="X39" s="11" t="str">
        <f t="shared" si="20"/>
        <v/>
      </c>
      <c r="Y39" s="11" t="str">
        <f t="shared" si="20"/>
        <v/>
      </c>
      <c r="Z39" s="11" t="str">
        <f t="shared" si="20"/>
        <v/>
      </c>
      <c r="AA39" s="11" t="str">
        <f t="shared" si="20"/>
        <v/>
      </c>
      <c r="AB39" s="11" t="str">
        <f t="shared" si="20"/>
        <v/>
      </c>
      <c r="AC39" s="11" t="str">
        <f t="shared" si="20"/>
        <v/>
      </c>
      <c r="AD39" s="11" t="str">
        <f t="shared" si="20"/>
        <v/>
      </c>
      <c r="AE39" s="11" t="str">
        <f t="shared" si="20"/>
        <v/>
      </c>
      <c r="AF39" s="11" t="str">
        <f t="shared" si="20"/>
        <v/>
      </c>
      <c r="AG39" s="11" t="str">
        <f t="shared" si="20"/>
        <v/>
      </c>
      <c r="AH39" s="11" t="str">
        <f t="shared" si="20"/>
        <v/>
      </c>
      <c r="AI39" s="11" t="str">
        <f t="shared" si="20"/>
        <v/>
      </c>
      <c r="AJ39" s="11" t="str">
        <f t="shared" si="20"/>
        <v/>
      </c>
      <c r="AK39" s="11" t="str">
        <f t="shared" si="20"/>
        <v/>
      </c>
    </row>
    <row r="40" spans="1:37" x14ac:dyDescent="0.35">
      <c r="A40" s="236"/>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AK43" si="22">IF(O17="","",(O17/$O$23))</f>
        <v>2.4914552163322008</v>
      </c>
      <c r="P40" s="11" t="str">
        <f t="shared" si="22"/>
        <v/>
      </c>
      <c r="Q40" s="11" t="str">
        <f t="shared" si="22"/>
        <v/>
      </c>
      <c r="R40" s="11" t="str">
        <f t="shared" si="22"/>
        <v/>
      </c>
      <c r="S40" s="11" t="str">
        <f t="shared" si="22"/>
        <v/>
      </c>
      <c r="T40" s="11" t="str">
        <f t="shared" si="22"/>
        <v/>
      </c>
      <c r="U40" s="11" t="str">
        <f t="shared" si="22"/>
        <v/>
      </c>
      <c r="V40" s="11" t="str">
        <f t="shared" si="22"/>
        <v/>
      </c>
      <c r="W40" s="11" t="str">
        <f t="shared" si="22"/>
        <v/>
      </c>
      <c r="X40" s="11" t="str">
        <f t="shared" si="22"/>
        <v/>
      </c>
      <c r="Y40" s="11" t="str">
        <f t="shared" si="22"/>
        <v/>
      </c>
      <c r="Z40" s="11" t="str">
        <f t="shared" si="22"/>
        <v/>
      </c>
      <c r="AA40" s="11" t="str">
        <f t="shared" si="22"/>
        <v/>
      </c>
      <c r="AB40" s="11" t="str">
        <f t="shared" si="22"/>
        <v/>
      </c>
      <c r="AC40" s="11" t="str">
        <f t="shared" si="22"/>
        <v/>
      </c>
      <c r="AD40" s="11" t="str">
        <f t="shared" si="22"/>
        <v/>
      </c>
      <c r="AE40" s="11" t="str">
        <f t="shared" si="22"/>
        <v/>
      </c>
      <c r="AF40" s="11" t="str">
        <f t="shared" si="22"/>
        <v/>
      </c>
      <c r="AG40" s="11" t="str">
        <f t="shared" si="22"/>
        <v/>
      </c>
      <c r="AH40" s="11" t="str">
        <f t="shared" si="22"/>
        <v/>
      </c>
      <c r="AI40" s="11" t="str">
        <f t="shared" si="22"/>
        <v/>
      </c>
      <c r="AJ40" s="11" t="str">
        <f t="shared" si="22"/>
        <v/>
      </c>
      <c r="AK40" s="11" t="str">
        <f t="shared" si="22"/>
        <v/>
      </c>
    </row>
    <row r="41" spans="1:37" x14ac:dyDescent="0.35">
      <c r="A41" s="236"/>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1.2273613233460658</v>
      </c>
      <c r="P41" s="11" t="str">
        <f t="shared" si="22"/>
        <v/>
      </c>
      <c r="Q41" s="11" t="str">
        <f t="shared" si="22"/>
        <v/>
      </c>
      <c r="R41" s="11" t="str">
        <f t="shared" si="22"/>
        <v/>
      </c>
      <c r="S41" s="11" t="str">
        <f t="shared" si="22"/>
        <v/>
      </c>
      <c r="T41" s="11" t="str">
        <f t="shared" si="22"/>
        <v/>
      </c>
      <c r="U41" s="11" t="str">
        <f t="shared" si="22"/>
        <v/>
      </c>
      <c r="V41" s="11" t="str">
        <f t="shared" si="22"/>
        <v/>
      </c>
      <c r="W41" s="11" t="str">
        <f t="shared" si="22"/>
        <v/>
      </c>
      <c r="X41" s="11" t="str">
        <f t="shared" si="22"/>
        <v/>
      </c>
      <c r="Y41" s="11" t="str">
        <f t="shared" si="22"/>
        <v/>
      </c>
      <c r="Z41" s="11" t="str">
        <f t="shared" si="22"/>
        <v/>
      </c>
      <c r="AA41" s="11" t="str">
        <f t="shared" si="22"/>
        <v/>
      </c>
      <c r="AB41" s="11" t="str">
        <f t="shared" si="22"/>
        <v/>
      </c>
      <c r="AC41" s="11" t="str">
        <f t="shared" si="22"/>
        <v/>
      </c>
      <c r="AD41" s="11" t="str">
        <f t="shared" si="22"/>
        <v/>
      </c>
      <c r="AE41" s="11" t="str">
        <f t="shared" si="22"/>
        <v/>
      </c>
      <c r="AF41" s="11" t="str">
        <f t="shared" si="22"/>
        <v/>
      </c>
      <c r="AG41" s="11" t="str">
        <f t="shared" si="22"/>
        <v/>
      </c>
      <c r="AH41" s="11" t="str">
        <f t="shared" si="22"/>
        <v/>
      </c>
      <c r="AI41" s="11" t="str">
        <f t="shared" si="22"/>
        <v/>
      </c>
      <c r="AJ41" s="11" t="str">
        <f t="shared" si="22"/>
        <v/>
      </c>
      <c r="AK41" s="11" t="str">
        <f t="shared" si="22"/>
        <v/>
      </c>
    </row>
    <row r="42" spans="1:37" x14ac:dyDescent="0.35">
      <c r="A42" s="236"/>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0.17213616230402662</v>
      </c>
      <c r="P42" s="11" t="str">
        <f t="shared" si="22"/>
        <v/>
      </c>
      <c r="Q42" s="11" t="str">
        <f t="shared" si="22"/>
        <v/>
      </c>
      <c r="R42" s="11" t="str">
        <f t="shared" si="22"/>
        <v/>
      </c>
      <c r="S42" s="11" t="str">
        <f t="shared" si="22"/>
        <v/>
      </c>
      <c r="T42" s="11" t="str">
        <f t="shared" si="22"/>
        <v/>
      </c>
      <c r="U42" s="11" t="str">
        <f t="shared" si="22"/>
        <v/>
      </c>
      <c r="V42" s="11" t="str">
        <f t="shared" si="22"/>
        <v/>
      </c>
      <c r="W42" s="11" t="str">
        <f t="shared" si="22"/>
        <v/>
      </c>
      <c r="X42" s="11" t="str">
        <f t="shared" si="22"/>
        <v/>
      </c>
      <c r="Y42" s="11" t="str">
        <f t="shared" si="22"/>
        <v/>
      </c>
      <c r="Z42" s="11" t="str">
        <f t="shared" si="22"/>
        <v/>
      </c>
      <c r="AA42" s="11" t="str">
        <f t="shared" si="22"/>
        <v/>
      </c>
      <c r="AB42" s="11" t="str">
        <f t="shared" si="22"/>
        <v/>
      </c>
      <c r="AC42" s="11" t="str">
        <f t="shared" si="22"/>
        <v/>
      </c>
      <c r="AD42" s="11" t="str">
        <f t="shared" si="22"/>
        <v/>
      </c>
      <c r="AE42" s="11" t="str">
        <f t="shared" si="22"/>
        <v/>
      </c>
      <c r="AF42" s="11" t="str">
        <f t="shared" si="22"/>
        <v/>
      </c>
      <c r="AG42" s="11" t="str">
        <f t="shared" si="22"/>
        <v/>
      </c>
      <c r="AH42" s="11" t="str">
        <f t="shared" si="22"/>
        <v/>
      </c>
      <c r="AI42" s="11" t="str">
        <f t="shared" si="22"/>
        <v/>
      </c>
      <c r="AJ42" s="11" t="str">
        <f t="shared" si="22"/>
        <v/>
      </c>
      <c r="AK42" s="11" t="str">
        <f t="shared" si="22"/>
        <v/>
      </c>
    </row>
    <row r="43" spans="1:37" x14ac:dyDescent="0.35">
      <c r="A43" s="236"/>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0.27721369378103794</v>
      </c>
      <c r="P43" s="11" t="str">
        <f t="shared" si="22"/>
        <v/>
      </c>
      <c r="Q43" s="11" t="str">
        <f t="shared" si="22"/>
        <v/>
      </c>
      <c r="R43" s="11" t="str">
        <f t="shared" si="22"/>
        <v/>
      </c>
      <c r="S43" s="11" t="str">
        <f t="shared" si="22"/>
        <v/>
      </c>
      <c r="T43" s="11" t="str">
        <f t="shared" si="22"/>
        <v/>
      </c>
      <c r="U43" s="11" t="str">
        <f t="shared" si="22"/>
        <v/>
      </c>
      <c r="V43" s="11" t="str">
        <f t="shared" si="22"/>
        <v/>
      </c>
      <c r="W43" s="11" t="str">
        <f t="shared" si="22"/>
        <v/>
      </c>
      <c r="X43" s="11" t="str">
        <f t="shared" si="22"/>
        <v/>
      </c>
      <c r="Y43" s="11" t="str">
        <f t="shared" si="22"/>
        <v/>
      </c>
      <c r="Z43" s="11" t="str">
        <f t="shared" si="22"/>
        <v/>
      </c>
      <c r="AA43" s="11" t="str">
        <f t="shared" si="22"/>
        <v/>
      </c>
      <c r="AB43" s="11" t="str">
        <f t="shared" si="22"/>
        <v/>
      </c>
      <c r="AC43" s="11" t="str">
        <f t="shared" si="22"/>
        <v/>
      </c>
      <c r="AD43" s="11" t="str">
        <f t="shared" si="22"/>
        <v/>
      </c>
      <c r="AE43" s="11" t="str">
        <f t="shared" si="22"/>
        <v/>
      </c>
      <c r="AF43" s="11" t="str">
        <f t="shared" si="22"/>
        <v/>
      </c>
      <c r="AG43" s="11" t="str">
        <f t="shared" si="22"/>
        <v/>
      </c>
      <c r="AH43" s="11" t="str">
        <f t="shared" si="22"/>
        <v/>
      </c>
      <c r="AI43" s="11" t="str">
        <f t="shared" si="22"/>
        <v/>
      </c>
      <c r="AJ43" s="11" t="str">
        <f t="shared" si="22"/>
        <v/>
      </c>
      <c r="AK43" s="11" t="str">
        <f t="shared" si="22"/>
        <v/>
      </c>
    </row>
    <row r="44" spans="1:37" x14ac:dyDescent="0.3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35">
      <c r="A45" s="7" t="str">
        <f>A4</f>
        <v>Noms des groupes</v>
      </c>
      <c r="B45" s="7" t="str">
        <f t="shared" ref="B45:AK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Anastrozole 0,032 ug/L</v>
      </c>
      <c r="J45" s="7" t="str">
        <f t="shared" si="26"/>
        <v>Anastrozole 0,16 ug/L</v>
      </c>
      <c r="K45" s="7" t="str">
        <f t="shared" si="26"/>
        <v>Anastrozole 0,8 ug/L</v>
      </c>
      <c r="L45" s="7" t="str">
        <f t="shared" si="26"/>
        <v>Anastrozole 4 ug/L</v>
      </c>
      <c r="M45" s="7" t="str">
        <f t="shared" si="26"/>
        <v>Anastrozole 20 ug/L</v>
      </c>
      <c r="N45" s="7"/>
      <c r="O45" s="7" t="str">
        <f t="shared" si="26"/>
        <v>Testo -30µg/L</v>
      </c>
      <c r="P45" s="7" t="str">
        <f t="shared" si="26"/>
        <v>Testo 30µg/L + EE2 -64ng/L</v>
      </c>
      <c r="Q45" s="7" t="str">
        <f t="shared" si="26"/>
        <v>Testo 30µg/L + FAD-10mg/L</v>
      </c>
      <c r="R45" s="7" t="str">
        <f t="shared" si="26"/>
        <v>Anastrozole-0,032ug/L + Testostérone</v>
      </c>
      <c r="S45" s="7" t="str">
        <f t="shared" si="26"/>
        <v>Anastrozole-0,16ug/L + Testostérone</v>
      </c>
      <c r="T45" s="7" t="str">
        <f t="shared" si="26"/>
        <v>Anastrozole-0,8ug/L + Testostérone</v>
      </c>
      <c r="U45" s="7" t="str">
        <f t="shared" si="26"/>
        <v>Anastrozole-4ug/L + Testostérone</v>
      </c>
      <c r="V45" s="7" t="str">
        <f t="shared" si="26"/>
        <v>Anastrozole-20ug/L + Testostérone</v>
      </c>
      <c r="W45" s="7" t="str">
        <f t="shared" si="26"/>
        <v>0-00 + Testostérone</v>
      </c>
      <c r="X45" s="7" t="str">
        <f t="shared" si="26"/>
        <v>0-00 + Testostérone</v>
      </c>
      <c r="Y45" s="7" t="str">
        <f t="shared" si="26"/>
        <v>0-00 + Testostérone</v>
      </c>
      <c r="Z45" s="7" t="str">
        <f t="shared" si="26"/>
        <v>0-00 + Testostérone</v>
      </c>
      <c r="AA45" s="7" t="str">
        <f t="shared" si="26"/>
        <v>0-00 + Testostérone</v>
      </c>
      <c r="AB45" s="7" t="str">
        <f t="shared" si="26"/>
        <v>0-00 + Testostérone</v>
      </c>
      <c r="AC45" s="7" t="str">
        <f t="shared" si="26"/>
        <v>0-00 + Testostérone</v>
      </c>
      <c r="AD45" s="7" t="str">
        <f t="shared" si="26"/>
        <v>0-00 + Testostérone</v>
      </c>
      <c r="AE45" s="7" t="str">
        <f t="shared" si="26"/>
        <v>0-00 + Testostérone</v>
      </c>
      <c r="AF45" s="7" t="str">
        <f t="shared" si="26"/>
        <v>0-00 + Testostérone</v>
      </c>
      <c r="AG45" s="7" t="str">
        <f t="shared" si="26"/>
        <v>0-00 + Testostérone</v>
      </c>
      <c r="AH45" s="7" t="str">
        <f t="shared" si="26"/>
        <v>0-00 + Testostérone</v>
      </c>
      <c r="AI45" s="7" t="str">
        <f t="shared" si="26"/>
        <v>0-00 + Testostérone</v>
      </c>
      <c r="AJ45" s="7" t="str">
        <f t="shared" si="26"/>
        <v>0-00 + Testostérone</v>
      </c>
      <c r="AK45" s="7" t="str">
        <f t="shared" si="26"/>
        <v>0-00 + Testostérone</v>
      </c>
    </row>
    <row r="46" spans="1:37" x14ac:dyDescent="0.35">
      <c r="A46" s="8" t="s">
        <v>0</v>
      </c>
      <c r="B46" s="10">
        <f t="shared" ref="B46:H46" si="27">AVERAGE(B28:B43)</f>
        <v>8.3226869738850281E-2</v>
      </c>
      <c r="C46" s="10">
        <f t="shared" si="27"/>
        <v>5.1858534242058524E-2</v>
      </c>
      <c r="D46" s="10">
        <f t="shared" si="27"/>
        <v>0.12903810803799259</v>
      </c>
      <c r="E46" s="10">
        <f t="shared" si="27"/>
        <v>0.31771150081394245</v>
      </c>
      <c r="F46" s="10">
        <f t="shared" si="27"/>
        <v>1.2061590255620431</v>
      </c>
      <c r="G46" s="10">
        <f t="shared" si="27"/>
        <v>1.6144306772691999</v>
      </c>
      <c r="H46" s="10">
        <f t="shared" si="27"/>
        <v>2.4569163201342539</v>
      </c>
      <c r="I46" s="10">
        <f>AVERAGE(I28:I43)</f>
        <v>8.2540605615854495E-2</v>
      </c>
      <c r="J46" s="9">
        <f>AVERAGE(J28:J43)</f>
        <v>8.2083010980045695E-2</v>
      </c>
      <c r="K46" s="9">
        <f t="shared" ref="K46:M46" si="28">AVERAGE(K28:K43)</f>
        <v>0.12622324941888075</v>
      </c>
      <c r="L46" s="9">
        <f t="shared" si="28"/>
        <v>6.7576407509039871E-2</v>
      </c>
      <c r="M46" s="9">
        <f t="shared" si="28"/>
        <v>0.22417490999709599</v>
      </c>
      <c r="N46" s="8" t="s">
        <v>0</v>
      </c>
      <c r="O46" s="10">
        <f t="shared" ref="O46:AK46" si="29">AVERAGE(O28:O43)</f>
        <v>1.0000000000000002</v>
      </c>
      <c r="P46" s="10">
        <f t="shared" si="29"/>
        <v>1.3599702480888418</v>
      </c>
      <c r="Q46" s="10">
        <f t="shared" si="29"/>
        <v>8.196869262500571E-2</v>
      </c>
      <c r="R46" s="10">
        <f t="shared" si="29"/>
        <v>1.1355434591350715</v>
      </c>
      <c r="S46" s="10">
        <f t="shared" si="29"/>
        <v>0.576435661297096</v>
      </c>
      <c r="T46" s="10">
        <f t="shared" si="29"/>
        <v>0.11054191443195985</v>
      </c>
      <c r="U46" s="10">
        <f t="shared" si="29"/>
        <v>9.0630375845023758E-2</v>
      </c>
      <c r="V46" s="10">
        <f t="shared" si="29"/>
        <v>8.8592950872108528E-2</v>
      </c>
      <c r="W46" s="10" t="e">
        <f t="shared" si="29"/>
        <v>#DIV/0!</v>
      </c>
      <c r="X46" s="10" t="e">
        <f t="shared" si="29"/>
        <v>#DIV/0!</v>
      </c>
      <c r="Y46" s="10" t="e">
        <f t="shared" si="29"/>
        <v>#DIV/0!</v>
      </c>
      <c r="Z46" s="10" t="e">
        <f t="shared" si="29"/>
        <v>#DIV/0!</v>
      </c>
      <c r="AA46" s="10" t="e">
        <f t="shared" si="29"/>
        <v>#DIV/0!</v>
      </c>
      <c r="AB46" s="10" t="e">
        <f t="shared" si="29"/>
        <v>#DIV/0!</v>
      </c>
      <c r="AC46" s="10" t="e">
        <f t="shared" si="29"/>
        <v>#DIV/0!</v>
      </c>
      <c r="AD46" s="10" t="e">
        <f t="shared" si="29"/>
        <v>#DIV/0!</v>
      </c>
      <c r="AE46" s="10" t="e">
        <f t="shared" si="29"/>
        <v>#DIV/0!</v>
      </c>
      <c r="AF46" s="10" t="e">
        <f t="shared" si="29"/>
        <v>#DIV/0!</v>
      </c>
      <c r="AG46" s="10" t="e">
        <f t="shared" si="29"/>
        <v>#DIV/0!</v>
      </c>
      <c r="AH46" s="10" t="e">
        <f t="shared" si="29"/>
        <v>#DIV/0!</v>
      </c>
      <c r="AI46" s="10" t="e">
        <f t="shared" si="29"/>
        <v>#DIV/0!</v>
      </c>
      <c r="AJ46" s="10" t="e">
        <f t="shared" si="29"/>
        <v>#DIV/0!</v>
      </c>
      <c r="AK46" s="10" t="e">
        <f t="shared" si="29"/>
        <v>#DIV/0!</v>
      </c>
    </row>
    <row r="47" spans="1:37" x14ac:dyDescent="0.35">
      <c r="A47" s="8" t="s">
        <v>1</v>
      </c>
      <c r="B47" s="8">
        <f t="shared" ref="B47:M47" si="30">STDEV(B28:B43)</f>
        <v>7.1886517332220123E-2</v>
      </c>
      <c r="C47" s="8">
        <f t="shared" si="30"/>
        <v>3.9873541356559981E-2</v>
      </c>
      <c r="D47" s="8">
        <f t="shared" si="30"/>
        <v>0.17394017999559699</v>
      </c>
      <c r="E47" s="8">
        <f t="shared" si="30"/>
        <v>0.33596653849441449</v>
      </c>
      <c r="F47" s="8">
        <f t="shared" si="30"/>
        <v>0.83204589436192533</v>
      </c>
      <c r="G47" s="8">
        <f t="shared" si="30"/>
        <v>0.33176164233931932</v>
      </c>
      <c r="H47" s="8">
        <f t="shared" si="30"/>
        <v>1.3013203417876007</v>
      </c>
      <c r="I47" s="8">
        <f t="shared" si="30"/>
        <v>7.2953056319582502E-2</v>
      </c>
      <c r="J47" s="8">
        <f t="shared" si="30"/>
        <v>7.2872497180932125E-2</v>
      </c>
      <c r="K47" s="8">
        <f t="shared" si="30"/>
        <v>0.12062448511481831</v>
      </c>
      <c r="L47" s="8">
        <f t="shared" si="30"/>
        <v>7.3348876356305936E-2</v>
      </c>
      <c r="M47" s="8">
        <f t="shared" si="30"/>
        <v>0.2260365196333248</v>
      </c>
      <c r="N47" s="8" t="s">
        <v>1</v>
      </c>
      <c r="O47" s="8">
        <f t="shared" ref="O47:AK47" si="31">STDEV(O28:O43)</f>
        <v>0.77514556482671504</v>
      </c>
      <c r="P47" s="8">
        <f t="shared" si="31"/>
        <v>0.66277694757815664</v>
      </c>
      <c r="Q47" s="8">
        <f t="shared" si="31"/>
        <v>8.4921089866433139E-2</v>
      </c>
      <c r="R47" s="8">
        <f t="shared" si="31"/>
        <v>0.75247811513540896</v>
      </c>
      <c r="S47" s="8">
        <f t="shared" si="31"/>
        <v>0.39159980412181844</v>
      </c>
      <c r="T47" s="8">
        <f t="shared" si="31"/>
        <v>7.4724849736166415E-2</v>
      </c>
      <c r="U47" s="8">
        <f t="shared" si="31"/>
        <v>6.319337513070622E-2</v>
      </c>
      <c r="V47" s="8">
        <f t="shared" si="31"/>
        <v>8.431709082209482E-2</v>
      </c>
      <c r="W47" s="8" t="e">
        <f t="shared" si="31"/>
        <v>#DIV/0!</v>
      </c>
      <c r="X47" s="8" t="e">
        <f t="shared" si="31"/>
        <v>#DIV/0!</v>
      </c>
      <c r="Y47" s="8" t="e">
        <f t="shared" si="31"/>
        <v>#DIV/0!</v>
      </c>
      <c r="Z47" s="8" t="e">
        <f t="shared" si="31"/>
        <v>#DIV/0!</v>
      </c>
      <c r="AA47" s="8" t="e">
        <f t="shared" si="31"/>
        <v>#DIV/0!</v>
      </c>
      <c r="AB47" s="8" t="e">
        <f t="shared" si="31"/>
        <v>#DIV/0!</v>
      </c>
      <c r="AC47" s="8" t="e">
        <f t="shared" si="31"/>
        <v>#DIV/0!</v>
      </c>
      <c r="AD47" s="8" t="e">
        <f t="shared" si="31"/>
        <v>#DIV/0!</v>
      </c>
      <c r="AE47" s="8" t="e">
        <f t="shared" si="31"/>
        <v>#DIV/0!</v>
      </c>
      <c r="AF47" s="8" t="e">
        <f t="shared" si="31"/>
        <v>#DIV/0!</v>
      </c>
      <c r="AG47" s="8" t="e">
        <f t="shared" si="31"/>
        <v>#DIV/0!</v>
      </c>
      <c r="AH47" s="8" t="e">
        <f t="shared" si="31"/>
        <v>#DIV/0!</v>
      </c>
      <c r="AI47" s="8" t="e">
        <f t="shared" si="31"/>
        <v>#DIV/0!</v>
      </c>
      <c r="AJ47" s="8" t="e">
        <f t="shared" si="31"/>
        <v>#DIV/0!</v>
      </c>
      <c r="AK47" s="8" t="e">
        <f t="shared" si="31"/>
        <v>#DIV/0!</v>
      </c>
    </row>
    <row r="48" spans="1:37" x14ac:dyDescent="0.35">
      <c r="A48" s="8" t="s">
        <v>2</v>
      </c>
      <c r="B48" s="8">
        <f t="shared" ref="B48:M48" si="32" xml:space="preserve"> B47/SQRT(COUNT(B28:B43))</f>
        <v>2.7170549639941258E-2</v>
      </c>
      <c r="C48" s="8">
        <f t="shared" si="32"/>
        <v>1.4097425741572906E-2</v>
      </c>
      <c r="D48" s="8">
        <f t="shared" si="32"/>
        <v>6.1497140397847642E-2</v>
      </c>
      <c r="E48" s="8">
        <f t="shared" si="32"/>
        <v>0.12698341567077562</v>
      </c>
      <c r="F48" s="8">
        <f t="shared" si="32"/>
        <v>0.29417264708087154</v>
      </c>
      <c r="G48" s="8">
        <f t="shared" si="32"/>
        <v>0.11729545351785935</v>
      </c>
      <c r="H48" s="8">
        <f t="shared" si="32"/>
        <v>0.46008621908700409</v>
      </c>
      <c r="I48" s="8">
        <f t="shared" si="32"/>
        <v>2.5792800415930451E-2</v>
      </c>
      <c r="J48" s="8">
        <f t="shared" si="32"/>
        <v>2.5764318459317335E-2</v>
      </c>
      <c r="K48" s="8">
        <f t="shared" si="32"/>
        <v>4.264719570091189E-2</v>
      </c>
      <c r="L48" s="8">
        <f t="shared" si="32"/>
        <v>2.5932743931978773E-2</v>
      </c>
      <c r="M48" s="8">
        <f t="shared" si="32"/>
        <v>7.9915977914265066E-2</v>
      </c>
      <c r="N48" s="8" t="s">
        <v>2</v>
      </c>
      <c r="O48" s="8">
        <f t="shared" ref="O48:AK48" si="33" xml:space="preserve"> O47/SQRT(COUNT(O28:O43))</f>
        <v>0.19378639120667876</v>
      </c>
      <c r="P48" s="8">
        <f t="shared" si="33"/>
        <v>0.23432703702331772</v>
      </c>
      <c r="Q48" s="8">
        <f t="shared" si="33"/>
        <v>3.0024139255153535E-2</v>
      </c>
      <c r="R48" s="8">
        <f t="shared" si="33"/>
        <v>0.26604118895335965</v>
      </c>
      <c r="S48" s="8">
        <f t="shared" si="33"/>
        <v>0.13845143850293076</v>
      </c>
      <c r="T48" s="8">
        <f t="shared" si="33"/>
        <v>2.6419223985794531E-2</v>
      </c>
      <c r="U48" s="8">
        <f t="shared" si="33"/>
        <v>2.2342232040493848E-2</v>
      </c>
      <c r="V48" s="8">
        <f t="shared" si="33"/>
        <v>2.9810593345112626E-2</v>
      </c>
      <c r="W48" s="8" t="e">
        <f t="shared" si="33"/>
        <v>#DIV/0!</v>
      </c>
      <c r="X48" s="8" t="e">
        <f t="shared" si="33"/>
        <v>#DIV/0!</v>
      </c>
      <c r="Y48" s="8" t="e">
        <f t="shared" si="33"/>
        <v>#DIV/0!</v>
      </c>
      <c r="Z48" s="8" t="e">
        <f t="shared" si="33"/>
        <v>#DIV/0!</v>
      </c>
      <c r="AA48" s="8" t="e">
        <f t="shared" si="33"/>
        <v>#DIV/0!</v>
      </c>
      <c r="AB48" s="8" t="e">
        <f t="shared" si="33"/>
        <v>#DIV/0!</v>
      </c>
      <c r="AC48" s="8" t="e">
        <f t="shared" si="33"/>
        <v>#DIV/0!</v>
      </c>
      <c r="AD48" s="8" t="e">
        <f t="shared" si="33"/>
        <v>#DIV/0!</v>
      </c>
      <c r="AE48" s="8" t="e">
        <f t="shared" si="33"/>
        <v>#DIV/0!</v>
      </c>
      <c r="AF48" s="8" t="e">
        <f t="shared" si="33"/>
        <v>#DIV/0!</v>
      </c>
      <c r="AG48" s="8" t="e">
        <f t="shared" si="33"/>
        <v>#DIV/0!</v>
      </c>
      <c r="AH48" s="8" t="e">
        <f t="shared" si="33"/>
        <v>#DIV/0!</v>
      </c>
      <c r="AI48" s="8" t="e">
        <f t="shared" si="33"/>
        <v>#DIV/0!</v>
      </c>
      <c r="AJ48" s="8" t="e">
        <f t="shared" si="33"/>
        <v>#DIV/0!</v>
      </c>
      <c r="AK48" s="8" t="e">
        <f t="shared" si="33"/>
        <v>#DIV/0!</v>
      </c>
    </row>
    <row r="49" spans="1:37" ht="15" thickBot="1" x14ac:dyDescent="0.4">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6.5" thickBot="1" x14ac:dyDescent="0.65">
      <c r="A50" s="225" t="s">
        <v>44</v>
      </c>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7"/>
    </row>
    <row r="51" spans="1:37" ht="15" thickBot="1" x14ac:dyDescent="0.4"/>
    <row r="52" spans="1:37"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Anastrozole 0,032 ug/L</v>
      </c>
      <c r="J52" s="46" t="str">
        <f>J4</f>
        <v>Anastrozole 0,16 ug/L</v>
      </c>
      <c r="K52" s="46" t="str">
        <f t="shared" ref="K52:M52" si="35">K4</f>
        <v>Anastrozole 0,8 ug/L</v>
      </c>
      <c r="L52" s="46" t="str">
        <f t="shared" si="35"/>
        <v>Anastrozole 4 ug/L</v>
      </c>
      <c r="M52" s="46" t="str">
        <f t="shared" si="35"/>
        <v>Anastrozole 20 ug/L</v>
      </c>
      <c r="N52" s="47"/>
      <c r="O52" s="46" t="str">
        <f>O27</f>
        <v>Testo -30µg/L</v>
      </c>
      <c r="P52" s="46" t="str">
        <f>P27</f>
        <v>Testo 30µg/L + EE2 -64ng/L</v>
      </c>
      <c r="Q52" s="46" t="str">
        <f>Q27</f>
        <v>Testo 30µg/L + FAD-10mg/L</v>
      </c>
      <c r="R52" s="46" t="str">
        <f>R27</f>
        <v>Anastrozole-0,032ug/L + Testostérone</v>
      </c>
      <c r="S52" s="46" t="str">
        <f t="shared" ref="S52:AK52" si="36">S27</f>
        <v>Anastrozole-0,16ug/L + Testostérone</v>
      </c>
      <c r="T52" s="46" t="str">
        <f t="shared" si="36"/>
        <v>Anastrozole-0,8ug/L + Testostérone</v>
      </c>
      <c r="U52" s="46" t="str">
        <f t="shared" si="36"/>
        <v>Anastrozole-4ug/L + Testostérone</v>
      </c>
      <c r="V52" s="46" t="str">
        <f t="shared" si="36"/>
        <v>Anastrozole-20ug/L + Testostérone</v>
      </c>
      <c r="W52" s="46" t="str">
        <f t="shared" si="36"/>
        <v>0-00 + Testostérone</v>
      </c>
      <c r="X52" s="46" t="str">
        <f t="shared" si="36"/>
        <v>0-00 + Testostérone</v>
      </c>
      <c r="Y52" s="46" t="str">
        <f t="shared" si="36"/>
        <v>0-00 + Testostérone</v>
      </c>
      <c r="Z52" s="46" t="str">
        <f t="shared" si="36"/>
        <v>0-00 + Testostérone</v>
      </c>
      <c r="AA52" s="46" t="str">
        <f t="shared" si="36"/>
        <v>0-00 + Testostérone</v>
      </c>
      <c r="AB52" s="46" t="str">
        <f t="shared" si="36"/>
        <v>0-00 + Testostérone</v>
      </c>
      <c r="AC52" s="46" t="str">
        <f t="shared" si="36"/>
        <v>0-00 + Testostérone</v>
      </c>
      <c r="AD52" s="46" t="str">
        <f t="shared" si="36"/>
        <v>0-00 + Testostérone</v>
      </c>
      <c r="AE52" s="46" t="str">
        <f t="shared" si="36"/>
        <v>0-00 + Testostérone</v>
      </c>
      <c r="AF52" s="46" t="str">
        <f t="shared" si="36"/>
        <v>0-00 + Testostérone</v>
      </c>
      <c r="AG52" s="46" t="str">
        <f t="shared" si="36"/>
        <v>0-00 + Testostérone</v>
      </c>
      <c r="AH52" s="46" t="str">
        <f t="shared" si="36"/>
        <v>0-00 + Testostérone</v>
      </c>
      <c r="AI52" s="46" t="str">
        <f t="shared" si="36"/>
        <v>0-00 + Testostérone</v>
      </c>
      <c r="AJ52" s="46" t="str">
        <f t="shared" si="36"/>
        <v>0-00 + Testostérone</v>
      </c>
      <c r="AK52" s="46" t="str">
        <f t="shared" si="36"/>
        <v>0-00 + Testostérone</v>
      </c>
    </row>
    <row r="53" spans="1:37" s="3" customFormat="1" x14ac:dyDescent="0.35">
      <c r="A53" s="64" t="s">
        <v>32</v>
      </c>
      <c r="B53" s="145">
        <f t="shared" ref="B53:AK53" si="37">B46</f>
        <v>8.3226869738850281E-2</v>
      </c>
      <c r="C53" s="145">
        <f t="shared" si="37"/>
        <v>5.1858534242058524E-2</v>
      </c>
      <c r="D53" s="145">
        <f t="shared" si="37"/>
        <v>0.12903810803799259</v>
      </c>
      <c r="E53" s="145">
        <f t="shared" si="37"/>
        <v>0.31771150081394245</v>
      </c>
      <c r="F53" s="145">
        <f t="shared" si="37"/>
        <v>1.2061590255620431</v>
      </c>
      <c r="G53" s="145">
        <f t="shared" si="37"/>
        <v>1.6144306772691999</v>
      </c>
      <c r="H53" s="145">
        <f t="shared" si="37"/>
        <v>2.4569163201342539</v>
      </c>
      <c r="I53" s="145">
        <f t="shared" si="37"/>
        <v>8.2540605615854495E-2</v>
      </c>
      <c r="J53" s="145">
        <f t="shared" si="37"/>
        <v>8.2083010980045695E-2</v>
      </c>
      <c r="K53" s="145">
        <f t="shared" si="37"/>
        <v>0.12622324941888075</v>
      </c>
      <c r="L53" s="145">
        <f t="shared" si="37"/>
        <v>6.7576407509039871E-2</v>
      </c>
      <c r="M53" s="145">
        <f t="shared" si="37"/>
        <v>0.22417490999709599</v>
      </c>
      <c r="N53" s="145"/>
      <c r="O53" s="145">
        <f t="shared" si="37"/>
        <v>1.0000000000000002</v>
      </c>
      <c r="P53" s="145">
        <f t="shared" si="37"/>
        <v>1.3599702480888418</v>
      </c>
      <c r="Q53" s="145">
        <f t="shared" si="37"/>
        <v>8.196869262500571E-2</v>
      </c>
      <c r="R53" s="145">
        <f t="shared" si="37"/>
        <v>1.1355434591350715</v>
      </c>
      <c r="S53" s="145">
        <f t="shared" si="37"/>
        <v>0.576435661297096</v>
      </c>
      <c r="T53" s="145">
        <f t="shared" si="37"/>
        <v>0.11054191443195985</v>
      </c>
      <c r="U53" s="145">
        <f t="shared" si="37"/>
        <v>9.0630375845023758E-2</v>
      </c>
      <c r="V53" s="145">
        <f t="shared" si="37"/>
        <v>8.8592950872108528E-2</v>
      </c>
      <c r="W53" s="145" t="e">
        <f t="shared" si="37"/>
        <v>#DIV/0!</v>
      </c>
      <c r="X53" s="145" t="e">
        <f t="shared" si="37"/>
        <v>#DIV/0!</v>
      </c>
      <c r="Y53" s="145" t="e">
        <f t="shared" si="37"/>
        <v>#DIV/0!</v>
      </c>
      <c r="Z53" s="145" t="e">
        <f t="shared" si="37"/>
        <v>#DIV/0!</v>
      </c>
      <c r="AA53" s="145" t="e">
        <f t="shared" si="37"/>
        <v>#DIV/0!</v>
      </c>
      <c r="AB53" s="145" t="e">
        <f t="shared" si="37"/>
        <v>#DIV/0!</v>
      </c>
      <c r="AC53" s="145" t="e">
        <f t="shared" si="37"/>
        <v>#DIV/0!</v>
      </c>
      <c r="AD53" s="145" t="e">
        <f t="shared" si="37"/>
        <v>#DIV/0!</v>
      </c>
      <c r="AE53" s="145" t="e">
        <f t="shared" si="37"/>
        <v>#DIV/0!</v>
      </c>
      <c r="AF53" s="145" t="e">
        <f t="shared" si="37"/>
        <v>#DIV/0!</v>
      </c>
      <c r="AG53" s="145" t="e">
        <f t="shared" si="37"/>
        <v>#DIV/0!</v>
      </c>
      <c r="AH53" s="145" t="e">
        <f t="shared" si="37"/>
        <v>#DIV/0!</v>
      </c>
      <c r="AI53" s="145" t="e">
        <f t="shared" si="37"/>
        <v>#DIV/0!</v>
      </c>
      <c r="AJ53" s="145" t="e">
        <f t="shared" si="37"/>
        <v>#DIV/0!</v>
      </c>
      <c r="AK53" s="145" t="e">
        <f t="shared" si="37"/>
        <v>#DIV/0!</v>
      </c>
    </row>
    <row r="54" spans="1:37" s="3" customFormat="1" x14ac:dyDescent="0.35">
      <c r="A54" s="64" t="s">
        <v>2</v>
      </c>
      <c r="B54" s="145">
        <f t="shared" ref="B54:AK54" si="38">B48</f>
        <v>2.7170549639941258E-2</v>
      </c>
      <c r="C54" s="145">
        <f t="shared" si="38"/>
        <v>1.4097425741572906E-2</v>
      </c>
      <c r="D54" s="145">
        <f t="shared" si="38"/>
        <v>6.1497140397847642E-2</v>
      </c>
      <c r="E54" s="145">
        <f t="shared" si="38"/>
        <v>0.12698341567077562</v>
      </c>
      <c r="F54" s="145">
        <f t="shared" si="38"/>
        <v>0.29417264708087154</v>
      </c>
      <c r="G54" s="145">
        <f t="shared" si="38"/>
        <v>0.11729545351785935</v>
      </c>
      <c r="H54" s="145">
        <f t="shared" si="38"/>
        <v>0.46008621908700409</v>
      </c>
      <c r="I54" s="145">
        <f t="shared" si="38"/>
        <v>2.5792800415930451E-2</v>
      </c>
      <c r="J54" s="145">
        <f t="shared" si="38"/>
        <v>2.5764318459317335E-2</v>
      </c>
      <c r="K54" s="145">
        <f t="shared" si="38"/>
        <v>4.264719570091189E-2</v>
      </c>
      <c r="L54" s="145">
        <f t="shared" si="38"/>
        <v>2.5932743931978773E-2</v>
      </c>
      <c r="M54" s="145">
        <f t="shared" si="38"/>
        <v>7.9915977914265066E-2</v>
      </c>
      <c r="N54" s="145"/>
      <c r="O54" s="145">
        <f t="shared" si="38"/>
        <v>0.19378639120667876</v>
      </c>
      <c r="P54" s="145">
        <f t="shared" si="38"/>
        <v>0.23432703702331772</v>
      </c>
      <c r="Q54" s="145">
        <f t="shared" si="38"/>
        <v>3.0024139255153535E-2</v>
      </c>
      <c r="R54" s="145">
        <f t="shared" si="38"/>
        <v>0.26604118895335965</v>
      </c>
      <c r="S54" s="145">
        <f t="shared" si="38"/>
        <v>0.13845143850293076</v>
      </c>
      <c r="T54" s="145">
        <f t="shared" si="38"/>
        <v>2.6419223985794531E-2</v>
      </c>
      <c r="U54" s="145">
        <f t="shared" si="38"/>
        <v>2.2342232040493848E-2</v>
      </c>
      <c r="V54" s="145">
        <f t="shared" si="38"/>
        <v>2.9810593345112626E-2</v>
      </c>
      <c r="W54" s="145" t="e">
        <f t="shared" si="38"/>
        <v>#DIV/0!</v>
      </c>
      <c r="X54" s="145" t="e">
        <f t="shared" si="38"/>
        <v>#DIV/0!</v>
      </c>
      <c r="Y54" s="145" t="e">
        <f t="shared" si="38"/>
        <v>#DIV/0!</v>
      </c>
      <c r="Z54" s="145" t="e">
        <f t="shared" si="38"/>
        <v>#DIV/0!</v>
      </c>
      <c r="AA54" s="145" t="e">
        <f t="shared" si="38"/>
        <v>#DIV/0!</v>
      </c>
      <c r="AB54" s="145" t="e">
        <f t="shared" si="38"/>
        <v>#DIV/0!</v>
      </c>
      <c r="AC54" s="145" t="e">
        <f t="shared" si="38"/>
        <v>#DIV/0!</v>
      </c>
      <c r="AD54" s="145" t="e">
        <f t="shared" si="38"/>
        <v>#DIV/0!</v>
      </c>
      <c r="AE54" s="145" t="e">
        <f t="shared" si="38"/>
        <v>#DIV/0!</v>
      </c>
      <c r="AF54" s="145" t="e">
        <f t="shared" si="38"/>
        <v>#DIV/0!</v>
      </c>
      <c r="AG54" s="145" t="e">
        <f t="shared" si="38"/>
        <v>#DIV/0!</v>
      </c>
      <c r="AH54" s="145" t="e">
        <f t="shared" si="38"/>
        <v>#DIV/0!</v>
      </c>
      <c r="AI54" s="145" t="e">
        <f t="shared" si="38"/>
        <v>#DIV/0!</v>
      </c>
      <c r="AJ54" s="145" t="e">
        <f t="shared" si="38"/>
        <v>#DIV/0!</v>
      </c>
      <c r="AK54" s="145" t="e">
        <f t="shared" si="38"/>
        <v>#DIV/0!</v>
      </c>
    </row>
    <row r="55" spans="1:37" s="3" customFormat="1" x14ac:dyDescent="0.35">
      <c r="A55" s="64" t="s">
        <v>79</v>
      </c>
      <c r="B55" s="145">
        <f>(B53*100/$B53)-100</f>
        <v>0</v>
      </c>
      <c r="C55" s="145">
        <f t="shared" ref="C55:M55" si="39">(C53*100/$B53)-100</f>
        <v>-37.690154147596189</v>
      </c>
      <c r="D55" s="145">
        <f t="shared" si="39"/>
        <v>55.043807898685941</v>
      </c>
      <c r="E55" s="145">
        <f t="shared" si="39"/>
        <v>281.74149984357132</v>
      </c>
      <c r="F55" s="145">
        <f t="shared" si="39"/>
        <v>1349.2423292462342</v>
      </c>
      <c r="G55" s="145">
        <f t="shared" si="39"/>
        <v>1839.7950233319709</v>
      </c>
      <c r="H55" s="145">
        <f t="shared" si="39"/>
        <v>2852.0710412918079</v>
      </c>
      <c r="I55" s="145">
        <f t="shared" si="39"/>
        <v>-0.82457038832428964</v>
      </c>
      <c r="J55" s="145">
        <f t="shared" si="39"/>
        <v>-1.3743863759309818</v>
      </c>
      <c r="K55" s="145">
        <f t="shared" si="39"/>
        <v>51.661656643995769</v>
      </c>
      <c r="L55" s="145">
        <f t="shared" si="39"/>
        <v>-18.804578712281881</v>
      </c>
      <c r="M55" s="145">
        <f t="shared" si="39"/>
        <v>169.35400874803202</v>
      </c>
      <c r="N55" s="145"/>
      <c r="O55" s="145">
        <f>(O53*100/$O53)-100</f>
        <v>0</v>
      </c>
      <c r="P55" s="145">
        <f t="shared" ref="P55:AK55" si="40">(P53*100/$O53)-100</f>
        <v>35.997024808884163</v>
      </c>
      <c r="Q55" s="145">
        <f t="shared" si="40"/>
        <v>-91.80313073749943</v>
      </c>
      <c r="R55" s="145">
        <f t="shared" si="40"/>
        <v>13.55434591350712</v>
      </c>
      <c r="S55" s="145">
        <f t="shared" si="40"/>
        <v>-42.356433870290417</v>
      </c>
      <c r="T55" s="145">
        <f t="shared" si="40"/>
        <v>-88.945808556804025</v>
      </c>
      <c r="U55" s="145">
        <f t="shared" si="40"/>
        <v>-90.936962415497632</v>
      </c>
      <c r="V55" s="145">
        <f t="shared" si="40"/>
        <v>-91.140704912789147</v>
      </c>
      <c r="W55" s="145" t="e">
        <f t="shared" si="40"/>
        <v>#DIV/0!</v>
      </c>
      <c r="X55" s="145" t="e">
        <f t="shared" si="40"/>
        <v>#DIV/0!</v>
      </c>
      <c r="Y55" s="145" t="e">
        <f t="shared" si="40"/>
        <v>#DIV/0!</v>
      </c>
      <c r="Z55" s="145" t="e">
        <f t="shared" si="40"/>
        <v>#DIV/0!</v>
      </c>
      <c r="AA55" s="145" t="e">
        <f t="shared" si="40"/>
        <v>#DIV/0!</v>
      </c>
      <c r="AB55" s="145" t="e">
        <f t="shared" si="40"/>
        <v>#DIV/0!</v>
      </c>
      <c r="AC55" s="145" t="e">
        <f t="shared" si="40"/>
        <v>#DIV/0!</v>
      </c>
      <c r="AD55" s="145" t="e">
        <f t="shared" si="40"/>
        <v>#DIV/0!</v>
      </c>
      <c r="AE55" s="145" t="e">
        <f t="shared" si="40"/>
        <v>#DIV/0!</v>
      </c>
      <c r="AF55" s="145" t="e">
        <f t="shared" si="40"/>
        <v>#DIV/0!</v>
      </c>
      <c r="AG55" s="145" t="e">
        <f t="shared" si="40"/>
        <v>#DIV/0!</v>
      </c>
      <c r="AH55" s="145" t="e">
        <f t="shared" si="40"/>
        <v>#DIV/0!</v>
      </c>
      <c r="AI55" s="145" t="e">
        <f t="shared" si="40"/>
        <v>#DIV/0!</v>
      </c>
      <c r="AJ55" s="145" t="e">
        <f t="shared" si="40"/>
        <v>#DIV/0!</v>
      </c>
      <c r="AK55" s="145" t="e">
        <f t="shared" si="40"/>
        <v>#DIV/0!</v>
      </c>
    </row>
    <row r="56" spans="1:37" s="3" customFormat="1" x14ac:dyDescent="0.35">
      <c r="A56" s="64" t="s">
        <v>81</v>
      </c>
      <c r="B56" s="145">
        <f>[1]!SWTEST(B28:B43)</f>
        <v>0.10689677223706529</v>
      </c>
      <c r="C56" s="145">
        <f>[1]!SWTEST(C28:C43)</f>
        <v>0.10579444417253647</v>
      </c>
      <c r="D56" s="145">
        <f>[1]!SWTEST(D28:D43)</f>
        <v>3.3283195595932291E-3</v>
      </c>
      <c r="E56" s="145">
        <f>[1]!SWTEST(E28:E43)</f>
        <v>0.10954704449029729</v>
      </c>
      <c r="F56" s="145">
        <f>[1]!SWTEST(F28:F43)</f>
        <v>0.73017647326250812</v>
      </c>
      <c r="G56" s="145">
        <f>[1]!SWTEST(G28:G43)</f>
        <v>0.31152613819453956</v>
      </c>
      <c r="H56" s="145">
        <f>[1]!SWTEST(H28:H43)</f>
        <v>0.1362131518245564</v>
      </c>
      <c r="I56" s="145">
        <f>[1]!SWTEST(I28:I43)</f>
        <v>2.0833715735553704E-2</v>
      </c>
      <c r="J56" s="145">
        <f>[1]!SWTEST(J28:J43)</f>
        <v>6.728237173188778E-2</v>
      </c>
      <c r="K56" s="145">
        <f>[1]!SWTEST(K28:K43)</f>
        <v>4.0439369509317813E-2</v>
      </c>
      <c r="L56" s="145">
        <f>[1]!SWTEST(L28:L43)</f>
        <v>2.3451984459574304E-2</v>
      </c>
      <c r="M56" s="145">
        <f>[1]!SWTEST(M28:M43)</f>
        <v>8.7765938798981424E-2</v>
      </c>
      <c r="N56" s="145" t="e">
        <f>[1]!SWTEST(N28:N43)</f>
        <v>#VALUE!</v>
      </c>
      <c r="O56" s="145">
        <f>[1]!SWTEST(O28:O43)</f>
        <v>0.1402046817530086</v>
      </c>
      <c r="P56" s="145">
        <f>[1]!SWTEST(P28:P43)</f>
        <v>0.22695203225357685</v>
      </c>
      <c r="Q56" s="145">
        <f>[1]!SWTEST(Q28:Q43)</f>
        <v>8.0861464458102605E-2</v>
      </c>
      <c r="R56" s="145">
        <f>[1]!SWTEST(R28:R43)</f>
        <v>0.2649193623368058</v>
      </c>
      <c r="S56" s="145">
        <f>[1]!SWTEST(S28:S43)</f>
        <v>0.17484908107769126</v>
      </c>
      <c r="T56" s="145">
        <f>[1]!SWTEST(T28:T43)</f>
        <v>0.73208961248734949</v>
      </c>
      <c r="U56" s="145">
        <f>[1]!SWTEST(U28:U43)</f>
        <v>0.27490373661838285</v>
      </c>
      <c r="V56" s="145">
        <f>[1]!SWTEST(V28:V43)</f>
        <v>8.2667239189572306E-2</v>
      </c>
      <c r="W56" s="145" t="e">
        <f ca="1">[2]!SWTEST(W28:W43)</f>
        <v>#NAME?</v>
      </c>
      <c r="X56" s="145" t="e">
        <f ca="1">[2]!SWTEST(X28:X43)</f>
        <v>#NAME?</v>
      </c>
      <c r="Y56" s="145" t="e">
        <f ca="1">[2]!SWTEST(Y28:Y43)</f>
        <v>#NAME?</v>
      </c>
      <c r="Z56" s="145" t="e">
        <f ca="1">[2]!SWTEST(Z28:Z43)</f>
        <v>#NAME?</v>
      </c>
      <c r="AA56" s="145" t="e">
        <f ca="1">[2]!SWTEST(AA28:AA43)</f>
        <v>#NAME?</v>
      </c>
      <c r="AB56" s="145" t="e">
        <f ca="1">[2]!SWTEST(AB28:AB43)</f>
        <v>#NAME?</v>
      </c>
      <c r="AC56" s="145" t="e">
        <f ca="1">[2]!SWTEST(AC28:AC43)</f>
        <v>#NAME?</v>
      </c>
      <c r="AD56" s="145" t="e">
        <f ca="1">[2]!SWTEST(AD28:AD43)</f>
        <v>#NAME?</v>
      </c>
      <c r="AE56" s="145" t="e">
        <f ca="1">[2]!SWTEST(AE28:AE43)</f>
        <v>#NAME?</v>
      </c>
      <c r="AF56" s="145" t="e">
        <f ca="1">[2]!SWTEST(AF28:AF43)</f>
        <v>#NAME?</v>
      </c>
      <c r="AG56" s="145" t="e">
        <f ca="1">[2]!SWTEST(AG28:AG43)</f>
        <v>#NAME?</v>
      </c>
      <c r="AH56" s="145" t="e">
        <f ca="1">[2]!SWTEST(AH28:AH43)</f>
        <v>#NAME?</v>
      </c>
      <c r="AI56" s="145" t="e">
        <f ca="1">[2]!SWTEST(AI28:AI43)</f>
        <v>#NAME?</v>
      </c>
      <c r="AJ56" s="145" t="e">
        <f ca="1">[2]!SWTEST(AJ28:AJ43)</f>
        <v>#NAME?</v>
      </c>
      <c r="AK56" s="145" t="e">
        <f ca="1">[2]!SWTEST(AK28:AK43)</f>
        <v>#NAME?</v>
      </c>
    </row>
    <row r="57" spans="1:37" s="3" customFormat="1" x14ac:dyDescent="0.35">
      <c r="A57" s="64" t="s">
        <v>85</v>
      </c>
      <c r="B57" s="145" t="str">
        <f>IF(B56&gt;0.05,"Oui","Non")</f>
        <v>Oui</v>
      </c>
      <c r="C57" s="145" t="str">
        <f t="shared" ref="C57:AK57" si="41">IF(C56&gt;0.05,"Oui","Non")</f>
        <v>Oui</v>
      </c>
      <c r="D57" s="145" t="str">
        <f t="shared" si="41"/>
        <v>Non</v>
      </c>
      <c r="E57" s="145" t="str">
        <f t="shared" si="41"/>
        <v>Oui</v>
      </c>
      <c r="F57" s="145" t="str">
        <f t="shared" si="41"/>
        <v>Oui</v>
      </c>
      <c r="G57" s="145" t="str">
        <f t="shared" si="41"/>
        <v>Oui</v>
      </c>
      <c r="H57" s="145" t="str">
        <f t="shared" si="41"/>
        <v>Oui</v>
      </c>
      <c r="I57" s="145" t="str">
        <f t="shared" si="41"/>
        <v>Non</v>
      </c>
      <c r="J57" s="145" t="str">
        <f t="shared" si="41"/>
        <v>Oui</v>
      </c>
      <c r="K57" s="145" t="str">
        <f t="shared" si="41"/>
        <v>Non</v>
      </c>
      <c r="L57" s="145" t="str">
        <f t="shared" si="41"/>
        <v>Non</v>
      </c>
      <c r="M57" s="145" t="str">
        <f t="shared" si="41"/>
        <v>Oui</v>
      </c>
      <c r="N57" s="145"/>
      <c r="O57" s="145" t="str">
        <f t="shared" si="41"/>
        <v>Oui</v>
      </c>
      <c r="P57" s="145" t="str">
        <f t="shared" si="41"/>
        <v>Oui</v>
      </c>
      <c r="Q57" s="145" t="str">
        <f t="shared" si="41"/>
        <v>Oui</v>
      </c>
      <c r="R57" s="145" t="str">
        <f t="shared" si="41"/>
        <v>Oui</v>
      </c>
      <c r="S57" s="145" t="str">
        <f t="shared" si="41"/>
        <v>Oui</v>
      </c>
      <c r="T57" s="145" t="str">
        <f t="shared" si="41"/>
        <v>Oui</v>
      </c>
      <c r="U57" s="145" t="str">
        <f t="shared" si="41"/>
        <v>Oui</v>
      </c>
      <c r="V57" s="145" t="str">
        <f t="shared" si="41"/>
        <v>Oui</v>
      </c>
      <c r="W57" s="145" t="e">
        <f t="shared" ca="1" si="41"/>
        <v>#NAME?</v>
      </c>
      <c r="X57" s="145" t="e">
        <f t="shared" ca="1" si="41"/>
        <v>#NAME?</v>
      </c>
      <c r="Y57" s="145" t="e">
        <f t="shared" ca="1" si="41"/>
        <v>#NAME?</v>
      </c>
      <c r="Z57" s="145" t="e">
        <f t="shared" ca="1" si="41"/>
        <v>#NAME?</v>
      </c>
      <c r="AA57" s="145" t="e">
        <f t="shared" ca="1" si="41"/>
        <v>#NAME?</v>
      </c>
      <c r="AB57" s="145" t="e">
        <f t="shared" ca="1" si="41"/>
        <v>#NAME?</v>
      </c>
      <c r="AC57" s="145" t="e">
        <f t="shared" ca="1" si="41"/>
        <v>#NAME?</v>
      </c>
      <c r="AD57" s="145" t="e">
        <f t="shared" ca="1" si="41"/>
        <v>#NAME?</v>
      </c>
      <c r="AE57" s="145" t="e">
        <f t="shared" ca="1" si="41"/>
        <v>#NAME?</v>
      </c>
      <c r="AF57" s="145" t="e">
        <f t="shared" ca="1" si="41"/>
        <v>#NAME?</v>
      </c>
      <c r="AG57" s="145" t="e">
        <f t="shared" ca="1" si="41"/>
        <v>#NAME?</v>
      </c>
      <c r="AH57" s="145" t="e">
        <f t="shared" ca="1" si="41"/>
        <v>#NAME?</v>
      </c>
      <c r="AI57" s="145" t="e">
        <f t="shared" ca="1" si="41"/>
        <v>#NAME?</v>
      </c>
      <c r="AJ57" s="145" t="e">
        <f t="shared" ca="1" si="41"/>
        <v>#NAME?</v>
      </c>
      <c r="AK57" s="145" t="e">
        <f t="shared" ca="1" si="41"/>
        <v>#NAME?</v>
      </c>
    </row>
    <row r="58" spans="1:37" s="3" customFormat="1" x14ac:dyDescent="0.35">
      <c r="A58" s="64"/>
      <c r="B58" s="145"/>
      <c r="C58" s="145"/>
      <c r="D58" s="145"/>
      <c r="E58" s="145"/>
      <c r="F58" s="145"/>
      <c r="G58" s="145"/>
      <c r="H58" s="145"/>
      <c r="I58" s="145"/>
      <c r="J58" s="145"/>
      <c r="K58" s="145"/>
      <c r="L58" s="145"/>
      <c r="M58" s="145"/>
      <c r="N58" s="152"/>
      <c r="O58" s="153"/>
      <c r="P58" s="145"/>
      <c r="Q58" s="145"/>
      <c r="R58" s="145"/>
      <c r="S58" s="145"/>
      <c r="T58" s="145"/>
      <c r="U58" s="145"/>
      <c r="V58" s="145"/>
      <c r="W58" s="145"/>
      <c r="X58" s="145"/>
      <c r="Y58" s="145"/>
      <c r="Z58" s="145"/>
      <c r="AA58" s="145"/>
      <c r="AB58" s="145"/>
      <c r="AC58" s="145"/>
      <c r="AD58" s="145"/>
      <c r="AE58" s="154"/>
      <c r="AF58" s="154"/>
      <c r="AG58" s="154"/>
      <c r="AH58" s="154"/>
      <c r="AI58" s="154"/>
      <c r="AJ58" s="154"/>
      <c r="AK58" s="155"/>
    </row>
    <row r="59" spans="1:37" s="3" customFormat="1" x14ac:dyDescent="0.35">
      <c r="A59" s="64" t="s">
        <v>82</v>
      </c>
      <c r="B59" s="156"/>
      <c r="C59" s="156" t="str">
        <f t="shared" ref="C59:O59" si="42">IF($B57="Non",IF(C57="Non","MW",IF(C57="Oui","MW","")),IF($B57="Oui",IF(C57="Oui","T-Test Welch",IF(C57="Non","MW",""))))</f>
        <v>T-Test Welch</v>
      </c>
      <c r="D59" s="156" t="str">
        <f t="shared" si="42"/>
        <v>MW</v>
      </c>
      <c r="E59" s="156" t="str">
        <f t="shared" si="42"/>
        <v>T-Test Welch</v>
      </c>
      <c r="F59" s="156" t="str">
        <f t="shared" si="42"/>
        <v>T-Test Welch</v>
      </c>
      <c r="G59" s="156" t="str">
        <f t="shared" si="42"/>
        <v>T-Test Welch</v>
      </c>
      <c r="H59" s="156" t="str">
        <f t="shared" si="42"/>
        <v>T-Test Welch</v>
      </c>
      <c r="I59" s="156" t="str">
        <f t="shared" si="42"/>
        <v>MW</v>
      </c>
      <c r="J59" s="156" t="str">
        <f t="shared" si="42"/>
        <v>T-Test Welch</v>
      </c>
      <c r="K59" s="156" t="str">
        <f t="shared" si="42"/>
        <v>MW</v>
      </c>
      <c r="L59" s="156" t="str">
        <f t="shared" si="42"/>
        <v>MW</v>
      </c>
      <c r="M59" s="156" t="str">
        <f t="shared" si="42"/>
        <v>T-Test Welch</v>
      </c>
      <c r="N59" s="156"/>
      <c r="O59" s="156" t="str">
        <f t="shared" si="42"/>
        <v>T-Test Welch</v>
      </c>
      <c r="P59" s="156" t="str">
        <f>IF($O57="Non",IF(P57="Non","MW",IF(P57="Oui","MW","")),IF($O57="Oui",IF(P57="Oui","T-Test Welch",IF(P57="Non","MW",""))))</f>
        <v>T-Test Welch</v>
      </c>
      <c r="Q59" s="156" t="str">
        <f t="shared" ref="Q59:AK59" si="43">IF($O57="Non",IF(Q57="Non","MW",IF(Q57="Oui","MW","")),IF($O57="Oui",IF(Q57="Oui","T-Test Welch",IF(Q57="Non","MW",""))))</f>
        <v>T-Test Welch</v>
      </c>
      <c r="R59" s="156" t="str">
        <f t="shared" si="43"/>
        <v>T-Test Welch</v>
      </c>
      <c r="S59" s="156" t="str">
        <f t="shared" si="43"/>
        <v>T-Test Welch</v>
      </c>
      <c r="T59" s="156" t="str">
        <f t="shared" si="43"/>
        <v>T-Test Welch</v>
      </c>
      <c r="U59" s="156" t="str">
        <f t="shared" si="43"/>
        <v>T-Test Welch</v>
      </c>
      <c r="V59" s="156" t="str">
        <f t="shared" si="43"/>
        <v>T-Test Welch</v>
      </c>
      <c r="W59" s="156" t="e">
        <f t="shared" ca="1" si="43"/>
        <v>#NAME?</v>
      </c>
      <c r="X59" s="156" t="e">
        <f t="shared" ca="1" si="43"/>
        <v>#NAME?</v>
      </c>
      <c r="Y59" s="156" t="e">
        <f t="shared" ca="1" si="43"/>
        <v>#NAME?</v>
      </c>
      <c r="Z59" s="156" t="e">
        <f t="shared" ca="1" si="43"/>
        <v>#NAME?</v>
      </c>
      <c r="AA59" s="156" t="e">
        <f t="shared" ca="1" si="43"/>
        <v>#NAME?</v>
      </c>
      <c r="AB59" s="156" t="e">
        <f t="shared" ca="1" si="43"/>
        <v>#NAME?</v>
      </c>
      <c r="AC59" s="156" t="e">
        <f t="shared" ca="1" si="43"/>
        <v>#NAME?</v>
      </c>
      <c r="AD59" s="156" t="e">
        <f t="shared" ca="1" si="43"/>
        <v>#NAME?</v>
      </c>
      <c r="AE59" s="156" t="e">
        <f t="shared" ca="1" si="43"/>
        <v>#NAME?</v>
      </c>
      <c r="AF59" s="156" t="e">
        <f t="shared" ca="1" si="43"/>
        <v>#NAME?</v>
      </c>
      <c r="AG59" s="156" t="e">
        <f t="shared" ca="1" si="43"/>
        <v>#NAME?</v>
      </c>
      <c r="AH59" s="156" t="e">
        <f t="shared" ca="1" si="43"/>
        <v>#NAME?</v>
      </c>
      <c r="AI59" s="156" t="e">
        <f t="shared" ca="1" si="43"/>
        <v>#NAME?</v>
      </c>
      <c r="AJ59" s="156" t="e">
        <f t="shared" ca="1" si="43"/>
        <v>#NAME?</v>
      </c>
      <c r="AK59" s="156" t="e">
        <f t="shared" ca="1" si="43"/>
        <v>#NAME?</v>
      </c>
    </row>
    <row r="60" spans="1:37" s="3" customFormat="1" x14ac:dyDescent="0.35">
      <c r="A60" s="64" t="s">
        <v>83</v>
      </c>
      <c r="B60" s="157"/>
      <c r="C60" s="157">
        <f>IF(C59="MW",[2]!MTEST($B28:$B43,C28:C43,2), IF(C59="T-Test Welch",_xlfn.T.TEST($B28:$B43,C28:C43,2,3),""))</f>
        <v>0.33193942588718101</v>
      </c>
      <c r="D60" s="157">
        <f>IF(D59="MW",[1]!MTEST($B28:$B43,D28:D43,2), IF(D59="T-Test Welch",_xlfn.T.TEST($B28:$B43,D28:D43,2,3),""))</f>
        <v>0.90786850094953597</v>
      </c>
      <c r="E60" s="157">
        <f>IF(E59="MW",[1]!MTEST($B28:$B43,E28:E43,2), IF(E59="T-Test Welch",_xlfn.T.TEST($B28:$B43,E28:E43,2,3),""))</f>
        <v>0.11685886211970864</v>
      </c>
      <c r="F60" s="157">
        <f>IF(F59="MW",[1]!MTEST($B28:$B43,F28:F43,2), IF(F59="T-Test Welch",_xlfn.T.TEST($B28:$B43,F28:F43,2,3),""))</f>
        <v>6.4965967826696889E-3</v>
      </c>
      <c r="G60" s="157">
        <f>IF(G59="MW",[1]!MTEST($B28:$B43,G28:G43,2), IF(G59="T-Test Welch",_xlfn.T.TEST($B28:$B43,G28:G43,2,3),""))</f>
        <v>1.8272442850527961E-6</v>
      </c>
      <c r="H60" s="157">
        <f>IF(H59="MW",[1]!MTEST($B28:$B43,H28:H43,2), IF(H59="T-Test Welch",_xlfn.T.TEST($B28:$B43,H28:H43,2,3),""))</f>
        <v>1.2956022660321714E-3</v>
      </c>
      <c r="I60" s="157">
        <f>IF(I59="MW",[1]!MTEST($B28:$B43,I28:I43,2), IF(I59="T-Test Welch",_xlfn.T.TEST($B28:$B43,I28:I43,2,3),""))</f>
        <v>0.81696132171539126</v>
      </c>
      <c r="J60" s="157">
        <f>IF(J59="MW",[1]!MTEST($B28:$B43,J28:J43,2), IF(J59="T-Test Welch",_xlfn.T.TEST($B28:$B43,J28:J43,2,3),""))</f>
        <v>0.97610129479036201</v>
      </c>
      <c r="K60" s="157">
        <f>IF(K59="MW",[1]!MTEST($B28:$B43,K28:K43,2), IF(K59="T-Test Welch",_xlfn.T.TEST($B28:$B43,K28:K43,2,3),""))</f>
        <v>0.41788696431750072</v>
      </c>
      <c r="L60" s="157">
        <f>IF(L59="MW",[1]!MTEST($B28:$B43,L28:L43,2), IF(L59="T-Test Welch",_xlfn.T.TEST($B28:$B43,L28:L43,2,3),""))</f>
        <v>0.48745329036403495</v>
      </c>
      <c r="M60" s="157">
        <f>IF(M59="MW",[1]!MTEST($B28:$B43,M28:M43,2), IF(M59="T-Test Welch",_xlfn.T.TEST($B28:$B43,M28:M43,2,3),""))</f>
        <v>0.13095129184036639</v>
      </c>
      <c r="N60" s="157"/>
      <c r="O60" s="157">
        <f>IF(O59="MW",[2]!MTEST($B28:$B43,O28:O43,2), IF(O59="T-Test Welch",_xlfn.T.TEST($B28:$B43,O28:O43,2,3),""))</f>
        <v>2.6588323321736194E-4</v>
      </c>
      <c r="P60" s="157">
        <f>IF(P59="MW",[2]!MTEST($O28:$O43,P28:P43,2), IF(P59="T-Test Welch",_xlfn.T.TEST($O28:$O43,P28:P43,2,3),""))</f>
        <v>0.25347059551294615</v>
      </c>
      <c r="Q60" s="157">
        <f>IF(Q59="MW",[2]!MTEST($O28:$O43,Q28:Q43,2), IF(Q59="T-Test Welch",_xlfn.T.TEST($O28:$O43,Q28:Q43,2,3),""))</f>
        <v>2.6218655247888851E-4</v>
      </c>
      <c r="R60" s="157">
        <f>IF(R59="MW",[2]!MTEST($O28:$O43,R28:R43,2), IF(R59="T-Test Welch",_xlfn.T.TEST($O28:$O43,R28:R43,2,3),""))</f>
        <v>0.68650046522673147</v>
      </c>
      <c r="S60" s="157">
        <f>IF(S59="MW",[2]!MTEST($O28:$O43,S28:S43,2), IF(S59="T-Test Welch",_xlfn.T.TEST($O28:$O43,S28:S43,2,3),""))</f>
        <v>8.9177913768883427E-2</v>
      </c>
      <c r="T60" s="157">
        <f>IF(T59="MW",[2]!MTEST($O28:$O43,T28:T43,2), IF(T59="T-Test Welch",_xlfn.T.TEST($O28:$O43,T28:T43,2,3),""))</f>
        <v>3.5266270318791594E-4</v>
      </c>
      <c r="U60" s="157">
        <f>IF(U59="MW",[2]!MTEST($O28:$O43,U28:U43,2), IF(U59="T-Test Welch",_xlfn.T.TEST($O28:$O43,U28:U43,2,3),""))</f>
        <v>2.8728029313425553E-4</v>
      </c>
      <c r="V60" s="157">
        <f>IF(V59="MW",[2]!MTEST($O28:$O43,V28:V43,2), IF(V59="T-Test Welch",_xlfn.T.TEST($O28:$O43,V28:V43,2,3),""))</f>
        <v>2.808090514311564E-4</v>
      </c>
      <c r="W60" s="157" t="e">
        <f ca="1">IF(W59="MW",[2]!MTEST($O28:$O43,W28:W43,2), IF(W59="T-Test Welch",_xlfn.T.TEST($O28:$O43,W28:W43,2,3),""))</f>
        <v>#NAME?</v>
      </c>
      <c r="X60" s="157" t="e">
        <f ca="1">IF(X59="MW",[2]!MTEST($O28:$O43,X28:X43,2), IF(X59="T-Test Welch",_xlfn.T.TEST($O28:$O43,X28:X43,2,3),""))</f>
        <v>#NAME?</v>
      </c>
      <c r="Y60" s="157" t="e">
        <f ca="1">IF(Y59="MW",[2]!MTEST($O28:$O43,Y28:Y43,2), IF(Y59="T-Test Welch",_xlfn.T.TEST($O28:$O43,Y28:Y43,2,3),""))</f>
        <v>#NAME?</v>
      </c>
      <c r="Z60" s="157" t="e">
        <f ca="1">IF(Z59="MW",[2]!MTEST($O28:$O43,Z28:Z43,2), IF(Z59="T-Test Welch",_xlfn.T.TEST($O28:$O43,Z28:Z43,2,3),""))</f>
        <v>#NAME?</v>
      </c>
      <c r="AA60" s="157" t="e">
        <f ca="1">IF(AA59="MW",[2]!MTEST($O28:$O43,AA28:AA43,2), IF(AA59="T-Test Welch",_xlfn.T.TEST($O28:$O43,AA28:AA43,2,3),""))</f>
        <v>#NAME?</v>
      </c>
      <c r="AB60" s="157" t="e">
        <f ca="1">IF(AB59="MW",[2]!MTEST($O28:$O43,AB28:AB43,2), IF(AB59="T-Test Welch",_xlfn.T.TEST($O28:$O43,AB28:AB43,2,3),""))</f>
        <v>#NAME?</v>
      </c>
      <c r="AC60" s="157" t="e">
        <f ca="1">IF(AC59="MW",[2]!MTEST($O28:$O43,AC28:AC43,2), IF(AC59="T-Test Welch",_xlfn.T.TEST($O28:$O43,AC28:AC43,2,3),""))</f>
        <v>#NAME?</v>
      </c>
      <c r="AD60" s="157" t="e">
        <f ca="1">IF(AD59="MW",[2]!MTEST($O28:$O43,AD28:AD43,2), IF(AD59="T-Test Welch",_xlfn.T.TEST($O28:$O43,AD28:AD43,2,3),""))</f>
        <v>#NAME?</v>
      </c>
      <c r="AE60" s="157" t="e">
        <f ca="1">IF(AE59="MW",[2]!MTEST($O28:$O43,AE28:AE43,2), IF(AE59="T-Test Welch",_xlfn.T.TEST($O28:$O43,AE28:AE43,2,3),""))</f>
        <v>#NAME?</v>
      </c>
      <c r="AF60" s="157" t="e">
        <f ca="1">IF(AF59="MW",[2]!MTEST($O28:$O43,AF28:AF43,2), IF(AF59="T-Test Welch",_xlfn.T.TEST($O28:$O43,AF28:AF43,2,3),""))</f>
        <v>#NAME?</v>
      </c>
      <c r="AG60" s="157" t="e">
        <f ca="1">IF(AG59="MW",[2]!MTEST($O28:$O43,AG28:AG43,2), IF(AG59="T-Test Welch",_xlfn.T.TEST($O28:$O43,AG28:AG43,2,3),""))</f>
        <v>#NAME?</v>
      </c>
      <c r="AH60" s="157" t="e">
        <f ca="1">IF(AH59="MW",[2]!MTEST($O28:$O43,AH28:AH43,2), IF(AH59="T-Test Welch",_xlfn.T.TEST($O28:$O43,AH28:AH43,2,3),""))</f>
        <v>#NAME?</v>
      </c>
      <c r="AI60" s="157" t="e">
        <f ca="1">IF(AI59="MW",[2]!MTEST($O28:$O43,AI28:AI43,2), IF(AI59="T-Test Welch",_xlfn.T.TEST($O28:$O43,AI28:AI43,2,3),""))</f>
        <v>#NAME?</v>
      </c>
      <c r="AJ60" s="157" t="e">
        <f ca="1">IF(AJ59="MW",[2]!MTEST($O28:$O43,AJ28:AJ43,2), IF(AJ59="T-Test Welch",_xlfn.T.TEST($O28:$O43,AJ28:AJ43,2,3),""))</f>
        <v>#NAME?</v>
      </c>
      <c r="AK60" s="157" t="e">
        <f ca="1">IF(AK59="MW",[2]!MTEST($O28:$O43,AK28:AK43,2), IF(AK59="T-Test Welch",_xlfn.T.TEST($O28:$O43,AK28:AK43,2,3),""))</f>
        <v>#NAME?</v>
      </c>
    </row>
    <row r="61" spans="1:37" s="3" customFormat="1" ht="15" thickBot="1" x14ac:dyDescent="0.4">
      <c r="A61" s="65" t="s">
        <v>84</v>
      </c>
      <c r="B61" s="146"/>
      <c r="C61" s="146" t="str">
        <f t="shared" ref="C61:O61" si="44">IF(C60&gt;0.05,"NS",IF(C60&gt;0.01,"*",IF(C60&gt;0.001,"**","***")))</f>
        <v>NS</v>
      </c>
      <c r="D61" s="146" t="str">
        <f t="shared" si="44"/>
        <v>NS</v>
      </c>
      <c r="E61" s="146" t="str">
        <f t="shared" si="44"/>
        <v>NS</v>
      </c>
      <c r="F61" s="146" t="str">
        <f t="shared" si="44"/>
        <v>**</v>
      </c>
      <c r="G61" s="146" t="str">
        <f t="shared" si="44"/>
        <v>***</v>
      </c>
      <c r="H61" s="146" t="str">
        <f t="shared" si="44"/>
        <v>**</v>
      </c>
      <c r="I61" s="146" t="str">
        <f t="shared" si="44"/>
        <v>NS</v>
      </c>
      <c r="J61" s="146" t="str">
        <f t="shared" si="44"/>
        <v>NS</v>
      </c>
      <c r="K61" s="146" t="str">
        <f t="shared" si="44"/>
        <v>NS</v>
      </c>
      <c r="L61" s="146" t="str">
        <f t="shared" si="44"/>
        <v>NS</v>
      </c>
      <c r="M61" s="146" t="str">
        <f t="shared" si="44"/>
        <v>NS</v>
      </c>
      <c r="N61" s="146"/>
      <c r="O61" s="146" t="str">
        <f t="shared" si="44"/>
        <v>***</v>
      </c>
      <c r="P61" s="146" t="str">
        <f>IF(P60&gt;0.05,"NS",IF(P60&gt;0.01,"*",IF(P60&gt;0.001,"**","***")))</f>
        <v>NS</v>
      </c>
      <c r="Q61" s="146" t="str">
        <f t="shared" ref="Q61:AK61" si="45">IF(Q60&gt;0.05,"NS",IF(Q60&gt;0.01,"*",IF(Q60&gt;0.001,"**","***")))</f>
        <v>***</v>
      </c>
      <c r="R61" s="146" t="str">
        <f t="shared" si="45"/>
        <v>NS</v>
      </c>
      <c r="S61" s="146" t="str">
        <f t="shared" si="45"/>
        <v>NS</v>
      </c>
      <c r="T61" s="146" t="str">
        <f t="shared" si="45"/>
        <v>***</v>
      </c>
      <c r="U61" s="146" t="str">
        <f t="shared" si="45"/>
        <v>***</v>
      </c>
      <c r="V61" s="146" t="str">
        <f t="shared" si="45"/>
        <v>***</v>
      </c>
      <c r="W61" s="146" t="e">
        <f t="shared" ca="1" si="45"/>
        <v>#NAME?</v>
      </c>
      <c r="X61" s="146" t="e">
        <f t="shared" ca="1" si="45"/>
        <v>#NAME?</v>
      </c>
      <c r="Y61" s="146" t="e">
        <f t="shared" ca="1" si="45"/>
        <v>#NAME?</v>
      </c>
      <c r="Z61" s="146" t="e">
        <f t="shared" ca="1" si="45"/>
        <v>#NAME?</v>
      </c>
      <c r="AA61" s="146" t="e">
        <f t="shared" ca="1" si="45"/>
        <v>#NAME?</v>
      </c>
      <c r="AB61" s="146" t="e">
        <f t="shared" ca="1" si="45"/>
        <v>#NAME?</v>
      </c>
      <c r="AC61" s="146" t="e">
        <f t="shared" ca="1" si="45"/>
        <v>#NAME?</v>
      </c>
      <c r="AD61" s="146" t="e">
        <f t="shared" ca="1" si="45"/>
        <v>#NAME?</v>
      </c>
      <c r="AE61" s="146" t="e">
        <f t="shared" ca="1" si="45"/>
        <v>#NAME?</v>
      </c>
      <c r="AF61" s="146" t="e">
        <f t="shared" ca="1" si="45"/>
        <v>#NAME?</v>
      </c>
      <c r="AG61" s="146" t="e">
        <f t="shared" ca="1" si="45"/>
        <v>#NAME?</v>
      </c>
      <c r="AH61" s="146" t="e">
        <f t="shared" ca="1" si="45"/>
        <v>#NAME?</v>
      </c>
      <c r="AI61" s="146" t="e">
        <f t="shared" ca="1" si="45"/>
        <v>#NAME?</v>
      </c>
      <c r="AJ61" s="146" t="e">
        <f t="shared" ca="1" si="45"/>
        <v>#NAME?</v>
      </c>
      <c r="AK61" s="146" t="e">
        <f t="shared" ca="1" si="45"/>
        <v>#NAME?</v>
      </c>
    </row>
    <row r="63" spans="1:37" x14ac:dyDescent="0.35">
      <c r="A63" s="2" t="s">
        <v>39</v>
      </c>
    </row>
    <row r="64" spans="1:37" x14ac:dyDescent="0.35">
      <c r="A64" s="1" t="s">
        <v>23</v>
      </c>
      <c r="B64" s="1">
        <f>B46+(3*B47)</f>
        <v>0.29888642173551067</v>
      </c>
    </row>
    <row r="65" spans="1:37" x14ac:dyDescent="0.35">
      <c r="A65" s="1" t="s">
        <v>24</v>
      </c>
      <c r="B65" s="1">
        <f>B46+(10*B47)</f>
        <v>0.80209204306105153</v>
      </c>
    </row>
    <row r="66" spans="1:37" ht="15" thickBot="1" x14ac:dyDescent="0.4"/>
    <row r="67" spans="1:37" ht="26.5" thickBot="1" x14ac:dyDescent="0.65">
      <c r="A67" s="225" t="s">
        <v>45</v>
      </c>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7"/>
    </row>
    <row r="68" spans="1:37" ht="16.5" x14ac:dyDescent="0.3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3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3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3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3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3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3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94"/>
  <sheetViews>
    <sheetView showGridLines="0" tabSelected="1" topLeftCell="F72"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30" width="29.1796875" customWidth="1"/>
    <col min="31" max="36" width="29.1796875" style="1" customWidth="1"/>
    <col min="37" max="37" width="29.1796875" customWidth="1"/>
  </cols>
  <sheetData>
    <row r="1" spans="1:37" s="1" customFormat="1" ht="21.5" thickBot="1" x14ac:dyDescent="0.4">
      <c r="A1" s="37" t="s">
        <v>8</v>
      </c>
      <c r="B1" s="57" t="e">
        <f>'Page de garde'!#REF!</f>
        <v>#REF!</v>
      </c>
      <c r="C1" s="38"/>
      <c r="D1" s="38"/>
      <c r="E1" s="38"/>
      <c r="F1" s="38"/>
      <c r="G1" s="38"/>
      <c r="H1" s="58"/>
      <c r="I1" s="57"/>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60"/>
    </row>
    <row r="2" spans="1:37" ht="15" thickBot="1" x14ac:dyDescent="0.4">
      <c r="A2" s="1"/>
      <c r="B2" s="1"/>
      <c r="C2" s="1"/>
      <c r="D2" s="1"/>
      <c r="E2" s="1"/>
      <c r="F2" s="1"/>
      <c r="G2" s="1"/>
      <c r="H2" s="1"/>
      <c r="I2" s="1"/>
      <c r="J2" s="1"/>
      <c r="K2" s="1"/>
      <c r="L2" s="1"/>
      <c r="M2" s="1"/>
    </row>
    <row r="3" spans="1:37" s="33" customFormat="1" ht="15" thickBot="1" x14ac:dyDescent="0.4">
      <c r="B3" s="232" t="s">
        <v>6</v>
      </c>
      <c r="C3" s="233"/>
      <c r="D3" s="233"/>
      <c r="E3" s="233"/>
      <c r="F3" s="233"/>
      <c r="G3" s="233"/>
      <c r="H3" s="233"/>
      <c r="I3" s="233"/>
      <c r="J3" s="233"/>
      <c r="K3" s="233"/>
      <c r="L3" s="233"/>
      <c r="M3" s="233"/>
      <c r="N3" s="75"/>
      <c r="O3" s="232" t="s">
        <v>3</v>
      </c>
      <c r="P3" s="233"/>
      <c r="Q3" s="233"/>
      <c r="R3" s="233"/>
      <c r="S3" s="233"/>
      <c r="T3" s="233"/>
      <c r="U3" s="233"/>
      <c r="V3" s="233"/>
      <c r="W3" s="233"/>
      <c r="X3" s="233"/>
      <c r="Y3" s="233"/>
      <c r="Z3" s="233"/>
      <c r="AA3" s="233"/>
      <c r="AB3" s="233"/>
      <c r="AC3" s="233"/>
      <c r="AD3" s="233"/>
      <c r="AE3" s="233"/>
      <c r="AF3" s="233"/>
      <c r="AG3" s="233"/>
      <c r="AH3" s="233"/>
      <c r="AI3" s="233"/>
      <c r="AJ3" s="233"/>
      <c r="AK3" s="234"/>
    </row>
    <row r="4" spans="1:37"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Anastrozole 0,032 ug/L</v>
      </c>
      <c r="J4" s="35" t="str">
        <f>'R1'!J4</f>
        <v>Anastrozole 0,16 ug/L</v>
      </c>
      <c r="K4" s="35" t="str">
        <f>'R1'!K4</f>
        <v>Anastrozole 0,8 ug/L</v>
      </c>
      <c r="L4" s="35" t="str">
        <f>'R1'!L4</f>
        <v>Anastrozole 4 ug/L</v>
      </c>
      <c r="M4" s="35" t="str">
        <f>'R1'!M4</f>
        <v>Anastrozole 20 ug/L</v>
      </c>
      <c r="O4" s="35" t="str">
        <f>'R1'!O4</f>
        <v>Testo -30µg/L</v>
      </c>
      <c r="P4" s="35" t="str">
        <f>'R1'!P4</f>
        <v>Testo 30µg/L + EE2 -64ng/L</v>
      </c>
      <c r="Q4" s="35" t="str">
        <f>'R1'!Q4</f>
        <v>Testo 30µg/L + FAD-10mg/L</v>
      </c>
      <c r="R4" s="35" t="str">
        <f>'R1'!R4</f>
        <v>Anastrozole-0,032ug/L + Testostérone</v>
      </c>
      <c r="S4" s="35" t="str">
        <f>'R1'!S4</f>
        <v>Anastrozole-0,16ug/L + Testostérone</v>
      </c>
      <c r="T4" s="35" t="str">
        <f>'R1'!T4</f>
        <v>Anastrozole-0,8ug/L + Testostérone</v>
      </c>
      <c r="U4" s="35" t="str">
        <f>'R1'!U4</f>
        <v>Anastrozole-4ug/L + Testostérone</v>
      </c>
      <c r="V4" s="35" t="str">
        <f>'R1'!V4</f>
        <v>Anastrozole-20ug/L + Testostérone</v>
      </c>
      <c r="W4" s="35" t="str">
        <f>'R1'!W4</f>
        <v>0-00 + Testostérone</v>
      </c>
      <c r="X4" s="35" t="str">
        <f>'R1'!X4</f>
        <v>0-00 + Testostérone</v>
      </c>
      <c r="Y4" s="35" t="str">
        <f>'R1'!Y4</f>
        <v>0-00 + Testostérone</v>
      </c>
      <c r="Z4" s="35" t="str">
        <f>'R1'!Z4</f>
        <v>0-00 + Testostérone</v>
      </c>
      <c r="AA4" s="35" t="str">
        <f>'R1'!AA4</f>
        <v>0-00 + Testostérone</v>
      </c>
      <c r="AB4" s="35" t="str">
        <f>'R1'!AB4</f>
        <v>0-00 + Testostérone</v>
      </c>
      <c r="AC4" s="35" t="str">
        <f>'R1'!AC4</f>
        <v>0-00 + Testostérone</v>
      </c>
      <c r="AD4" s="35" t="str">
        <f>'R1'!AD4</f>
        <v>0-00 + Testostérone</v>
      </c>
      <c r="AE4" s="35" t="str">
        <f>'R1'!AE4</f>
        <v>0-00 + Testostérone</v>
      </c>
      <c r="AF4" s="35" t="str">
        <f>'R1'!AF4</f>
        <v>0-00 + Testostérone</v>
      </c>
      <c r="AG4" s="35" t="str">
        <f>'R1'!AG4</f>
        <v>0-00 + Testostérone</v>
      </c>
      <c r="AH4" s="35" t="str">
        <f>'R1'!AH4</f>
        <v>0-00 + Testostérone</v>
      </c>
      <c r="AI4" s="35" t="str">
        <f>'R1'!AI4</f>
        <v>0-00 + Testostérone</v>
      </c>
      <c r="AJ4" s="35" t="str">
        <f>'R1'!AJ4</f>
        <v>0-00 + Testostérone</v>
      </c>
      <c r="AK4" s="35" t="str">
        <f>'R1'!AK4</f>
        <v>0-00 + Testostérone</v>
      </c>
    </row>
    <row r="5" spans="1:37" s="1" customFormat="1" x14ac:dyDescent="0.35">
      <c r="A5" s="34"/>
      <c r="B5" s="35"/>
      <c r="C5" s="200" t="s">
        <v>165</v>
      </c>
      <c r="D5" s="35"/>
      <c r="E5" s="35"/>
      <c r="F5" s="35"/>
      <c r="G5" s="35"/>
      <c r="H5" s="35"/>
      <c r="I5" s="35"/>
      <c r="J5" s="35"/>
      <c r="K5" s="35"/>
      <c r="L5" s="35"/>
      <c r="M5" s="35"/>
      <c r="O5" s="35"/>
      <c r="P5" s="35"/>
      <c r="Q5" s="35"/>
      <c r="R5" s="35"/>
      <c r="S5" s="35"/>
      <c r="T5" s="35"/>
      <c r="U5" s="35"/>
      <c r="V5" s="35"/>
      <c r="W5" s="35"/>
      <c r="X5" s="35"/>
      <c r="Y5" s="35"/>
      <c r="Z5" s="35"/>
      <c r="AA5" s="35"/>
      <c r="AB5" s="35"/>
      <c r="AC5" s="35"/>
      <c r="AD5" s="35"/>
      <c r="AE5" s="35"/>
      <c r="AF5" s="35"/>
      <c r="AG5" s="35"/>
      <c r="AH5" s="35"/>
      <c r="AI5" s="35"/>
      <c r="AJ5" s="35"/>
      <c r="AK5" s="35"/>
    </row>
    <row r="6" spans="1:37" s="1" customFormat="1" x14ac:dyDescent="0.35">
      <c r="A6" s="74" t="s">
        <v>4</v>
      </c>
      <c r="B6" s="55">
        <f>'R1'!B28</f>
        <v>0.14347986311735006</v>
      </c>
      <c r="C6" s="55">
        <f>'R1'!C28</f>
        <v>6.6363851591204212E-2</v>
      </c>
      <c r="D6" s="55">
        <f>'R1'!D28</f>
        <v>0.18003293880197457</v>
      </c>
      <c r="E6" s="55">
        <f>'R1'!E28</f>
        <v>0.60439715389730686</v>
      </c>
      <c r="F6" s="55">
        <f>'R1'!F28</f>
        <v>0.67856101920943135</v>
      </c>
      <c r="G6" s="55">
        <f>'R1'!G28</f>
        <v>2.0956986920296488</v>
      </c>
      <c r="H6" s="55">
        <f>'R1'!H28</f>
        <v>3.3780133568431792</v>
      </c>
      <c r="I6" s="55">
        <f>'R1'!I28</f>
        <v>0.16159763644975339</v>
      </c>
      <c r="J6" s="55">
        <f>'R1'!J28</f>
        <v>0.27091412694772965</v>
      </c>
      <c r="K6" s="55">
        <f>'R1'!K28</f>
        <v>9.6869410210971299E-2</v>
      </c>
      <c r="L6" s="55">
        <f>'R1'!L28</f>
        <v>5.0059445385509868E-2</v>
      </c>
      <c r="M6" s="55">
        <f>'R1'!M28</f>
        <v>0.34390025607132807</v>
      </c>
      <c r="N6"/>
      <c r="O6" s="55">
        <f>'R1'!O28</f>
        <v>0.86585179486966468</v>
      </c>
      <c r="P6" s="55">
        <f>'R1'!P28</f>
        <v>1.2570247745680019</v>
      </c>
      <c r="Q6" s="55">
        <f>'R1'!Q28</f>
        <v>2.888540152812093E-2</v>
      </c>
      <c r="R6" s="55">
        <f>'R1'!R28</f>
        <v>0.26017127661418094</v>
      </c>
      <c r="S6" s="55">
        <f>'R1'!S28</f>
        <v>3.3683570086045056E-2</v>
      </c>
      <c r="T6" s="55">
        <f>'R1'!T28</f>
        <v>2.1205266828214504E-2</v>
      </c>
      <c r="U6" s="55">
        <f>'R1'!U28</f>
        <v>0.30737052600250431</v>
      </c>
      <c r="V6" s="55">
        <f>'R1'!V28</f>
        <v>0.14978590065165776</v>
      </c>
      <c r="W6" s="55" t="str">
        <f>'R1'!W28</f>
        <v/>
      </c>
      <c r="X6" s="55" t="str">
        <f>'R1'!X28</f>
        <v/>
      </c>
      <c r="Y6" s="55" t="str">
        <f>'R1'!Y28</f>
        <v/>
      </c>
      <c r="Z6" s="55" t="str">
        <f>'R1'!Z28</f>
        <v/>
      </c>
      <c r="AA6" s="55" t="str">
        <f>'R1'!AA28</f>
        <v/>
      </c>
      <c r="AB6" s="55" t="str">
        <f>'R1'!AB28</f>
        <v/>
      </c>
      <c r="AC6" s="55" t="str">
        <f>'R1'!AC28</f>
        <v/>
      </c>
      <c r="AD6" s="55" t="str">
        <f>'R1'!AD28</f>
        <v/>
      </c>
      <c r="AE6" s="55" t="str">
        <f>'R1'!AE28</f>
        <v/>
      </c>
      <c r="AF6" s="55" t="str">
        <f>'R1'!AF28</f>
        <v/>
      </c>
      <c r="AG6" s="55" t="str">
        <f>'R1'!AG28</f>
        <v/>
      </c>
      <c r="AH6" s="55" t="str">
        <f>'R1'!AH28</f>
        <v/>
      </c>
      <c r="AI6" s="55" t="str">
        <f>'R1'!AI28</f>
        <v/>
      </c>
      <c r="AJ6" s="55" t="str">
        <f>'R1'!AJ28</f>
        <v/>
      </c>
      <c r="AK6" s="55" t="str">
        <f>'R1'!AK28</f>
        <v/>
      </c>
    </row>
    <row r="7" spans="1:37" s="1" customFormat="1" x14ac:dyDescent="0.35">
      <c r="A7" s="237" t="s">
        <v>34</v>
      </c>
      <c r="B7" s="55">
        <f>'R1'!B29</f>
        <v>3.568069442178709E-2</v>
      </c>
      <c r="C7" s="55">
        <f>'R1'!C29</f>
        <v>2.8050401895492127E-2</v>
      </c>
      <c r="D7" s="55">
        <f>'R1'!D29</f>
        <v>0.1399810284646075</v>
      </c>
      <c r="E7" s="55">
        <f>'R1'!E29</f>
        <v>0.43061733112633704</v>
      </c>
      <c r="F7" s="55">
        <f>'R1'!F29</f>
        <v>0.43454297519678697</v>
      </c>
      <c r="G7" s="55">
        <f>'R1'!G29</f>
        <v>2.2868016062356564</v>
      </c>
      <c r="H7" s="55">
        <f>'R1'!H29</f>
        <v>2.7631166196579531</v>
      </c>
      <c r="I7" s="55">
        <f>'R1'!I29</f>
        <v>9.2678943787051299E-2</v>
      </c>
      <c r="J7" s="55">
        <f>'R1'!J29</f>
        <v>9.5507916813412211E-2</v>
      </c>
      <c r="K7" s="55">
        <f>'R1'!K29</f>
        <v>8.9634847356194924E-2</v>
      </c>
      <c r="L7" s="55">
        <f>'R1'!L29</f>
        <v>1.2010961267904689E-2</v>
      </c>
      <c r="M7" s="55">
        <f>'R1'!M29</f>
        <v>0.1145429007199759</v>
      </c>
      <c r="N7"/>
      <c r="O7" s="55">
        <f>'R1'!O29</f>
        <v>0.93671161103511436</v>
      </c>
      <c r="P7" s="55">
        <f>'R1'!P29</f>
        <v>2.7961520982624122</v>
      </c>
      <c r="Q7" s="55">
        <f>'R1'!Q29</f>
        <v>7.8066306991410372E-2</v>
      </c>
      <c r="R7" s="55">
        <f>'R1'!R29</f>
        <v>0.64572039772335832</v>
      </c>
      <c r="S7" s="55">
        <f>'R1'!S29</f>
        <v>0.90365751322786914</v>
      </c>
      <c r="T7" s="55">
        <f>'R1'!T29</f>
        <v>0.14782307861643279</v>
      </c>
      <c r="U7" s="55">
        <f>'R1'!U29</f>
        <v>0.15533814692241046</v>
      </c>
      <c r="V7" s="55">
        <f>'R1'!V29</f>
        <v>8.0147647413599366E-2</v>
      </c>
      <c r="W7" s="55" t="str">
        <f>'R1'!W29</f>
        <v/>
      </c>
      <c r="X7" s="55" t="str">
        <f>'R1'!X29</f>
        <v/>
      </c>
      <c r="Y7" s="55" t="str">
        <f>'R1'!Y29</f>
        <v/>
      </c>
      <c r="Z7" s="55" t="str">
        <f>'R1'!Z29</f>
        <v/>
      </c>
      <c r="AA7" s="55" t="str">
        <f>'R1'!AA29</f>
        <v/>
      </c>
      <c r="AB7" s="55" t="str">
        <f>'R1'!AB29</f>
        <v/>
      </c>
      <c r="AC7" s="55" t="str">
        <f>'R1'!AC29</f>
        <v/>
      </c>
      <c r="AD7" s="55" t="str">
        <f>'R1'!AD29</f>
        <v/>
      </c>
      <c r="AE7" s="55" t="str">
        <f>'R1'!AE29</f>
        <v/>
      </c>
      <c r="AF7" s="55" t="str">
        <f>'R1'!AF29</f>
        <v/>
      </c>
      <c r="AG7" s="55" t="str">
        <f>'R1'!AG29</f>
        <v/>
      </c>
      <c r="AH7" s="55" t="str">
        <f>'R1'!AH29</f>
        <v/>
      </c>
      <c r="AI7" s="55" t="str">
        <f>'R1'!AI29</f>
        <v/>
      </c>
      <c r="AJ7" s="55" t="str">
        <f>'R1'!AJ29</f>
        <v/>
      </c>
      <c r="AK7" s="55" t="str">
        <f>'R1'!AK29</f>
        <v/>
      </c>
    </row>
    <row r="8" spans="1:37" s="1" customFormat="1" x14ac:dyDescent="0.35">
      <c r="A8" s="238"/>
      <c r="B8" s="55">
        <f>'R1'!B30</f>
        <v>0.300313561697378</v>
      </c>
      <c r="C8" s="55">
        <f>'R1'!C30</f>
        <v>1.287704064672225E-2</v>
      </c>
      <c r="D8" s="55">
        <f>'R1'!D30</f>
        <v>2.5465913324173632E-2</v>
      </c>
      <c r="E8" s="55">
        <f>'R1'!E30</f>
        <v>0.4853285694909466</v>
      </c>
      <c r="F8" s="55">
        <f>'R1'!F30</f>
        <v>7.1567059422039878E-2</v>
      </c>
      <c r="G8" s="55" t="str">
        <f>'R1'!G30</f>
        <v/>
      </c>
      <c r="H8" s="55">
        <f>'R1'!H30</f>
        <v>2.8859924729724362</v>
      </c>
      <c r="I8" s="55">
        <f>'R1'!I30</f>
        <v>7.3299361404311814E-2</v>
      </c>
      <c r="J8" s="55">
        <f>'R1'!J30</f>
        <v>0.13390844708830754</v>
      </c>
      <c r="K8" s="55">
        <f>'R1'!K30</f>
        <v>0.1833199442168684</v>
      </c>
      <c r="L8" s="55">
        <f>'R1'!L30</f>
        <v>4.6283327835894346E-2</v>
      </c>
      <c r="M8" s="55">
        <f>'R1'!M30</f>
        <v>0.11385613858645015</v>
      </c>
      <c r="N8"/>
      <c r="O8" s="55">
        <f>'R1'!O30</f>
        <v>1.435839444609232</v>
      </c>
      <c r="P8" s="55">
        <f>'R1'!P30</f>
        <v>1.3967999892295071</v>
      </c>
      <c r="Q8" s="55">
        <f>'R1'!Q30</f>
        <v>1.2819321118085989E-2</v>
      </c>
      <c r="R8" s="55">
        <f>'R1'!R30</f>
        <v>0.48636909647740423</v>
      </c>
      <c r="S8" s="55">
        <f>'R1'!S30</f>
        <v>0.5298452214317334</v>
      </c>
      <c r="T8" s="55">
        <f>'R1'!T30</f>
        <v>0.10616655106051397</v>
      </c>
      <c r="U8" s="55">
        <f>'R1'!U30</f>
        <v>1.7933872898733445E-2</v>
      </c>
      <c r="V8" s="55">
        <f>'R1'!V30</f>
        <v>8.3982916738219296E-2</v>
      </c>
      <c r="W8" s="55" t="str">
        <f>'R1'!W30</f>
        <v/>
      </c>
      <c r="X8" s="55" t="str">
        <f>'R1'!X30</f>
        <v/>
      </c>
      <c r="Y8" s="55" t="str">
        <f>'R1'!Y30</f>
        <v/>
      </c>
      <c r="Z8" s="55" t="str">
        <f>'R1'!Z30</f>
        <v/>
      </c>
      <c r="AA8" s="55" t="str">
        <f>'R1'!AA30</f>
        <v/>
      </c>
      <c r="AB8" s="55" t="str">
        <f>'R1'!AB30</f>
        <v/>
      </c>
      <c r="AC8" s="55" t="str">
        <f>'R1'!AC30</f>
        <v/>
      </c>
      <c r="AD8" s="55" t="str">
        <f>'R1'!AD30</f>
        <v/>
      </c>
      <c r="AE8" s="55" t="str">
        <f>'R1'!AE30</f>
        <v/>
      </c>
      <c r="AF8" s="55" t="str">
        <f>'R1'!AF30</f>
        <v/>
      </c>
      <c r="AG8" s="55" t="str">
        <f>'R1'!AG30</f>
        <v/>
      </c>
      <c r="AH8" s="55" t="str">
        <f>'R1'!AH30</f>
        <v/>
      </c>
      <c r="AI8" s="55" t="str">
        <f>'R1'!AI30</f>
        <v/>
      </c>
      <c r="AJ8" s="55" t="str">
        <f>'R1'!AJ30</f>
        <v/>
      </c>
      <c r="AK8" s="55" t="str">
        <f>'R1'!AK30</f>
        <v/>
      </c>
    </row>
    <row r="9" spans="1:37" s="1" customFormat="1" x14ac:dyDescent="0.35">
      <c r="A9" s="238"/>
      <c r="B9" s="55">
        <f>'R1'!B31</f>
        <v>0.28084066846375383</v>
      </c>
      <c r="C9" s="55">
        <f>'R1'!C31</f>
        <v>1.159016728494355E-2</v>
      </c>
      <c r="D9" s="55">
        <f>'R1'!D31</f>
        <v>3.634740510615881E-2</v>
      </c>
      <c r="E9" s="55">
        <f>'R1'!E31</f>
        <v>0.3471265342402125</v>
      </c>
      <c r="F9" s="55">
        <f>'R1'!F31</f>
        <v>0.86545477617641475</v>
      </c>
      <c r="G9" s="55">
        <f>'R1'!G31</f>
        <v>1.2718584069782477</v>
      </c>
      <c r="H9" s="55">
        <f>'R1'!H31</f>
        <v>3.6501489034936632</v>
      </c>
      <c r="I9" s="55">
        <f>'R1'!I31</f>
        <v>5.0046984842106998E-2</v>
      </c>
      <c r="J9" s="55">
        <f>'R1'!J31</f>
        <v>6.4055213670390534E-2</v>
      </c>
      <c r="K9" s="55">
        <f>'R1'!K31</f>
        <v>7.0479697979343836E-2</v>
      </c>
      <c r="L9" s="55">
        <f>'R1'!L31</f>
        <v>6.7971548139447502E-2</v>
      </c>
      <c r="M9" s="55">
        <f>'R1'!M31</f>
        <v>9.7495588323124494E-2</v>
      </c>
      <c r="N9"/>
      <c r="O9" s="55">
        <f>'R1'!O31</f>
        <v>0.56740158569724386</v>
      </c>
      <c r="P9" s="55">
        <f>'R1'!P31</f>
        <v>1.2108831675102356</v>
      </c>
      <c r="Q9" s="55">
        <f>'R1'!Q31</f>
        <v>9.611805376624219E-3</v>
      </c>
      <c r="R9" s="55">
        <f>'R1'!R31</f>
        <v>0.73679450945490255</v>
      </c>
      <c r="S9" s="55">
        <f>'R1'!S31</f>
        <v>0.5240095336047248</v>
      </c>
      <c r="T9" s="55">
        <f>'R1'!T31</f>
        <v>5.9230548554655722E-3</v>
      </c>
      <c r="U9" s="55">
        <f>'R1'!U31</f>
        <v>5.6543224694104381E-2</v>
      </c>
      <c r="V9" s="55">
        <f>'R1'!V31</f>
        <v>0.14780138008395538</v>
      </c>
      <c r="W9" s="55" t="str">
        <f>'R1'!W31</f>
        <v/>
      </c>
      <c r="X9" s="55" t="str">
        <f>'R1'!X31</f>
        <v/>
      </c>
      <c r="Y9" s="55" t="str">
        <f>'R1'!Y31</f>
        <v/>
      </c>
      <c r="Z9" s="55" t="str">
        <f>'R1'!Z31</f>
        <v/>
      </c>
      <c r="AA9" s="55" t="str">
        <f>'R1'!AA31</f>
        <v/>
      </c>
      <c r="AB9" s="55" t="str">
        <f>'R1'!AB31</f>
        <v/>
      </c>
      <c r="AC9" s="55" t="str">
        <f>'R1'!AC31</f>
        <v/>
      </c>
      <c r="AD9" s="55" t="str">
        <f>'R1'!AD31</f>
        <v/>
      </c>
      <c r="AE9" s="55" t="str">
        <f>'R1'!AE31</f>
        <v/>
      </c>
      <c r="AF9" s="55" t="str">
        <f>'R1'!AF31</f>
        <v/>
      </c>
      <c r="AG9" s="55" t="str">
        <f>'R1'!AG31</f>
        <v/>
      </c>
      <c r="AH9" s="55" t="str">
        <f>'R1'!AH31</f>
        <v/>
      </c>
      <c r="AI9" s="55" t="str">
        <f>'R1'!AI31</f>
        <v/>
      </c>
      <c r="AJ9" s="55" t="str">
        <f>'R1'!AJ31</f>
        <v/>
      </c>
      <c r="AK9" s="55" t="str">
        <f>'R1'!AK31</f>
        <v/>
      </c>
    </row>
    <row r="10" spans="1:37" s="1" customFormat="1" x14ac:dyDescent="0.35">
      <c r="A10" s="238"/>
      <c r="B10" s="55">
        <f>'R1'!B32</f>
        <v>2.6601756306431395E-2</v>
      </c>
      <c r="C10" s="55">
        <f>'R1'!C32</f>
        <v>4.146804393387088E-2</v>
      </c>
      <c r="D10" s="55">
        <f>'R1'!D32</f>
        <v>0.156107692896015</v>
      </c>
      <c r="E10" s="55">
        <f>'R1'!E32</f>
        <v>1.1986040181098957E-2</v>
      </c>
      <c r="F10" s="55">
        <f>'R1'!F32</f>
        <v>0.40302796933675095</v>
      </c>
      <c r="G10" s="55">
        <f>'R1'!G32</f>
        <v>0.7525940488158257</v>
      </c>
      <c r="H10" s="55">
        <f>'R1'!H32</f>
        <v>3.3769198367411</v>
      </c>
      <c r="I10" s="55">
        <f>'R1'!I32</f>
        <v>0.22391725397122525</v>
      </c>
      <c r="J10" s="55">
        <f>'R1'!J32</f>
        <v>1.4768321975858338E-2</v>
      </c>
      <c r="K10" s="55">
        <f>'R1'!K32</f>
        <v>6.5204734605464082E-2</v>
      </c>
      <c r="L10" s="55">
        <f>'R1'!L32</f>
        <v>8.1873647511851458E-2</v>
      </c>
      <c r="M10" s="55">
        <f>'R1'!M32</f>
        <v>1.2045191956103363E-2</v>
      </c>
      <c r="N10"/>
      <c r="O10" s="55">
        <f>'R1'!O32</f>
        <v>1.4597866038846241</v>
      </c>
      <c r="P10" s="55">
        <f>'R1'!P32</f>
        <v>1.0893299221044166</v>
      </c>
      <c r="Q10" s="55">
        <f>'R1'!Q32</f>
        <v>0.16300753977455579</v>
      </c>
      <c r="R10" s="55">
        <f>'R1'!R32</f>
        <v>0.63514569311342983</v>
      </c>
      <c r="S10" s="55">
        <f>'R1'!S32</f>
        <v>0.11772263088189563</v>
      </c>
      <c r="T10" s="55">
        <f>'R1'!T32</f>
        <v>1.7849656812286493E-2</v>
      </c>
      <c r="U10" s="55">
        <f>'R1'!U32</f>
        <v>6.2297847376676048E-2</v>
      </c>
      <c r="V10" s="55">
        <f>'R1'!V32</f>
        <v>9.0014965542300734E-2</v>
      </c>
      <c r="W10" s="55" t="str">
        <f>'R1'!W32</f>
        <v/>
      </c>
      <c r="X10" s="55" t="str">
        <f>'R1'!X32</f>
        <v/>
      </c>
      <c r="Y10" s="55" t="str">
        <f>'R1'!Y32</f>
        <v/>
      </c>
      <c r="Z10" s="55" t="str">
        <f>'R1'!Z32</f>
        <v/>
      </c>
      <c r="AA10" s="55" t="str">
        <f>'R1'!AA32</f>
        <v/>
      </c>
      <c r="AB10" s="55" t="str">
        <f>'R1'!AB32</f>
        <v/>
      </c>
      <c r="AC10" s="55" t="str">
        <f>'R1'!AC32</f>
        <v/>
      </c>
      <c r="AD10" s="55" t="str">
        <f>'R1'!AD32</f>
        <v/>
      </c>
      <c r="AE10" s="55" t="str">
        <f>'R1'!AE32</f>
        <v/>
      </c>
      <c r="AF10" s="55" t="str">
        <f>'R1'!AF32</f>
        <v/>
      </c>
      <c r="AG10" s="55" t="str">
        <f>'R1'!AG32</f>
        <v/>
      </c>
      <c r="AH10" s="55" t="str">
        <f>'R1'!AH32</f>
        <v/>
      </c>
      <c r="AI10" s="55" t="str">
        <f>'R1'!AI32</f>
        <v/>
      </c>
      <c r="AJ10" s="55" t="str">
        <f>'R1'!AJ32</f>
        <v/>
      </c>
      <c r="AK10" s="55" t="str">
        <f>'R1'!AK32</f>
        <v/>
      </c>
    </row>
    <row r="11" spans="1:37" s="1" customFormat="1" x14ac:dyDescent="0.35">
      <c r="A11" s="238"/>
      <c r="B11" s="55">
        <f>'R1'!B33</f>
        <v>9.6835609196683058E-3</v>
      </c>
      <c r="C11" s="55">
        <f>'R1'!C33</f>
        <v>0.40084078590795602</v>
      </c>
      <c r="D11" s="55">
        <f>'R1'!D33</f>
        <v>0.13344439926502841</v>
      </c>
      <c r="E11" s="55">
        <f>'R1'!E33</f>
        <v>4.9740126057731836E-2</v>
      </c>
      <c r="F11" s="55">
        <f>'R1'!F33</f>
        <v>1.504206722420198</v>
      </c>
      <c r="G11" s="55">
        <f>'R1'!G33</f>
        <v>1.8249091705159477</v>
      </c>
      <c r="H11" s="55">
        <f>'R1'!H33</f>
        <v>3.4641711396914272</v>
      </c>
      <c r="I11" s="55">
        <f>'R1'!I33</f>
        <v>0.12307221429155578</v>
      </c>
      <c r="J11" s="55">
        <f>'R1'!J33</f>
        <v>6.786255419083162E-2</v>
      </c>
      <c r="K11" s="55">
        <f>'R1'!K33</f>
        <v>1.1459546416168682E-2</v>
      </c>
      <c r="L11" s="55">
        <f>'R1'!L33</f>
        <v>0.14343617960312163</v>
      </c>
      <c r="M11" s="55">
        <f>'R1'!M33</f>
        <v>0.1463789446034317</v>
      </c>
      <c r="N11"/>
      <c r="O11" s="55">
        <f>'R1'!O33</f>
        <v>1.7667411339295007</v>
      </c>
      <c r="P11" s="55">
        <f>'R1'!P33</f>
        <v>1.2178140225226468</v>
      </c>
      <c r="Q11" s="55">
        <f>'R1'!Q33</f>
        <v>1.2521843547422177E-2</v>
      </c>
      <c r="R11" s="55">
        <f>'R1'!R33</f>
        <v>0.58807706459388143</v>
      </c>
      <c r="S11" s="55">
        <f>'R1'!S33</f>
        <v>0.12654927879950251</v>
      </c>
      <c r="T11" s="55">
        <f>'R1'!T33</f>
        <v>8.7297994181928781E-2</v>
      </c>
      <c r="U11" s="55">
        <f>'R1'!U33</f>
        <v>3.4001385555136536E-2</v>
      </c>
      <c r="V11" s="55">
        <f>'R1'!V33</f>
        <v>4.0519252327292914E-2</v>
      </c>
      <c r="W11" s="55" t="str">
        <f>'R1'!W33</f>
        <v/>
      </c>
      <c r="X11" s="55" t="str">
        <f>'R1'!X33</f>
        <v/>
      </c>
      <c r="Y11" s="55" t="str">
        <f>'R1'!Y33</f>
        <v/>
      </c>
      <c r="Z11" s="55" t="str">
        <f>'R1'!Z33</f>
        <v/>
      </c>
      <c r="AA11" s="55" t="str">
        <f>'R1'!AA33</f>
        <v/>
      </c>
      <c r="AB11" s="55" t="str">
        <f>'R1'!AB33</f>
        <v/>
      </c>
      <c r="AC11" s="55" t="str">
        <f>'R1'!AC33</f>
        <v/>
      </c>
      <c r="AD11" s="55" t="str">
        <f>'R1'!AD33</f>
        <v/>
      </c>
      <c r="AE11" s="55" t="str">
        <f>'R1'!AE33</f>
        <v/>
      </c>
      <c r="AF11" s="55" t="str">
        <f>'R1'!AF33</f>
        <v/>
      </c>
      <c r="AG11" s="55" t="str">
        <f>'R1'!AG33</f>
        <v/>
      </c>
      <c r="AH11" s="55" t="str">
        <f>'R1'!AH33</f>
        <v/>
      </c>
      <c r="AI11" s="55" t="str">
        <f>'R1'!AI33</f>
        <v/>
      </c>
      <c r="AJ11" s="55" t="str">
        <f>'R1'!AJ33</f>
        <v/>
      </c>
      <c r="AK11" s="55" t="str">
        <f>'R1'!AK33</f>
        <v/>
      </c>
    </row>
    <row r="12" spans="1:37" s="1" customFormat="1" x14ac:dyDescent="0.35">
      <c r="A12" s="238"/>
      <c r="B12" s="55">
        <f>'R1'!B34</f>
        <v>3.4752240713636792E-2</v>
      </c>
      <c r="C12" s="55">
        <f>'R1'!C34</f>
        <v>1.2674521010266481E-2</v>
      </c>
      <c r="D12" s="55">
        <f>'R1'!D34</f>
        <v>1.3384771984229818E-2</v>
      </c>
      <c r="E12" s="55">
        <f>'R1'!E34</f>
        <v>0.10772139771777267</v>
      </c>
      <c r="F12" s="55">
        <f>'R1'!F34</f>
        <v>1.1428415109110674</v>
      </c>
      <c r="G12" s="55">
        <f>'R1'!G34</f>
        <v>1.8245727358440704</v>
      </c>
      <c r="H12" s="55">
        <f>'R1'!H34</f>
        <v>1.4846652961978581</v>
      </c>
      <c r="I12" s="55">
        <f>'R1'!I34</f>
        <v>9.07315184002839E-2</v>
      </c>
      <c r="J12" s="55">
        <f>'R1'!J34</f>
        <v>0.11730505945326283</v>
      </c>
      <c r="K12" s="55">
        <f>'R1'!K34</f>
        <v>0.10984298426290655</v>
      </c>
      <c r="L12" s="55">
        <f>'R1'!L34</f>
        <v>0.40215558807391355</v>
      </c>
      <c r="M12" s="55">
        <f>'R1'!M34</f>
        <v>3.9266896102986525E-2</v>
      </c>
      <c r="N12"/>
      <c r="O12" s="55">
        <f>'R1'!O34</f>
        <v>2.0082167974140499</v>
      </c>
      <c r="P12" s="55">
        <f>'R1'!P34</f>
        <v>1.2125423533154136</v>
      </c>
      <c r="Q12" s="55">
        <f>'R1'!Q34</f>
        <v>7.6826268085870023E-2</v>
      </c>
      <c r="R12" s="55">
        <f>'R1'!R34</f>
        <v>0.34072697101806498</v>
      </c>
      <c r="S12" s="55">
        <f>'R1'!S34</f>
        <v>0.60116772478641256</v>
      </c>
      <c r="T12" s="55">
        <f>'R1'!T34</f>
        <v>5.6988939763871253E-2</v>
      </c>
      <c r="U12" s="55">
        <f>'R1'!U34</f>
        <v>0.16653902964449205</v>
      </c>
      <c r="V12" s="55">
        <f>'R1'!V34</f>
        <v>6.4027141641574891E-3</v>
      </c>
      <c r="W12" s="55" t="str">
        <f>'R1'!W34</f>
        <v/>
      </c>
      <c r="X12" s="55" t="str">
        <f>'R1'!X34</f>
        <v/>
      </c>
      <c r="Y12" s="55" t="str">
        <f>'R1'!Y34</f>
        <v/>
      </c>
      <c r="Z12" s="55" t="str">
        <f>'R1'!Z34</f>
        <v/>
      </c>
      <c r="AA12" s="55" t="str">
        <f>'R1'!AA34</f>
        <v/>
      </c>
      <c r="AB12" s="55" t="str">
        <f>'R1'!AB34</f>
        <v/>
      </c>
      <c r="AC12" s="55" t="str">
        <f>'R1'!AC34</f>
        <v/>
      </c>
      <c r="AD12" s="55" t="str">
        <f>'R1'!AD34</f>
        <v/>
      </c>
      <c r="AE12" s="55" t="str">
        <f>'R1'!AE34</f>
        <v/>
      </c>
      <c r="AF12" s="55" t="str">
        <f>'R1'!AF34</f>
        <v/>
      </c>
      <c r="AG12" s="55" t="str">
        <f>'R1'!AG34</f>
        <v/>
      </c>
      <c r="AH12" s="55" t="str">
        <f>'R1'!AH34</f>
        <v/>
      </c>
      <c r="AI12" s="55" t="str">
        <f>'R1'!AI34</f>
        <v/>
      </c>
      <c r="AJ12" s="55" t="str">
        <f>'R1'!AJ34</f>
        <v/>
      </c>
      <c r="AK12" s="55" t="str">
        <f>'R1'!AK34</f>
        <v/>
      </c>
    </row>
    <row r="13" spans="1:37" s="1" customFormat="1" x14ac:dyDescent="0.35">
      <c r="A13" s="238"/>
      <c r="B13" s="55">
        <f>'R1'!B35</f>
        <v>2.1844191933044196E-2</v>
      </c>
      <c r="C13" s="55">
        <f>'R1'!C35</f>
        <v>8.776232845448155E-2</v>
      </c>
      <c r="D13" s="55">
        <f>'R1'!D35</f>
        <v>0.11195855537329422</v>
      </c>
      <c r="E13" s="55">
        <f>'R1'!E35</f>
        <v>0.34999288889678204</v>
      </c>
      <c r="F13" s="55">
        <f>'R1'!F35</f>
        <v>0.70998113874757773</v>
      </c>
      <c r="G13" s="55">
        <f>'R1'!G35</f>
        <v>1.1915068076818245</v>
      </c>
      <c r="H13" s="55">
        <f>'R1'!H35</f>
        <v>2.1615359066312858</v>
      </c>
      <c r="I13" s="55" t="str">
        <f>'R1'!I35</f>
        <v/>
      </c>
      <c r="J13" s="55">
        <f>'R1'!J35</f>
        <v>0.1794878258342584</v>
      </c>
      <c r="K13" s="55">
        <f>'R1'!K35</f>
        <v>0.13980658085696737</v>
      </c>
      <c r="L13" s="55" t="str">
        <f>'R1'!L35</f>
        <v/>
      </c>
      <c r="M13" s="55">
        <f>'R1'!M35</f>
        <v>6.2942787916251949E-2</v>
      </c>
      <c r="N13"/>
      <c r="O13" s="55">
        <f>'R1'!O35</f>
        <v>1.8015728643165696</v>
      </c>
      <c r="P13" s="55">
        <f>'R1'!P35</f>
        <v>2.6679949796900297</v>
      </c>
      <c r="Q13" s="55">
        <f>'R1'!Q35</f>
        <v>0.21560449605050896</v>
      </c>
      <c r="R13" s="55">
        <f>'R1'!R35</f>
        <v>0.25275267010109792</v>
      </c>
      <c r="S13" s="55">
        <f>'R1'!S35</f>
        <v>8.9301420401690659E-2</v>
      </c>
      <c r="T13" s="55">
        <f>'R1'!T35</f>
        <v>7.3433276439733408E-2</v>
      </c>
      <c r="U13" s="55">
        <f>'R1'!U35</f>
        <v>0.18823971049144808</v>
      </c>
      <c r="V13" s="55">
        <f>'R1'!V35</f>
        <v>0.24100667441130014</v>
      </c>
      <c r="W13" s="55" t="str">
        <f>'R1'!W35</f>
        <v/>
      </c>
      <c r="X13" s="55" t="str">
        <f>'R1'!X35</f>
        <v/>
      </c>
      <c r="Y13" s="55" t="str">
        <f>'R1'!Y35</f>
        <v/>
      </c>
      <c r="Z13" s="55" t="str">
        <f>'R1'!Z35</f>
        <v/>
      </c>
      <c r="AA13" s="55" t="str">
        <f>'R1'!AA35</f>
        <v/>
      </c>
      <c r="AB13" s="55" t="str">
        <f>'R1'!AB35</f>
        <v/>
      </c>
      <c r="AC13" s="55" t="str">
        <f>'R1'!AC35</f>
        <v/>
      </c>
      <c r="AD13" s="55" t="str">
        <f>'R1'!AD35</f>
        <v/>
      </c>
      <c r="AE13" s="55" t="str">
        <f>'R1'!AE35</f>
        <v/>
      </c>
      <c r="AF13" s="55" t="str">
        <f>'R1'!AF35</f>
        <v/>
      </c>
      <c r="AG13" s="55" t="str">
        <f>'R1'!AG35</f>
        <v/>
      </c>
      <c r="AH13" s="55" t="str">
        <f>'R1'!AH35</f>
        <v/>
      </c>
      <c r="AI13" s="55" t="str">
        <f>'R1'!AI35</f>
        <v/>
      </c>
      <c r="AJ13" s="55" t="str">
        <f>'R1'!AJ35</f>
        <v/>
      </c>
      <c r="AK13" s="55" t="str">
        <f>'R1'!AK35</f>
        <v/>
      </c>
    </row>
    <row r="14" spans="1:37" s="1" customFormat="1" x14ac:dyDescent="0.35">
      <c r="A14" s="238"/>
      <c r="B14" s="55" t="str">
        <f>'R1'!B36</f>
        <v/>
      </c>
      <c r="C14" s="55" t="str">
        <f>'R1'!C36</f>
        <v/>
      </c>
      <c r="D14" s="55" t="str">
        <f>'R1'!D36</f>
        <v/>
      </c>
      <c r="E14" s="55" t="str">
        <f>'R1'!E36</f>
        <v/>
      </c>
      <c r="F14" s="55" t="str">
        <f>'R1'!F36</f>
        <v/>
      </c>
      <c r="G14" s="55" t="str">
        <f>'R1'!G36</f>
        <v/>
      </c>
      <c r="H14" s="55" t="str">
        <f>'R1'!H36</f>
        <v/>
      </c>
      <c r="I14" s="55" t="str">
        <f>'R1'!I36</f>
        <v/>
      </c>
      <c r="J14" s="55" t="str">
        <f>'R1'!J36</f>
        <v/>
      </c>
      <c r="K14" s="55" t="str">
        <f>'R1'!K36</f>
        <v/>
      </c>
      <c r="L14" s="55" t="str">
        <f>'R1'!L36</f>
        <v/>
      </c>
      <c r="M14" s="55" t="str">
        <f>'R1'!M36</f>
        <v/>
      </c>
      <c r="N14"/>
      <c r="O14" s="55">
        <f>'R1'!O36</f>
        <v>0.94367519287703749</v>
      </c>
      <c r="P14" s="55" t="str">
        <f>'R1'!P36</f>
        <v/>
      </c>
      <c r="Q14" s="55" t="str">
        <f>'R1'!Q36</f>
        <v/>
      </c>
      <c r="R14" s="55" t="str">
        <f>'R1'!R36</f>
        <v/>
      </c>
      <c r="S14" s="55" t="str">
        <f>'R1'!S36</f>
        <v/>
      </c>
      <c r="T14" s="55" t="str">
        <f>'R1'!T36</f>
        <v/>
      </c>
      <c r="U14" s="55" t="str">
        <f>'R1'!U36</f>
        <v/>
      </c>
      <c r="V14" s="55" t="str">
        <f>'R1'!V36</f>
        <v/>
      </c>
      <c r="W14" s="55" t="str">
        <f>'R1'!W36</f>
        <v/>
      </c>
      <c r="X14" s="55" t="str">
        <f>'R1'!X36</f>
        <v/>
      </c>
      <c r="Y14" s="55" t="str">
        <f>'R1'!Y36</f>
        <v/>
      </c>
      <c r="Z14" s="55" t="str">
        <f>'R1'!Z36</f>
        <v/>
      </c>
      <c r="AA14" s="55" t="str">
        <f>'R1'!AA36</f>
        <v/>
      </c>
      <c r="AB14" s="55" t="str">
        <f>'R1'!AB36</f>
        <v/>
      </c>
      <c r="AC14" s="55" t="str">
        <f>'R1'!AC36</f>
        <v/>
      </c>
      <c r="AD14" s="55" t="str">
        <f>'R1'!AD36</f>
        <v/>
      </c>
      <c r="AE14" s="55" t="str">
        <f>'R1'!AE36</f>
        <v/>
      </c>
      <c r="AF14" s="55" t="str">
        <f>'R1'!AF36</f>
        <v/>
      </c>
      <c r="AG14" s="55" t="str">
        <f>'R1'!AG36</f>
        <v/>
      </c>
      <c r="AH14" s="55" t="str">
        <f>'R1'!AH36</f>
        <v/>
      </c>
      <c r="AI14" s="55" t="str">
        <f>'R1'!AI36</f>
        <v/>
      </c>
      <c r="AJ14" s="55" t="str">
        <f>'R1'!AJ36</f>
        <v/>
      </c>
      <c r="AK14" s="55" t="str">
        <f>'R1'!AK36</f>
        <v/>
      </c>
    </row>
    <row r="15" spans="1:37" s="1" customFormat="1" x14ac:dyDescent="0.35">
      <c r="A15" s="238"/>
      <c r="B15" s="55" t="str">
        <f>'R1'!B37</f>
        <v/>
      </c>
      <c r="C15" s="55" t="str">
        <f>'R1'!C37</f>
        <v/>
      </c>
      <c r="D15" s="55" t="str">
        <f>'R1'!D37</f>
        <v/>
      </c>
      <c r="E15" s="55" t="str">
        <f>'R1'!E37</f>
        <v/>
      </c>
      <c r="F15" s="55" t="str">
        <f>'R1'!F37</f>
        <v/>
      </c>
      <c r="G15" s="55" t="str">
        <f>'R1'!G37</f>
        <v/>
      </c>
      <c r="H15" s="55" t="str">
        <f>'R1'!H37</f>
        <v/>
      </c>
      <c r="I15" s="55" t="str">
        <f>'R1'!I37</f>
        <v/>
      </c>
      <c r="J15" s="55" t="str">
        <f>'R1'!J37</f>
        <v/>
      </c>
      <c r="K15" s="55" t="str">
        <f>'R1'!K37</f>
        <v/>
      </c>
      <c r="L15" s="55" t="str">
        <f>'R1'!L37</f>
        <v/>
      </c>
      <c r="M15" s="55" t="str">
        <f>'R1'!M37</f>
        <v/>
      </c>
      <c r="N15"/>
      <c r="O15" s="55">
        <f>'R1'!O37</f>
        <v>0.68069692821824668</v>
      </c>
      <c r="P15" s="55" t="str">
        <f>'R1'!P37</f>
        <v/>
      </c>
      <c r="Q15" s="55" t="str">
        <f>'R1'!Q37</f>
        <v/>
      </c>
      <c r="R15" s="55" t="str">
        <f>'R1'!R37</f>
        <v/>
      </c>
      <c r="S15" s="55" t="str">
        <f>'R1'!S37</f>
        <v/>
      </c>
      <c r="T15" s="55" t="str">
        <f>'R1'!T37</f>
        <v/>
      </c>
      <c r="U15" s="55" t="str">
        <f>'R1'!U37</f>
        <v/>
      </c>
      <c r="V15" s="55" t="str">
        <f>'R1'!V37</f>
        <v/>
      </c>
      <c r="W15" s="55" t="str">
        <f>'R1'!W37</f>
        <v/>
      </c>
      <c r="X15" s="55" t="str">
        <f>'R1'!X37</f>
        <v/>
      </c>
      <c r="Y15" s="55" t="str">
        <f>'R1'!Y37</f>
        <v/>
      </c>
      <c r="Z15" s="55" t="str">
        <f>'R1'!Z37</f>
        <v/>
      </c>
      <c r="AA15" s="55" t="str">
        <f>'R1'!AA37</f>
        <v/>
      </c>
      <c r="AB15" s="55" t="str">
        <f>'R1'!AB37</f>
        <v/>
      </c>
      <c r="AC15" s="55" t="str">
        <f>'R1'!AC37</f>
        <v/>
      </c>
      <c r="AD15" s="55" t="str">
        <f>'R1'!AD37</f>
        <v/>
      </c>
      <c r="AE15" s="55" t="str">
        <f>'R1'!AE37</f>
        <v/>
      </c>
      <c r="AF15" s="55" t="str">
        <f>'R1'!AF37</f>
        <v/>
      </c>
      <c r="AG15" s="55" t="str">
        <f>'R1'!AG37</f>
        <v/>
      </c>
      <c r="AH15" s="55" t="str">
        <f>'R1'!AH37</f>
        <v/>
      </c>
      <c r="AI15" s="55" t="str">
        <f>'R1'!AI37</f>
        <v/>
      </c>
      <c r="AJ15" s="55" t="str">
        <f>'R1'!AJ37</f>
        <v/>
      </c>
      <c r="AK15" s="55" t="str">
        <f>'R1'!AK37</f>
        <v/>
      </c>
    </row>
    <row r="16" spans="1:37" s="1" customFormat="1" x14ac:dyDescent="0.35">
      <c r="A16" s="238"/>
      <c r="B16" s="55" t="str">
        <f>'R1'!B38</f>
        <v/>
      </c>
      <c r="C16" s="55" t="str">
        <f>'R1'!C38</f>
        <v/>
      </c>
      <c r="D16" s="55" t="str">
        <f>'R1'!D38</f>
        <v/>
      </c>
      <c r="E16" s="55" t="str">
        <f>'R1'!E38</f>
        <v/>
      </c>
      <c r="F16" s="55" t="str">
        <f>'R1'!F38</f>
        <v/>
      </c>
      <c r="G16" s="55" t="str">
        <f>'R1'!G38</f>
        <v/>
      </c>
      <c r="H16" s="55" t="str">
        <f>'R1'!H38</f>
        <v/>
      </c>
      <c r="I16" s="55" t="str">
        <f>'R1'!I38</f>
        <v/>
      </c>
      <c r="J16" s="55" t="str">
        <f>'R1'!J38</f>
        <v/>
      </c>
      <c r="K16" s="55" t="str">
        <f>'R1'!K38</f>
        <v/>
      </c>
      <c r="L16" s="55" t="str">
        <f>'R1'!L38</f>
        <v/>
      </c>
      <c r="M16" s="55" t="str">
        <f>'R1'!M38</f>
        <v/>
      </c>
      <c r="N16"/>
      <c r="O16" s="55">
        <f>'R1'!O38</f>
        <v>1.4614939847800903</v>
      </c>
      <c r="P16" s="55" t="str">
        <f>'R1'!P38</f>
        <v/>
      </c>
      <c r="Q16" s="55" t="str">
        <f>'R1'!Q38</f>
        <v/>
      </c>
      <c r="R16" s="55" t="str">
        <f>'R1'!R38</f>
        <v/>
      </c>
      <c r="S16" s="55" t="str">
        <f>'R1'!S38</f>
        <v/>
      </c>
      <c r="T16" s="55" t="str">
        <f>'R1'!T38</f>
        <v/>
      </c>
      <c r="U16" s="55" t="str">
        <f>'R1'!U38</f>
        <v/>
      </c>
      <c r="V16" s="55" t="str">
        <f>'R1'!V38</f>
        <v/>
      </c>
      <c r="W16" s="55" t="str">
        <f>'R1'!W38</f>
        <v/>
      </c>
      <c r="X16" s="55" t="str">
        <f>'R1'!X38</f>
        <v/>
      </c>
      <c r="Y16" s="55" t="str">
        <f>'R1'!Y38</f>
        <v/>
      </c>
      <c r="Z16" s="55" t="str">
        <f>'R1'!Z38</f>
        <v/>
      </c>
      <c r="AA16" s="55" t="str">
        <f>'R1'!AA38</f>
        <v/>
      </c>
      <c r="AB16" s="55" t="str">
        <f>'R1'!AB38</f>
        <v/>
      </c>
      <c r="AC16" s="55" t="str">
        <f>'R1'!AC38</f>
        <v/>
      </c>
      <c r="AD16" s="55" t="str">
        <f>'R1'!AD38</f>
        <v/>
      </c>
      <c r="AE16" s="55" t="str">
        <f>'R1'!AE38</f>
        <v/>
      </c>
      <c r="AF16" s="55" t="str">
        <f>'R1'!AF38</f>
        <v/>
      </c>
      <c r="AG16" s="55" t="str">
        <f>'R1'!AG38</f>
        <v/>
      </c>
      <c r="AH16" s="55" t="str">
        <f>'R1'!AH38</f>
        <v/>
      </c>
      <c r="AI16" s="55" t="str">
        <f>'R1'!AI38</f>
        <v/>
      </c>
      <c r="AJ16" s="55" t="str">
        <f>'R1'!AJ38</f>
        <v/>
      </c>
      <c r="AK16" s="55" t="str">
        <f>'R1'!AK38</f>
        <v/>
      </c>
    </row>
    <row r="17" spans="1:37" s="1" customFormat="1" x14ac:dyDescent="0.35">
      <c r="A17" s="238"/>
      <c r="B17" s="55" t="str">
        <f>'R1'!B39</f>
        <v/>
      </c>
      <c r="C17" s="55" t="str">
        <f>'R1'!C39</f>
        <v/>
      </c>
      <c r="D17" s="55" t="str">
        <f>'R1'!D39</f>
        <v/>
      </c>
      <c r="E17" s="55" t="str">
        <f>'R1'!E39</f>
        <v/>
      </c>
      <c r="F17" s="55" t="str">
        <f>'R1'!F39</f>
        <v/>
      </c>
      <c r="G17" s="55" t="str">
        <f>'R1'!G39</f>
        <v/>
      </c>
      <c r="H17" s="55" t="str">
        <f>'R1'!H39</f>
        <v/>
      </c>
      <c r="I17" s="55" t="str">
        <f>'R1'!I39</f>
        <v/>
      </c>
      <c r="J17" s="55" t="str">
        <f>'R1'!J39</f>
        <v/>
      </c>
      <c r="K17" s="55" t="str">
        <f>'R1'!K39</f>
        <v/>
      </c>
      <c r="L17" s="55" t="str">
        <f>'R1'!L39</f>
        <v/>
      </c>
      <c r="M17" s="55" t="str">
        <f>'R1'!M39</f>
        <v/>
      </c>
      <c r="N17"/>
      <c r="O17" s="55">
        <f>'R1'!O39</f>
        <v>9.4694544100942413E-2</v>
      </c>
      <c r="P17" s="55" t="str">
        <f>'R1'!P39</f>
        <v/>
      </c>
      <c r="Q17" s="55" t="str">
        <f>'R1'!Q39</f>
        <v/>
      </c>
      <c r="R17" s="55" t="str">
        <f>'R1'!R39</f>
        <v/>
      </c>
      <c r="S17" s="55" t="str">
        <f>'R1'!S39</f>
        <v/>
      </c>
      <c r="T17" s="55" t="str">
        <f>'R1'!T39</f>
        <v/>
      </c>
      <c r="U17" s="55" t="str">
        <f>'R1'!U39</f>
        <v/>
      </c>
      <c r="V17" s="55" t="str">
        <f>'R1'!V39</f>
        <v/>
      </c>
      <c r="W17" s="55" t="str">
        <f>'R1'!W39</f>
        <v/>
      </c>
      <c r="X17" s="55" t="str">
        <f>'R1'!X39</f>
        <v/>
      </c>
      <c r="Y17" s="55" t="str">
        <f>'R1'!Y39</f>
        <v/>
      </c>
      <c r="Z17" s="55" t="str">
        <f>'R1'!Z39</f>
        <v/>
      </c>
      <c r="AA17" s="55" t="str">
        <f>'R1'!AA39</f>
        <v/>
      </c>
      <c r="AB17" s="55" t="str">
        <f>'R1'!AB39</f>
        <v/>
      </c>
      <c r="AC17" s="55" t="str">
        <f>'R1'!AC39</f>
        <v/>
      </c>
      <c r="AD17" s="55" t="str">
        <f>'R1'!AD39</f>
        <v/>
      </c>
      <c r="AE17" s="55" t="str">
        <f>'R1'!AE39</f>
        <v/>
      </c>
      <c r="AF17" s="55" t="str">
        <f>'R1'!AF39</f>
        <v/>
      </c>
      <c r="AG17" s="55" t="str">
        <f>'R1'!AG39</f>
        <v/>
      </c>
      <c r="AH17" s="55" t="str">
        <f>'R1'!AH39</f>
        <v/>
      </c>
      <c r="AI17" s="55" t="str">
        <f>'R1'!AI39</f>
        <v/>
      </c>
      <c r="AJ17" s="55" t="str">
        <f>'R1'!AJ39</f>
        <v/>
      </c>
      <c r="AK17" s="55" t="str">
        <f>'R1'!AK39</f>
        <v/>
      </c>
    </row>
    <row r="18" spans="1:37" s="1" customFormat="1" x14ac:dyDescent="0.35">
      <c r="A18" s="238"/>
      <c r="B18" s="55" t="str">
        <f>'R1'!B40</f>
        <v/>
      </c>
      <c r="C18" s="55" t="str">
        <f>'R1'!C40</f>
        <v/>
      </c>
      <c r="D18" s="55" t="str">
        <f>'R1'!D40</f>
        <v/>
      </c>
      <c r="E18" s="55" t="str">
        <f>'R1'!E40</f>
        <v/>
      </c>
      <c r="F18" s="55" t="str">
        <f>'R1'!F40</f>
        <v/>
      </c>
      <c r="G18" s="55" t="str">
        <f>'R1'!G40</f>
        <v/>
      </c>
      <c r="H18" s="55" t="str">
        <f>'R1'!H40</f>
        <v/>
      </c>
      <c r="I18" s="55" t="str">
        <f>'R1'!I40</f>
        <v/>
      </c>
      <c r="J18" s="55" t="str">
        <f>'R1'!J40</f>
        <v/>
      </c>
      <c r="K18" s="55" t="str">
        <f>'R1'!K40</f>
        <v/>
      </c>
      <c r="L18" s="55" t="str">
        <f>'R1'!L40</f>
        <v/>
      </c>
      <c r="M18" s="55" t="str">
        <f>'R1'!M40</f>
        <v/>
      </c>
      <c r="N18"/>
      <c r="O18" s="55">
        <f>'R1'!O40</f>
        <v>0.81664467929783813</v>
      </c>
      <c r="P18" s="55" t="str">
        <f>'R1'!P40</f>
        <v/>
      </c>
      <c r="Q18" s="55" t="str">
        <f>'R1'!Q40</f>
        <v/>
      </c>
      <c r="R18" s="55" t="str">
        <f>'R1'!R40</f>
        <v/>
      </c>
      <c r="S18" s="55" t="str">
        <f>'R1'!S40</f>
        <v/>
      </c>
      <c r="T18" s="55" t="str">
        <f>'R1'!T40</f>
        <v/>
      </c>
      <c r="U18" s="55" t="str">
        <f>'R1'!U40</f>
        <v/>
      </c>
      <c r="V18" s="55" t="str">
        <f>'R1'!V40</f>
        <v/>
      </c>
      <c r="W18" s="55" t="str">
        <f>'R1'!W40</f>
        <v/>
      </c>
      <c r="X18" s="55" t="str">
        <f>'R1'!X40</f>
        <v/>
      </c>
      <c r="Y18" s="55" t="str">
        <f>'R1'!Y40</f>
        <v/>
      </c>
      <c r="Z18" s="55" t="str">
        <f>'R1'!Z40</f>
        <v/>
      </c>
      <c r="AA18" s="55" t="str">
        <f>'R1'!AA40</f>
        <v/>
      </c>
      <c r="AB18" s="55" t="str">
        <f>'R1'!AB40</f>
        <v/>
      </c>
      <c r="AC18" s="55" t="str">
        <f>'R1'!AC40</f>
        <v/>
      </c>
      <c r="AD18" s="55" t="str">
        <f>'R1'!AD40</f>
        <v/>
      </c>
      <c r="AE18" s="55" t="str">
        <f>'R1'!AE40</f>
        <v/>
      </c>
      <c r="AF18" s="55" t="str">
        <f>'R1'!AF40</f>
        <v/>
      </c>
      <c r="AG18" s="55" t="str">
        <f>'R1'!AG40</f>
        <v/>
      </c>
      <c r="AH18" s="55" t="str">
        <f>'R1'!AH40</f>
        <v/>
      </c>
      <c r="AI18" s="55" t="str">
        <f>'R1'!AI40</f>
        <v/>
      </c>
      <c r="AJ18" s="55" t="str">
        <f>'R1'!AJ40</f>
        <v/>
      </c>
      <c r="AK18" s="55" t="str">
        <f>'R1'!AK40</f>
        <v/>
      </c>
    </row>
    <row r="19" spans="1:37" s="1" customFormat="1" x14ac:dyDescent="0.35">
      <c r="A19" s="238"/>
      <c r="B19" s="55" t="str">
        <f>'R1'!B41</f>
        <v/>
      </c>
      <c r="C19" s="55" t="str">
        <f>'R1'!C41</f>
        <v/>
      </c>
      <c r="D19" s="55" t="str">
        <f>'R1'!D41</f>
        <v/>
      </c>
      <c r="E19" s="55" t="str">
        <f>'R1'!E41</f>
        <v/>
      </c>
      <c r="F19" s="55" t="str">
        <f>'R1'!F41</f>
        <v/>
      </c>
      <c r="G19" s="55" t="str">
        <f>'R1'!G41</f>
        <v/>
      </c>
      <c r="H19" s="55" t="str">
        <f>'R1'!H41</f>
        <v/>
      </c>
      <c r="I19" s="55" t="str">
        <f>'R1'!I41</f>
        <v/>
      </c>
      <c r="J19" s="55" t="str">
        <f>'R1'!J41</f>
        <v/>
      </c>
      <c r="K19" s="55" t="str">
        <f>'R1'!K41</f>
        <v/>
      </c>
      <c r="L19" s="55" t="str">
        <f>'R1'!L41</f>
        <v/>
      </c>
      <c r="M19" s="55" t="str">
        <f>'R1'!M41</f>
        <v/>
      </c>
      <c r="N19"/>
      <c r="O19" s="55">
        <f>'R1'!O41</f>
        <v>0.94100835013955075</v>
      </c>
      <c r="P19" s="55" t="str">
        <f>'R1'!P41</f>
        <v/>
      </c>
      <c r="Q19" s="55" t="str">
        <f>'R1'!Q41</f>
        <v/>
      </c>
      <c r="R19" s="55" t="str">
        <f>'R1'!R41</f>
        <v/>
      </c>
      <c r="S19" s="55" t="str">
        <f>'R1'!S41</f>
        <v/>
      </c>
      <c r="T19" s="55" t="str">
        <f>'R1'!T41</f>
        <v/>
      </c>
      <c r="U19" s="55" t="str">
        <f>'R1'!U41</f>
        <v/>
      </c>
      <c r="V19" s="55" t="str">
        <f>'R1'!V41</f>
        <v/>
      </c>
      <c r="W19" s="55" t="str">
        <f>'R1'!W41</f>
        <v/>
      </c>
      <c r="X19" s="55" t="str">
        <f>'R1'!X41</f>
        <v/>
      </c>
      <c r="Y19" s="55" t="str">
        <f>'R1'!Y41</f>
        <v/>
      </c>
      <c r="Z19" s="55" t="str">
        <f>'R1'!Z41</f>
        <v/>
      </c>
      <c r="AA19" s="55" t="str">
        <f>'R1'!AA41</f>
        <v/>
      </c>
      <c r="AB19" s="55" t="str">
        <f>'R1'!AB41</f>
        <v/>
      </c>
      <c r="AC19" s="55" t="str">
        <f>'R1'!AC41</f>
        <v/>
      </c>
      <c r="AD19" s="55" t="str">
        <f>'R1'!AD41</f>
        <v/>
      </c>
      <c r="AE19" s="55" t="str">
        <f>'R1'!AE41</f>
        <v/>
      </c>
      <c r="AF19" s="55" t="str">
        <f>'R1'!AF41</f>
        <v/>
      </c>
      <c r="AG19" s="55" t="str">
        <f>'R1'!AG41</f>
        <v/>
      </c>
      <c r="AH19" s="55" t="str">
        <f>'R1'!AH41</f>
        <v/>
      </c>
      <c r="AI19" s="55" t="str">
        <f>'R1'!AI41</f>
        <v/>
      </c>
      <c r="AJ19" s="55" t="str">
        <f>'R1'!AJ41</f>
        <v/>
      </c>
      <c r="AK19" s="55" t="str">
        <f>'R1'!AK41</f>
        <v/>
      </c>
    </row>
    <row r="20" spans="1:37" s="1" customFormat="1" x14ac:dyDescent="0.35">
      <c r="A20" s="238"/>
      <c r="B20" s="55" t="str">
        <f>'R1'!B42</f>
        <v/>
      </c>
      <c r="C20" s="55" t="str">
        <f>'R1'!C42</f>
        <v/>
      </c>
      <c r="D20" s="55" t="str">
        <f>'R1'!D42</f>
        <v/>
      </c>
      <c r="E20" s="55" t="str">
        <f>'R1'!E42</f>
        <v/>
      </c>
      <c r="F20" s="55" t="str">
        <f>'R1'!F42</f>
        <v/>
      </c>
      <c r="G20" s="55" t="str">
        <f>'R1'!G42</f>
        <v/>
      </c>
      <c r="H20" s="55" t="str">
        <f>'R1'!H42</f>
        <v/>
      </c>
      <c r="I20" s="55" t="str">
        <f>'R1'!I42</f>
        <v/>
      </c>
      <c r="J20" s="55" t="str">
        <f>'R1'!J42</f>
        <v/>
      </c>
      <c r="K20" s="55" t="str">
        <f>'R1'!K42</f>
        <v/>
      </c>
      <c r="L20" s="55" t="str">
        <f>'R1'!L42</f>
        <v/>
      </c>
      <c r="M20" s="55" t="str">
        <f>'R1'!M42</f>
        <v/>
      </c>
      <c r="N20"/>
      <c r="O20" s="55">
        <f>'R1'!O42</f>
        <v>7.873344734969253E-3</v>
      </c>
      <c r="P20" s="55" t="str">
        <f>'R1'!P42</f>
        <v/>
      </c>
      <c r="Q20" s="55" t="str">
        <f>'R1'!Q42</f>
        <v/>
      </c>
      <c r="R20" s="55" t="str">
        <f>'R1'!R42</f>
        <v/>
      </c>
      <c r="S20" s="55" t="str">
        <f>'R1'!S42</f>
        <v/>
      </c>
      <c r="T20" s="55" t="str">
        <f>'R1'!T42</f>
        <v/>
      </c>
      <c r="U20" s="55" t="str">
        <f>'R1'!U42</f>
        <v/>
      </c>
      <c r="V20" s="55" t="str">
        <f>'R1'!V42</f>
        <v/>
      </c>
      <c r="W20" s="55" t="str">
        <f>'R1'!W42</f>
        <v/>
      </c>
      <c r="X20" s="55" t="str">
        <f>'R1'!X42</f>
        <v/>
      </c>
      <c r="Y20" s="55" t="str">
        <f>'R1'!Y42</f>
        <v/>
      </c>
      <c r="Z20" s="55" t="str">
        <f>'R1'!Z42</f>
        <v/>
      </c>
      <c r="AA20" s="55" t="str">
        <f>'R1'!AA42</f>
        <v/>
      </c>
      <c r="AB20" s="55" t="str">
        <f>'R1'!AB42</f>
        <v/>
      </c>
      <c r="AC20" s="55" t="str">
        <f>'R1'!AC42</f>
        <v/>
      </c>
      <c r="AD20" s="55" t="str">
        <f>'R1'!AD42</f>
        <v/>
      </c>
      <c r="AE20" s="55" t="str">
        <f>'R1'!AE42</f>
        <v/>
      </c>
      <c r="AF20" s="55" t="str">
        <f>'R1'!AF42</f>
        <v/>
      </c>
      <c r="AG20" s="55" t="str">
        <f>'R1'!AG42</f>
        <v/>
      </c>
      <c r="AH20" s="55" t="str">
        <f>'R1'!AH42</f>
        <v/>
      </c>
      <c r="AI20" s="55" t="str">
        <f>'R1'!AI42</f>
        <v/>
      </c>
      <c r="AJ20" s="55" t="str">
        <f>'R1'!AJ42</f>
        <v/>
      </c>
      <c r="AK20" s="55" t="str">
        <f>'R1'!AK42</f>
        <v/>
      </c>
    </row>
    <row r="21" spans="1:37" s="1" customFormat="1" x14ac:dyDescent="0.35">
      <c r="A21" s="239"/>
      <c r="B21" s="55" t="str">
        <f>'R1'!B43</f>
        <v/>
      </c>
      <c r="C21" s="55" t="str">
        <f>'R1'!C43</f>
        <v/>
      </c>
      <c r="D21" s="55" t="str">
        <f>'R1'!D43</f>
        <v/>
      </c>
      <c r="E21" s="55" t="str">
        <f>'R1'!E43</f>
        <v/>
      </c>
      <c r="F21" s="55" t="str">
        <f>'R1'!F43</f>
        <v/>
      </c>
      <c r="G21" s="55" t="str">
        <f>'R1'!G43</f>
        <v/>
      </c>
      <c r="H21" s="55" t="str">
        <f>'R1'!H43</f>
        <v/>
      </c>
      <c r="I21" s="55" t="str">
        <f>'R1'!I43</f>
        <v/>
      </c>
      <c r="J21" s="55" t="str">
        <f>'R1'!J43</f>
        <v/>
      </c>
      <c r="K21" s="55" t="str">
        <f>'R1'!K43</f>
        <v/>
      </c>
      <c r="L21" s="55" t="str">
        <f>'R1'!L43</f>
        <v/>
      </c>
      <c r="M21" s="55" t="str">
        <f>'R1'!M43</f>
        <v/>
      </c>
      <c r="N21"/>
      <c r="O21" s="55">
        <f>'R1'!O43</f>
        <v>0.21179114009532166</v>
      </c>
      <c r="P21" s="55" t="str">
        <f>'R1'!P43</f>
        <v/>
      </c>
      <c r="Q21" s="55" t="str">
        <f>'R1'!Q43</f>
        <v/>
      </c>
      <c r="R21" s="55" t="str">
        <f>'R1'!R43</f>
        <v/>
      </c>
      <c r="S21" s="55" t="str">
        <f>'R1'!S43</f>
        <v/>
      </c>
      <c r="T21" s="55" t="str">
        <f>'R1'!T43</f>
        <v/>
      </c>
      <c r="U21" s="55" t="str">
        <f>'R1'!U43</f>
        <v/>
      </c>
      <c r="V21" s="55" t="str">
        <f>'R1'!V43</f>
        <v/>
      </c>
      <c r="W21" s="55" t="str">
        <f>'R1'!W43</f>
        <v/>
      </c>
      <c r="X21" s="55" t="str">
        <f>'R1'!X43</f>
        <v/>
      </c>
      <c r="Y21" s="55" t="str">
        <f>'R1'!Y43</f>
        <v/>
      </c>
      <c r="Z21" s="55" t="str">
        <f>'R1'!Z43</f>
        <v/>
      </c>
      <c r="AA21" s="55" t="str">
        <f>'R1'!AA43</f>
        <v/>
      </c>
      <c r="AB21" s="55" t="str">
        <f>'R1'!AB43</f>
        <v/>
      </c>
      <c r="AC21" s="55" t="str">
        <f>'R1'!AC43</f>
        <v/>
      </c>
      <c r="AD21" s="55" t="str">
        <f>'R1'!AD43</f>
        <v/>
      </c>
      <c r="AE21" s="55" t="str">
        <f>'R1'!AE43</f>
        <v/>
      </c>
      <c r="AF21" s="55" t="str">
        <f>'R1'!AF43</f>
        <v/>
      </c>
      <c r="AG21" s="55" t="str">
        <f>'R1'!AG43</f>
        <v/>
      </c>
      <c r="AH21" s="55" t="str">
        <f>'R1'!AH43</f>
        <v/>
      </c>
      <c r="AI21" s="55" t="str">
        <f>'R1'!AI43</f>
        <v/>
      </c>
      <c r="AJ21" s="55" t="str">
        <f>'R1'!AJ43</f>
        <v/>
      </c>
      <c r="AK21" s="55" t="str">
        <f>'R1'!AK43</f>
        <v/>
      </c>
    </row>
    <row r="22" spans="1:37" x14ac:dyDescent="0.35">
      <c r="A22" s="39" t="s">
        <v>5</v>
      </c>
      <c r="B22" s="56">
        <f>'R2'!B28</f>
        <v>1.111002000806301E-2</v>
      </c>
      <c r="C22" s="56">
        <f>'R2'!C28</f>
        <v>8.660777957129237E-2</v>
      </c>
      <c r="D22" s="56">
        <f>'R2'!D28</f>
        <v>0.15294860998115453</v>
      </c>
      <c r="E22" s="56">
        <f>'R2'!E28</f>
        <v>8.5468583908994533E-2</v>
      </c>
      <c r="F22" s="56">
        <f>'R2'!F28</f>
        <v>0.20945665049453374</v>
      </c>
      <c r="G22" s="56">
        <f>'R2'!G28</f>
        <v>2.0649790461478759</v>
      </c>
      <c r="H22" s="56">
        <f>'R2'!H28</f>
        <v>2.3719381796546886</v>
      </c>
      <c r="I22" s="56">
        <f>'R2'!I28</f>
        <v>3.2955527982953668E-2</v>
      </c>
      <c r="J22" s="56">
        <f>'R2'!J28</f>
        <v>6.2353931821885623E-2</v>
      </c>
      <c r="K22" s="56">
        <f>'R2'!K28</f>
        <v>0.18541482766644535</v>
      </c>
      <c r="L22" s="56">
        <f>'R2'!L28</f>
        <v>3.4989192601201452E-2</v>
      </c>
      <c r="M22" s="56">
        <f>'R2'!M28</f>
        <v>1.1992181071179078E-2</v>
      </c>
      <c r="O22" s="56">
        <f>'R2'!O28</f>
        <v>0.12769510372657814</v>
      </c>
      <c r="P22" s="56">
        <f>'R2'!P28</f>
        <v>1.8077996145527537</v>
      </c>
      <c r="Q22" s="56">
        <f>'R2'!Q28</f>
        <v>0.10559420697538464</v>
      </c>
      <c r="R22" s="56">
        <f>'R2'!R28</f>
        <v>0.77806047618208718</v>
      </c>
      <c r="S22" s="56">
        <f>'R2'!S28</f>
        <v>1.0170813292812277</v>
      </c>
      <c r="T22" s="56">
        <f>'R2'!T28</f>
        <v>6.4201403782262866E-3</v>
      </c>
      <c r="U22" s="56">
        <f>'R2'!U28</f>
        <v>2.3433369265492995E-2</v>
      </c>
      <c r="V22" s="56">
        <f>'R2'!V28</f>
        <v>0.61874725445549172</v>
      </c>
      <c r="W22" s="56" t="str">
        <f>'R2'!W28</f>
        <v/>
      </c>
      <c r="X22" s="56" t="str">
        <f>'R2'!X28</f>
        <v/>
      </c>
      <c r="Y22" s="56" t="str">
        <f>'R2'!Y28</f>
        <v/>
      </c>
      <c r="Z22" s="56" t="str">
        <f>'R2'!Z28</f>
        <v/>
      </c>
      <c r="AA22" s="56" t="str">
        <f>'R2'!AA28</f>
        <v/>
      </c>
      <c r="AB22" s="56" t="str">
        <f>'R2'!AB28</f>
        <v/>
      </c>
      <c r="AC22" s="56" t="str">
        <f>'R2'!AC28</f>
        <v/>
      </c>
      <c r="AD22" s="56" t="str">
        <f>'R2'!AD28</f>
        <v/>
      </c>
      <c r="AE22" s="56" t="str">
        <f>'R2'!AE28</f>
        <v/>
      </c>
      <c r="AF22" s="56" t="str">
        <f>'R2'!AF28</f>
        <v/>
      </c>
      <c r="AG22" s="56" t="str">
        <f>'R2'!AG28</f>
        <v/>
      </c>
      <c r="AH22" s="56" t="str">
        <f>'R2'!AH28</f>
        <v/>
      </c>
      <c r="AI22" s="56" t="str">
        <f>'R2'!AI28</f>
        <v/>
      </c>
      <c r="AJ22" s="56" t="str">
        <f>'R2'!AJ28</f>
        <v/>
      </c>
      <c r="AK22" s="56" t="str">
        <f>'R2'!AK28</f>
        <v/>
      </c>
    </row>
    <row r="23" spans="1:37" x14ac:dyDescent="0.35">
      <c r="A23" s="237" t="s">
        <v>34</v>
      </c>
      <c r="B23" s="56">
        <f>'R2'!B29</f>
        <v>6.8743159352994271E-2</v>
      </c>
      <c r="C23" s="56">
        <f>'R2'!C29</f>
        <v>0.12666739467494989</v>
      </c>
      <c r="D23" s="56">
        <f>'R2'!D29</f>
        <v>5.9930135623810714E-2</v>
      </c>
      <c r="E23" s="56">
        <f>'R2'!E29</f>
        <v>0.30575181508882987</v>
      </c>
      <c r="F23" s="56">
        <f>'R2'!F29</f>
        <v>1.2621569500794683</v>
      </c>
      <c r="G23" s="56">
        <f>'R2'!G29</f>
        <v>0.64036363526262619</v>
      </c>
      <c r="H23" s="56">
        <f>'R2'!H29</f>
        <v>1.4545648076010465</v>
      </c>
      <c r="I23" s="56">
        <f>'R2'!I29</f>
        <v>1.8208096297382875E-2</v>
      </c>
      <c r="J23" s="56">
        <f>'R2'!J29</f>
        <v>2.0121114942852129E-2</v>
      </c>
      <c r="K23" s="56">
        <f>'R2'!K29</f>
        <v>3.4091503557010093E-2</v>
      </c>
      <c r="L23" s="56">
        <f>'R2'!L29</f>
        <v>7.5745348570236307E-2</v>
      </c>
      <c r="M23" s="56">
        <f>'R2'!M29</f>
        <v>6.5480279716721851E-2</v>
      </c>
      <c r="O23" s="56">
        <f>'R2'!O29</f>
        <v>2.8999256012028848E-2</v>
      </c>
      <c r="P23" s="56">
        <f>'R2'!P29</f>
        <v>1.2909302274544658</v>
      </c>
      <c r="Q23" s="56">
        <f>'R2'!Q29</f>
        <v>0.11822575445627674</v>
      </c>
      <c r="R23" s="56">
        <f>'R2'!R29</f>
        <v>0.9212998760977128</v>
      </c>
      <c r="S23" s="56">
        <f>'R2'!S29</f>
        <v>8.9152078627112857E-3</v>
      </c>
      <c r="T23" s="56">
        <f>'R2'!T29</f>
        <v>6.3241101911155001E-3</v>
      </c>
      <c r="U23" s="56">
        <f>'R2'!U29</f>
        <v>5.4178628679536121E-2</v>
      </c>
      <c r="V23" s="56">
        <f>'R2'!V29</f>
        <v>0.10341664019150364</v>
      </c>
      <c r="W23" s="56" t="str">
        <f>'R2'!W29</f>
        <v/>
      </c>
      <c r="X23" s="56" t="str">
        <f>'R2'!X29</f>
        <v/>
      </c>
      <c r="Y23" s="56" t="str">
        <f>'R2'!Y29</f>
        <v/>
      </c>
      <c r="Z23" s="56" t="str">
        <f>'R2'!Z29</f>
        <v/>
      </c>
      <c r="AA23" s="56" t="str">
        <f>'R2'!AA29</f>
        <v/>
      </c>
      <c r="AB23" s="56" t="str">
        <f>'R2'!AB29</f>
        <v/>
      </c>
      <c r="AC23" s="56" t="str">
        <f>'R2'!AC29</f>
        <v/>
      </c>
      <c r="AD23" s="56" t="str">
        <f>'R2'!AD29</f>
        <v/>
      </c>
      <c r="AE23" s="56" t="str">
        <f>'R2'!AE29</f>
        <v/>
      </c>
      <c r="AF23" s="56" t="str">
        <f>'R2'!AF29</f>
        <v/>
      </c>
      <c r="AG23" s="56" t="str">
        <f>'R2'!AG29</f>
        <v/>
      </c>
      <c r="AH23" s="56" t="str">
        <f>'R2'!AH29</f>
        <v/>
      </c>
      <c r="AI23" s="56" t="str">
        <f>'R2'!AI29</f>
        <v/>
      </c>
      <c r="AJ23" s="56" t="str">
        <f>'R2'!AJ29</f>
        <v/>
      </c>
      <c r="AK23" s="56" t="str">
        <f>'R2'!AK29</f>
        <v/>
      </c>
    </row>
    <row r="24" spans="1:37" x14ac:dyDescent="0.35">
      <c r="A24" s="238"/>
      <c r="B24" s="56">
        <f>'R2'!B30</f>
        <v>3.9895605275894537E-2</v>
      </c>
      <c r="C24" s="56">
        <f>'R2'!C30</f>
        <v>5.3116858250065305E-2</v>
      </c>
      <c r="D24" s="56">
        <f>'R2'!D30</f>
        <v>2.6776679550284441E-2</v>
      </c>
      <c r="E24" s="56">
        <f>'R2'!E30</f>
        <v>5.3574969470544631E-2</v>
      </c>
      <c r="F24" s="56">
        <f>'R2'!F30</f>
        <v>0.55470012867875118</v>
      </c>
      <c r="G24" s="56">
        <f>'R2'!G30</f>
        <v>0.81845755653344554</v>
      </c>
      <c r="H24" s="56">
        <f>'R2'!H30</f>
        <v>0.90065567570942118</v>
      </c>
      <c r="I24" s="56">
        <f>'R2'!I30</f>
        <v>2.0993973528826315E-2</v>
      </c>
      <c r="J24" s="56">
        <f>'R2'!J30</f>
        <v>2.6541398436111367E-2</v>
      </c>
      <c r="K24" s="56">
        <f>'R2'!K30</f>
        <v>0.14248575615210043</v>
      </c>
      <c r="L24" s="56">
        <f>'R2'!L30</f>
        <v>5.5580869772399726E-2</v>
      </c>
      <c r="M24" s="56">
        <f>'R2'!M30</f>
        <v>1.0949015595992021E-2</v>
      </c>
      <c r="O24" s="56">
        <f>'R2'!O30</f>
        <v>1.0767761837908654</v>
      </c>
      <c r="P24" s="56">
        <f>'R2'!P30</f>
        <v>1.4477083094873497</v>
      </c>
      <c r="Q24" s="56">
        <f>'R2'!Q30</f>
        <v>0.19749073103190135</v>
      </c>
      <c r="R24" s="56">
        <f>'R2'!R30</f>
        <v>0.7683960611218722</v>
      </c>
      <c r="S24" s="56">
        <f>'R2'!S30</f>
        <v>0.62371892758521097</v>
      </c>
      <c r="T24" s="56">
        <f>'R2'!T30</f>
        <v>6.4873758207071322E-2</v>
      </c>
      <c r="U24" s="56">
        <f>'R2'!U30</f>
        <v>0.17954582328011717</v>
      </c>
      <c r="V24" s="56">
        <f>'R2'!V30</f>
        <v>3.8310606285951239E-2</v>
      </c>
      <c r="W24" s="56" t="str">
        <f>'R2'!W30</f>
        <v/>
      </c>
      <c r="X24" s="56" t="str">
        <f>'R2'!X30</f>
        <v/>
      </c>
      <c r="Y24" s="56" t="str">
        <f>'R2'!Y30</f>
        <v/>
      </c>
      <c r="Z24" s="56" t="str">
        <f>'R2'!Z30</f>
        <v/>
      </c>
      <c r="AA24" s="56" t="str">
        <f>'R2'!AA30</f>
        <v/>
      </c>
      <c r="AB24" s="56" t="str">
        <f>'R2'!AB30</f>
        <v/>
      </c>
      <c r="AC24" s="56" t="str">
        <f>'R2'!AC30</f>
        <v/>
      </c>
      <c r="AD24" s="56" t="str">
        <f>'R2'!AD30</f>
        <v/>
      </c>
      <c r="AE24" s="56" t="str">
        <f>'R2'!AE30</f>
        <v/>
      </c>
      <c r="AF24" s="56" t="str">
        <f>'R2'!AF30</f>
        <v/>
      </c>
      <c r="AG24" s="56" t="str">
        <f>'R2'!AG30</f>
        <v/>
      </c>
      <c r="AH24" s="56" t="str">
        <f>'R2'!AH30</f>
        <v/>
      </c>
      <c r="AI24" s="56" t="str">
        <f>'R2'!AI30</f>
        <v/>
      </c>
      <c r="AJ24" s="56" t="str">
        <f>'R2'!AJ30</f>
        <v/>
      </c>
      <c r="AK24" s="56" t="str">
        <f>'R2'!AK30</f>
        <v/>
      </c>
    </row>
    <row r="25" spans="1:37" x14ac:dyDescent="0.35">
      <c r="A25" s="238"/>
      <c r="B25" s="56">
        <f>'R2'!B31</f>
        <v>5.7165725647310067E-2</v>
      </c>
      <c r="C25" s="56">
        <f>'R2'!C31</f>
        <v>5.3213031552209042E-3</v>
      </c>
      <c r="D25" s="56">
        <f>'R2'!D31</f>
        <v>4.2313247527552507E-2</v>
      </c>
      <c r="E25" s="56">
        <f>'R2'!E31</f>
        <v>0.31593616706375938</v>
      </c>
      <c r="F25" s="56">
        <f>'R2'!F31</f>
        <v>0.28251036308252547</v>
      </c>
      <c r="G25" s="56">
        <f>'R2'!G31</f>
        <v>1.4603535244538888</v>
      </c>
      <c r="H25" s="56">
        <f>'R2'!H31</f>
        <v>2.4847559032457753</v>
      </c>
      <c r="I25" s="56">
        <f>'R2'!I31</f>
        <v>5.5450921322479314E-2</v>
      </c>
      <c r="J25" s="56">
        <f>'R2'!J31</f>
        <v>0.12086007286782403</v>
      </c>
      <c r="K25" s="56">
        <f>'R2'!K31</f>
        <v>4.4359506268700069E-2</v>
      </c>
      <c r="L25" s="56">
        <f>'R2'!L31</f>
        <v>3.2261992533268322E-2</v>
      </c>
      <c r="M25" s="56">
        <f>'R2'!M31</f>
        <v>6.3688050159064064E-2</v>
      </c>
      <c r="O25" s="56">
        <f>'R2'!O31</f>
        <v>1.5518151934827809</v>
      </c>
      <c r="P25" s="56">
        <f>'R2'!P31</f>
        <v>1.4636192663908201</v>
      </c>
      <c r="Q25" s="56">
        <f>'R2'!Q31</f>
        <v>6.4944886378448446E-2</v>
      </c>
      <c r="R25" s="56">
        <f>'R2'!R31</f>
        <v>0.2424631989867348</v>
      </c>
      <c r="S25" s="56">
        <f>'R2'!S31</f>
        <v>9.0499506662355851E-3</v>
      </c>
      <c r="T25" s="56">
        <f>'R2'!T31</f>
        <v>0.1169720667676173</v>
      </c>
      <c r="U25" s="56">
        <f>'R2'!U31</f>
        <v>4.4418326547243335E-2</v>
      </c>
      <c r="V25" s="56">
        <f>'R2'!V31</f>
        <v>4.6588236676861412E-2</v>
      </c>
      <c r="W25" s="56" t="str">
        <f>'R2'!W31</f>
        <v/>
      </c>
      <c r="X25" s="56" t="str">
        <f>'R2'!X31</f>
        <v/>
      </c>
      <c r="Y25" s="56" t="str">
        <f>'R2'!Y31</f>
        <v/>
      </c>
      <c r="Z25" s="56" t="str">
        <f>'R2'!Z31</f>
        <v/>
      </c>
      <c r="AA25" s="56" t="str">
        <f>'R2'!AA31</f>
        <v/>
      </c>
      <c r="AB25" s="56" t="str">
        <f>'R2'!AB31</f>
        <v/>
      </c>
      <c r="AC25" s="56" t="str">
        <f>'R2'!AC31</f>
        <v/>
      </c>
      <c r="AD25" s="56" t="str">
        <f>'R2'!AD31</f>
        <v/>
      </c>
      <c r="AE25" s="56" t="str">
        <f>'R2'!AE31</f>
        <v/>
      </c>
      <c r="AF25" s="56" t="str">
        <f>'R2'!AF31</f>
        <v/>
      </c>
      <c r="AG25" s="56" t="str">
        <f>'R2'!AG31</f>
        <v/>
      </c>
      <c r="AH25" s="56" t="str">
        <f>'R2'!AH31</f>
        <v/>
      </c>
      <c r="AI25" s="56" t="str">
        <f>'R2'!AI31</f>
        <v/>
      </c>
      <c r="AJ25" s="56" t="str">
        <f>'R2'!AJ31</f>
        <v/>
      </c>
      <c r="AK25" s="56" t="str">
        <f>'R2'!AK31</f>
        <v/>
      </c>
    </row>
    <row r="26" spans="1:37" x14ac:dyDescent="0.35">
      <c r="A26" s="238"/>
      <c r="B26" s="56">
        <f>'R2'!B32</f>
        <v>3.0574809409797312E-2</v>
      </c>
      <c r="C26" s="56">
        <f>'R2'!C32</f>
        <v>5.6695163418963926E-2</v>
      </c>
      <c r="D26" s="56">
        <f>'R2'!D32</f>
        <v>1.3583477122572258E-2</v>
      </c>
      <c r="E26" s="56">
        <f>'R2'!E32</f>
        <v>9.3634584574202151E-2</v>
      </c>
      <c r="F26" s="56">
        <f>'R2'!F32</f>
        <v>0.7468541001318727</v>
      </c>
      <c r="G26" s="56">
        <f>'R2'!G32</f>
        <v>1.5855937760202414</v>
      </c>
      <c r="H26" s="56">
        <f>'R2'!H32</f>
        <v>1.6055324192960796</v>
      </c>
      <c r="I26" s="56">
        <f>'R2'!I32</f>
        <v>7.6729693766880103E-2</v>
      </c>
      <c r="J26" s="56">
        <f>'R2'!J32</f>
        <v>3.4091575114526568E-2</v>
      </c>
      <c r="K26" s="56">
        <f>'R2'!K32</f>
        <v>0.21779760928752517</v>
      </c>
      <c r="L26" s="56">
        <f>'R2'!L32</f>
        <v>3.1813183789930879E-2</v>
      </c>
      <c r="M26" s="56">
        <f>'R2'!M32</f>
        <v>4.8157779243245893E-2</v>
      </c>
      <c r="O26" s="56">
        <f>'R2'!O32</f>
        <v>1.4710672589357077</v>
      </c>
      <c r="P26" s="56">
        <f>'R2'!P32</f>
        <v>0.50810888658619768</v>
      </c>
      <c r="Q26" s="56">
        <f>'R2'!Q32</f>
        <v>0.16538659437997907</v>
      </c>
      <c r="R26" s="56">
        <f>'R2'!R32</f>
        <v>1.0832706008711936</v>
      </c>
      <c r="S26" s="56">
        <f>'R2'!S32</f>
        <v>0.35619084795733047</v>
      </c>
      <c r="T26" s="56">
        <f>'R2'!T32</f>
        <v>0.45606474706562405</v>
      </c>
      <c r="U26" s="56">
        <f>'R2'!U32</f>
        <v>2.282055069439257E-2</v>
      </c>
      <c r="V26" s="56">
        <f>'R2'!V32</f>
        <v>8.3846518125516675E-2</v>
      </c>
      <c r="W26" s="56" t="str">
        <f>'R2'!W32</f>
        <v/>
      </c>
      <c r="X26" s="56" t="str">
        <f>'R2'!X32</f>
        <v/>
      </c>
      <c r="Y26" s="56" t="str">
        <f>'R2'!Y32</f>
        <v/>
      </c>
      <c r="Z26" s="56" t="str">
        <f>'R2'!Z32</f>
        <v/>
      </c>
      <c r="AA26" s="56" t="str">
        <f>'R2'!AA32</f>
        <v/>
      </c>
      <c r="AB26" s="56" t="str">
        <f>'R2'!AB32</f>
        <v/>
      </c>
      <c r="AC26" s="56" t="str">
        <f>'R2'!AC32</f>
        <v/>
      </c>
      <c r="AD26" s="56" t="str">
        <f>'R2'!AD32</f>
        <v/>
      </c>
      <c r="AE26" s="56" t="str">
        <f>'R2'!AE32</f>
        <v/>
      </c>
      <c r="AF26" s="56" t="str">
        <f>'R2'!AF32</f>
        <v/>
      </c>
      <c r="AG26" s="56" t="str">
        <f>'R2'!AG32</f>
        <v/>
      </c>
      <c r="AH26" s="56" t="str">
        <f>'R2'!AH32</f>
        <v/>
      </c>
      <c r="AI26" s="56" t="str">
        <f>'R2'!AI32</f>
        <v/>
      </c>
      <c r="AJ26" s="56" t="str">
        <f>'R2'!AJ32</f>
        <v/>
      </c>
      <c r="AK26" s="56" t="str">
        <f>'R2'!AK32</f>
        <v/>
      </c>
    </row>
    <row r="27" spans="1:37" x14ac:dyDescent="0.35">
      <c r="A27" s="238"/>
      <c r="B27" s="56">
        <f>'R2'!B33</f>
        <v>5.6038980992879045E-2</v>
      </c>
      <c r="C27" s="56">
        <f>'R2'!C33</f>
        <v>2.8429658180879926E-2</v>
      </c>
      <c r="D27" s="56">
        <f>'R2'!D33</f>
        <v>1.3345047477674241E-2</v>
      </c>
      <c r="E27" s="56">
        <f>'R2'!E33</f>
        <v>0.21780991718035903</v>
      </c>
      <c r="F27" s="56">
        <f>'R2'!F33</f>
        <v>0.32344913383360707</v>
      </c>
      <c r="G27" s="56">
        <f>'R2'!G33</f>
        <v>1.8516544972152653</v>
      </c>
      <c r="H27" s="56">
        <f>'R2'!H33</f>
        <v>1.5891876807277316</v>
      </c>
      <c r="I27" s="56">
        <f>'R2'!I33</f>
        <v>6.145617122017779E-2</v>
      </c>
      <c r="J27" s="56">
        <f>'R2'!J33</f>
        <v>3.9774816188083061E-2</v>
      </c>
      <c r="K27" s="56">
        <f>'R2'!K33</f>
        <v>5.244192775466372E-2</v>
      </c>
      <c r="L27" s="56">
        <f>'R2'!L33</f>
        <v>6.5919929097950358E-2</v>
      </c>
      <c r="M27" s="56">
        <f>'R2'!M33</f>
        <v>8.4341696139530548E-2</v>
      </c>
      <c r="O27" s="56">
        <f>'R2'!O33</f>
        <v>0.71010673935085611</v>
      </c>
      <c r="P27" s="56">
        <f>'R2'!P33</f>
        <v>0.77589357146816107</v>
      </c>
      <c r="Q27" s="56">
        <f>'R2'!Q33</f>
        <v>1.8548566960775659E-2</v>
      </c>
      <c r="R27" s="56">
        <f>'R2'!R33</f>
        <v>0.10312869274520423</v>
      </c>
      <c r="S27" s="56">
        <f>'R2'!S33</f>
        <v>0.76873667490029796</v>
      </c>
      <c r="T27" s="56">
        <f>'R2'!T33</f>
        <v>1.7920291966116421E-2</v>
      </c>
      <c r="U27" s="56">
        <f>'R2'!U33</f>
        <v>7.2652346478077898E-3</v>
      </c>
      <c r="V27" s="56">
        <f>'R2'!V33</f>
        <v>2.6897325523062968E-2</v>
      </c>
      <c r="W27" s="56" t="str">
        <f>'R2'!W33</f>
        <v/>
      </c>
      <c r="X27" s="56" t="str">
        <f>'R2'!X33</f>
        <v/>
      </c>
      <c r="Y27" s="56" t="str">
        <f>'R2'!Y33</f>
        <v/>
      </c>
      <c r="Z27" s="56" t="str">
        <f>'R2'!Z33</f>
        <v/>
      </c>
      <c r="AA27" s="56" t="str">
        <f>'R2'!AA33</f>
        <v/>
      </c>
      <c r="AB27" s="56" t="str">
        <f>'R2'!AB33</f>
        <v/>
      </c>
      <c r="AC27" s="56" t="str">
        <f>'R2'!AC33</f>
        <v/>
      </c>
      <c r="AD27" s="56" t="str">
        <f>'R2'!AD33</f>
        <v/>
      </c>
      <c r="AE27" s="56" t="str">
        <f>'R2'!AE33</f>
        <v/>
      </c>
      <c r="AF27" s="56" t="str">
        <f>'R2'!AF33</f>
        <v/>
      </c>
      <c r="AG27" s="56" t="str">
        <f>'R2'!AG33</f>
        <v/>
      </c>
      <c r="AH27" s="56" t="str">
        <f>'R2'!AH33</f>
        <v/>
      </c>
      <c r="AI27" s="56" t="str">
        <f>'R2'!AI33</f>
        <v/>
      </c>
      <c r="AJ27" s="56" t="str">
        <f>'R2'!AJ33</f>
        <v/>
      </c>
      <c r="AK27" s="56" t="str">
        <f>'R2'!AK33</f>
        <v/>
      </c>
    </row>
    <row r="28" spans="1:37" x14ac:dyDescent="0.35">
      <c r="A28" s="238"/>
      <c r="B28" s="56">
        <f>'R2'!B34</f>
        <v>3.4871408929081964E-2</v>
      </c>
      <c r="C28" s="56">
        <f>'R2'!C34</f>
        <v>1.2784609008634248E-2</v>
      </c>
      <c r="D28" s="56">
        <f>'R2'!D34</f>
        <v>3.0030113594382034E-2</v>
      </c>
      <c r="E28" s="56">
        <f>'R2'!E34</f>
        <v>0.13876161676462376</v>
      </c>
      <c r="F28" s="56">
        <f>'R2'!F34</f>
        <v>0.68688074376811059</v>
      </c>
      <c r="G28" s="56">
        <f>'R2'!G34</f>
        <v>1.439306884592936</v>
      </c>
      <c r="H28" s="56">
        <f>'R2'!H34</f>
        <v>1.9721074078143408</v>
      </c>
      <c r="I28" s="56">
        <f>'R2'!I34</f>
        <v>3.8994839258494708E-2</v>
      </c>
      <c r="J28" s="56">
        <f>'R2'!J34</f>
        <v>4.2876834527317449E-2</v>
      </c>
      <c r="K28" s="56" t="str">
        <f>'R2'!K34</f>
        <v/>
      </c>
      <c r="L28" s="56" t="str">
        <f>'R2'!L34</f>
        <v/>
      </c>
      <c r="M28" s="56" t="str">
        <f>'R2'!M34</f>
        <v/>
      </c>
      <c r="O28" s="56">
        <f>'R2'!O34</f>
        <v>0.59660793131795065</v>
      </c>
      <c r="P28" s="56">
        <f>'R2'!P34</f>
        <v>1.9458028647577648</v>
      </c>
      <c r="Q28" s="56">
        <f>'R2'!Q34</f>
        <v>0.15403828784205098</v>
      </c>
      <c r="R28" s="56">
        <f>'R2'!R34</f>
        <v>0.25916042988124349</v>
      </c>
      <c r="S28" s="56">
        <f>'R2'!S34</f>
        <v>1.0352274567693425</v>
      </c>
      <c r="T28" s="56">
        <f>'R2'!T34</f>
        <v>0.20825398331512168</v>
      </c>
      <c r="U28" s="56" t="str">
        <f>'R2'!U34</f>
        <v/>
      </c>
      <c r="V28" s="56">
        <f>'R2'!V34</f>
        <v>4.342911543947918E-2</v>
      </c>
      <c r="W28" s="56" t="str">
        <f>'R2'!W34</f>
        <v/>
      </c>
      <c r="X28" s="56" t="str">
        <f>'R2'!X34</f>
        <v/>
      </c>
      <c r="Y28" s="56" t="str">
        <f>'R2'!Y34</f>
        <v/>
      </c>
      <c r="Z28" s="56" t="str">
        <f>'R2'!Z34</f>
        <v/>
      </c>
      <c r="AA28" s="56" t="str">
        <f>'R2'!AA34</f>
        <v/>
      </c>
      <c r="AB28" s="56" t="str">
        <f>'R2'!AB34</f>
        <v/>
      </c>
      <c r="AC28" s="56" t="str">
        <f>'R2'!AC34</f>
        <v/>
      </c>
      <c r="AD28" s="56" t="str">
        <f>'R2'!AD34</f>
        <v/>
      </c>
      <c r="AE28" s="56" t="str">
        <f>'R2'!AE34</f>
        <v/>
      </c>
      <c r="AF28" s="56" t="str">
        <f>'R2'!AF34</f>
        <v/>
      </c>
      <c r="AG28" s="56" t="str">
        <f>'R2'!AG34</f>
        <v/>
      </c>
      <c r="AH28" s="56" t="str">
        <f>'R2'!AH34</f>
        <v/>
      </c>
      <c r="AI28" s="56" t="str">
        <f>'R2'!AI34</f>
        <v/>
      </c>
      <c r="AJ28" s="56" t="str">
        <f>'R2'!AJ34</f>
        <v/>
      </c>
      <c r="AK28" s="56" t="str">
        <f>'R2'!AK34</f>
        <v/>
      </c>
    </row>
    <row r="29" spans="1:37" x14ac:dyDescent="0.35">
      <c r="A29" s="238"/>
      <c r="B29" s="56">
        <f>'R2'!B35</f>
        <v>2.8856856554241615E-2</v>
      </c>
      <c r="C29" s="56">
        <f>'R2'!C35</f>
        <v>1.9867371989428249E-2</v>
      </c>
      <c r="D29" s="56">
        <f>'R2'!D35</f>
        <v>0.28151056146232289</v>
      </c>
      <c r="E29" s="56">
        <f>'R2'!E35</f>
        <v>8.4895980662153606E-2</v>
      </c>
      <c r="F29" s="56">
        <f>'R2'!F35</f>
        <v>1.0334413811581016</v>
      </c>
      <c r="G29" s="56">
        <f>'R2'!G35</f>
        <v>1.7367873663523057</v>
      </c>
      <c r="H29" s="56">
        <f>'R2'!H35</f>
        <v>2.4197274376880831</v>
      </c>
      <c r="I29" s="56">
        <f>'R2'!I35</f>
        <v>6.6799227860407387E-2</v>
      </c>
      <c r="J29" s="56">
        <f>'R2'!J35</f>
        <v>0.10787410100782632</v>
      </c>
      <c r="K29" s="56">
        <f>'R2'!K35</f>
        <v>6.0567713095611826E-2</v>
      </c>
      <c r="L29" s="56">
        <f>'R2'!L35</f>
        <v>1.3645159701774566E-2</v>
      </c>
      <c r="M29" s="56">
        <f>'R2'!M35</f>
        <v>1.420860358650655E-2</v>
      </c>
      <c r="O29" s="56">
        <f>'R2'!O35</f>
        <v>1.7109300577737048</v>
      </c>
      <c r="P29" s="56">
        <f>'R2'!P35</f>
        <v>2.0131870037578472</v>
      </c>
      <c r="Q29" s="56">
        <f>'R2'!Q35</f>
        <v>1.7620036626983148E-2</v>
      </c>
      <c r="R29" s="56">
        <f>'R2'!R35</f>
        <v>1.2179059250057456</v>
      </c>
      <c r="S29" s="56">
        <f>'R2'!S35</f>
        <v>4.3229613083544102E-2</v>
      </c>
      <c r="T29" s="56" t="str">
        <f>'R2'!T35</f>
        <v/>
      </c>
      <c r="U29" s="56">
        <f>'R2'!U35</f>
        <v>7.0151554392274815E-2</v>
      </c>
      <c r="V29" s="56">
        <f>'R2'!V35</f>
        <v>4.398497422746471E-2</v>
      </c>
      <c r="W29" s="56" t="str">
        <f>'R2'!W35</f>
        <v/>
      </c>
      <c r="X29" s="56" t="str">
        <f>'R2'!X35</f>
        <v/>
      </c>
      <c r="Y29" s="56" t="str">
        <f>'R2'!Y35</f>
        <v/>
      </c>
      <c r="Z29" s="56" t="str">
        <f>'R2'!Z35</f>
        <v/>
      </c>
      <c r="AA29" s="56" t="str">
        <f>'R2'!AA35</f>
        <v/>
      </c>
      <c r="AB29" s="56" t="str">
        <f>'R2'!AB35</f>
        <v/>
      </c>
      <c r="AC29" s="56" t="str">
        <f>'R2'!AC35</f>
        <v/>
      </c>
      <c r="AD29" s="56" t="str">
        <f>'R2'!AD35</f>
        <v/>
      </c>
      <c r="AE29" s="56" t="str">
        <f>'R2'!AE35</f>
        <v/>
      </c>
      <c r="AF29" s="56" t="str">
        <f>'R2'!AF35</f>
        <v/>
      </c>
      <c r="AG29" s="56" t="str">
        <f>'R2'!AG35</f>
        <v/>
      </c>
      <c r="AH29" s="56" t="str">
        <f>'R2'!AH35</f>
        <v/>
      </c>
      <c r="AI29" s="56" t="str">
        <f>'R2'!AI35</f>
        <v/>
      </c>
      <c r="AJ29" s="56" t="str">
        <f>'R2'!AJ35</f>
        <v/>
      </c>
      <c r="AK29" s="56" t="str">
        <f>'R2'!AK35</f>
        <v/>
      </c>
    </row>
    <row r="30" spans="1:37" x14ac:dyDescent="0.35">
      <c r="A30" s="238"/>
      <c r="B30" s="56" t="str">
        <f>'R2'!B36</f>
        <v/>
      </c>
      <c r="C30" s="56" t="str">
        <f>'R2'!C36</f>
        <v/>
      </c>
      <c r="D30" s="56" t="str">
        <f>'R2'!D36</f>
        <v/>
      </c>
      <c r="E30" s="56" t="str">
        <f>'R2'!E36</f>
        <v/>
      </c>
      <c r="F30" s="56" t="str">
        <f>'R2'!F36</f>
        <v/>
      </c>
      <c r="G30" s="56" t="str">
        <f>'R2'!G36</f>
        <v/>
      </c>
      <c r="H30" s="56" t="str">
        <f>'R2'!H36</f>
        <v/>
      </c>
      <c r="I30" s="56" t="str">
        <f>'R2'!I36</f>
        <v/>
      </c>
      <c r="J30" s="56" t="str">
        <f>'R2'!J36</f>
        <v/>
      </c>
      <c r="K30" s="56" t="str">
        <f>'R2'!K36</f>
        <v/>
      </c>
      <c r="L30" s="56" t="str">
        <f>'R2'!L36</f>
        <v/>
      </c>
      <c r="M30" s="56" t="str">
        <f>'R2'!M36</f>
        <v/>
      </c>
      <c r="O30" s="56">
        <f>'R2'!O36</f>
        <v>1.3251640589117466</v>
      </c>
      <c r="P30" s="56" t="str">
        <f>'R2'!P36</f>
        <v/>
      </c>
      <c r="Q30" s="56" t="str">
        <f>'R2'!Q36</f>
        <v/>
      </c>
      <c r="R30" s="56" t="str">
        <f>'R2'!R36</f>
        <v/>
      </c>
      <c r="S30" s="56" t="str">
        <f>'R2'!S36</f>
        <v/>
      </c>
      <c r="T30" s="56" t="str">
        <f>'R2'!T36</f>
        <v/>
      </c>
      <c r="U30" s="56" t="str">
        <f>'R2'!U36</f>
        <v/>
      </c>
      <c r="V30" s="56" t="str">
        <f>'R2'!V36</f>
        <v/>
      </c>
      <c r="W30" s="56" t="str">
        <f>'R2'!W36</f>
        <v/>
      </c>
      <c r="X30" s="56" t="str">
        <f>'R2'!X36</f>
        <v/>
      </c>
      <c r="Y30" s="56" t="str">
        <f>'R2'!Y36</f>
        <v/>
      </c>
      <c r="Z30" s="56" t="str">
        <f>'R2'!Z36</f>
        <v/>
      </c>
      <c r="AA30" s="56" t="str">
        <f>'R2'!AA36</f>
        <v/>
      </c>
      <c r="AB30" s="56" t="str">
        <f>'R2'!AB36</f>
        <v/>
      </c>
      <c r="AC30" s="56" t="str">
        <f>'R2'!AC36</f>
        <v/>
      </c>
      <c r="AD30" s="56" t="str">
        <f>'R2'!AD36</f>
        <v/>
      </c>
      <c r="AE30" s="56" t="str">
        <f>'R2'!AE36</f>
        <v/>
      </c>
      <c r="AF30" s="56" t="str">
        <f>'R2'!AF36</f>
        <v/>
      </c>
      <c r="AG30" s="56" t="str">
        <f>'R2'!AG36</f>
        <v/>
      </c>
      <c r="AH30" s="56" t="str">
        <f>'R2'!AH36</f>
        <v/>
      </c>
      <c r="AI30" s="56" t="str">
        <f>'R2'!AI36</f>
        <v/>
      </c>
      <c r="AJ30" s="56" t="str">
        <f>'R2'!AJ36</f>
        <v/>
      </c>
      <c r="AK30" s="56" t="str">
        <f>'R2'!AK36</f>
        <v/>
      </c>
    </row>
    <row r="31" spans="1:37" s="1" customFormat="1" x14ac:dyDescent="0.35">
      <c r="A31" s="238"/>
      <c r="B31" s="56" t="str">
        <f>'R2'!B37</f>
        <v/>
      </c>
      <c r="C31" s="56" t="str">
        <f>'R2'!C37</f>
        <v/>
      </c>
      <c r="D31" s="56" t="str">
        <f>'R2'!D37</f>
        <v/>
      </c>
      <c r="E31" s="56" t="str">
        <f>'R2'!E37</f>
        <v/>
      </c>
      <c r="F31" s="56" t="str">
        <f>'R2'!F37</f>
        <v/>
      </c>
      <c r="G31" s="56" t="str">
        <f>'R2'!G37</f>
        <v/>
      </c>
      <c r="H31" s="56" t="str">
        <f>'R2'!H37</f>
        <v/>
      </c>
      <c r="I31" s="56" t="str">
        <f>'R2'!I37</f>
        <v/>
      </c>
      <c r="J31" s="56" t="str">
        <f>'R2'!J37</f>
        <v/>
      </c>
      <c r="K31" s="56" t="str">
        <f>'R2'!K37</f>
        <v/>
      </c>
      <c r="L31" s="56" t="str">
        <f>'R2'!L37</f>
        <v/>
      </c>
      <c r="M31" s="56" t="str">
        <f>'R2'!M37</f>
        <v/>
      </c>
      <c r="N31"/>
      <c r="O31" s="56">
        <f>'R2'!O37</f>
        <v>0.46244002088101988</v>
      </c>
      <c r="P31" s="56" t="str">
        <f>'R2'!P37</f>
        <v/>
      </c>
      <c r="Q31" s="56" t="str">
        <f>'R2'!Q37</f>
        <v/>
      </c>
      <c r="R31" s="56" t="str">
        <f>'R2'!R37</f>
        <v/>
      </c>
      <c r="S31" s="56" t="str">
        <f>'R2'!S37</f>
        <v/>
      </c>
      <c r="T31" s="56" t="str">
        <f>'R2'!T37</f>
        <v/>
      </c>
      <c r="U31" s="56" t="str">
        <f>'R2'!U37</f>
        <v/>
      </c>
      <c r="V31" s="56" t="str">
        <f>'R2'!V37</f>
        <v/>
      </c>
      <c r="W31" s="56" t="str">
        <f>'R2'!W37</f>
        <v/>
      </c>
      <c r="X31" s="56" t="str">
        <f>'R2'!X37</f>
        <v/>
      </c>
      <c r="Y31" s="56" t="str">
        <f>'R2'!Y37</f>
        <v/>
      </c>
      <c r="Z31" s="56" t="str">
        <f>'R2'!Z37</f>
        <v/>
      </c>
      <c r="AA31" s="56" t="str">
        <f>'R2'!AA37</f>
        <v/>
      </c>
      <c r="AB31" s="56" t="str">
        <f>'R2'!AB37</f>
        <v/>
      </c>
      <c r="AC31" s="56" t="str">
        <f>'R2'!AC37</f>
        <v/>
      </c>
      <c r="AD31" s="56" t="str">
        <f>'R2'!AD37</f>
        <v/>
      </c>
      <c r="AE31" s="56" t="str">
        <f>'R2'!AE37</f>
        <v/>
      </c>
      <c r="AF31" s="56" t="str">
        <f>'R2'!AF37</f>
        <v/>
      </c>
      <c r="AG31" s="56" t="str">
        <f>'R2'!AG37</f>
        <v/>
      </c>
      <c r="AH31" s="56" t="str">
        <f>'R2'!AH37</f>
        <v/>
      </c>
      <c r="AI31" s="56" t="str">
        <f>'R2'!AI37</f>
        <v/>
      </c>
      <c r="AJ31" s="56" t="str">
        <f>'R2'!AJ37</f>
        <v/>
      </c>
      <c r="AK31" s="56" t="str">
        <f>'R2'!AK37</f>
        <v/>
      </c>
    </row>
    <row r="32" spans="1:37" s="1" customFormat="1" x14ac:dyDescent="0.35">
      <c r="A32" s="238"/>
      <c r="B32" s="56" t="str">
        <f>'R2'!B38</f>
        <v/>
      </c>
      <c r="C32" s="56" t="str">
        <f>'R2'!C38</f>
        <v/>
      </c>
      <c r="D32" s="56" t="str">
        <f>'R2'!D38</f>
        <v/>
      </c>
      <c r="E32" s="56" t="str">
        <f>'R2'!E38</f>
        <v/>
      </c>
      <c r="F32" s="56" t="str">
        <f>'R2'!F38</f>
        <v/>
      </c>
      <c r="G32" s="56" t="str">
        <f>'R2'!G38</f>
        <v/>
      </c>
      <c r="H32" s="56" t="str">
        <f>'R2'!H38</f>
        <v/>
      </c>
      <c r="I32" s="56" t="str">
        <f>'R2'!I38</f>
        <v/>
      </c>
      <c r="J32" s="56" t="str">
        <f>'R2'!J38</f>
        <v/>
      </c>
      <c r="K32" s="56" t="str">
        <f>'R2'!K38</f>
        <v/>
      </c>
      <c r="L32" s="56" t="str">
        <f>'R2'!L38</f>
        <v/>
      </c>
      <c r="M32" s="56" t="str">
        <f>'R2'!M38</f>
        <v/>
      </c>
      <c r="N32"/>
      <c r="O32" s="56">
        <f>'R2'!O38</f>
        <v>0.40839763771285403</v>
      </c>
      <c r="P32" s="56" t="str">
        <f>'R2'!P38</f>
        <v/>
      </c>
      <c r="Q32" s="56" t="str">
        <f>'R2'!Q38</f>
        <v/>
      </c>
      <c r="R32" s="56" t="str">
        <f>'R2'!R38</f>
        <v/>
      </c>
      <c r="S32" s="56" t="str">
        <f>'R2'!S38</f>
        <v/>
      </c>
      <c r="T32" s="56" t="str">
        <f>'R2'!T38</f>
        <v/>
      </c>
      <c r="U32" s="56" t="str">
        <f>'R2'!U38</f>
        <v/>
      </c>
      <c r="V32" s="56" t="str">
        <f>'R2'!V38</f>
        <v/>
      </c>
      <c r="W32" s="56" t="str">
        <f>'R2'!W38</f>
        <v/>
      </c>
      <c r="X32" s="56" t="str">
        <f>'R2'!X38</f>
        <v/>
      </c>
      <c r="Y32" s="56" t="str">
        <f>'R2'!Y38</f>
        <v/>
      </c>
      <c r="Z32" s="56" t="str">
        <f>'R2'!Z38</f>
        <v/>
      </c>
      <c r="AA32" s="56" t="str">
        <f>'R2'!AA38</f>
        <v/>
      </c>
      <c r="AB32" s="56" t="str">
        <f>'R2'!AB38</f>
        <v/>
      </c>
      <c r="AC32" s="56" t="str">
        <f>'R2'!AC38</f>
        <v/>
      </c>
      <c r="AD32" s="56" t="str">
        <f>'R2'!AD38</f>
        <v/>
      </c>
      <c r="AE32" s="56" t="str">
        <f>'R2'!AE38</f>
        <v/>
      </c>
      <c r="AF32" s="56" t="str">
        <f>'R2'!AF38</f>
        <v/>
      </c>
      <c r="AG32" s="56" t="str">
        <f>'R2'!AG38</f>
        <v/>
      </c>
      <c r="AH32" s="56" t="str">
        <f>'R2'!AH38</f>
        <v/>
      </c>
      <c r="AI32" s="56" t="str">
        <f>'R2'!AI38</f>
        <v/>
      </c>
      <c r="AJ32" s="56" t="str">
        <f>'R2'!AJ38</f>
        <v/>
      </c>
      <c r="AK32" s="56" t="str">
        <f>'R2'!AK38</f>
        <v/>
      </c>
    </row>
    <row r="33" spans="1:37" s="1" customFormat="1" x14ac:dyDescent="0.35">
      <c r="A33" s="238"/>
      <c r="B33" s="56" t="str">
        <f>'R2'!B39</f>
        <v/>
      </c>
      <c r="C33" s="56" t="str">
        <f>'R2'!C39</f>
        <v/>
      </c>
      <c r="D33" s="56" t="str">
        <f>'R2'!D39</f>
        <v/>
      </c>
      <c r="E33" s="56" t="str">
        <f>'R2'!E39</f>
        <v/>
      </c>
      <c r="F33" s="56" t="str">
        <f>'R2'!F39</f>
        <v/>
      </c>
      <c r="G33" s="56" t="str">
        <f>'R2'!G39</f>
        <v/>
      </c>
      <c r="H33" s="56" t="str">
        <f>'R2'!H39</f>
        <v/>
      </c>
      <c r="I33" s="56" t="str">
        <f>'R2'!I39</f>
        <v/>
      </c>
      <c r="J33" s="56" t="str">
        <f>'R2'!J39</f>
        <v/>
      </c>
      <c r="K33" s="56" t="str">
        <f>'R2'!K39</f>
        <v/>
      </c>
      <c r="L33" s="56" t="str">
        <f>'R2'!L39</f>
        <v/>
      </c>
      <c r="M33" s="56" t="str">
        <f>'R2'!M39</f>
        <v/>
      </c>
      <c r="N33"/>
      <c r="O33" s="56">
        <f>'R2'!O39</f>
        <v>1.2040532485061908</v>
      </c>
      <c r="P33" s="56" t="str">
        <f>'R2'!P39</f>
        <v/>
      </c>
      <c r="Q33" s="56" t="str">
        <f>'R2'!Q39</f>
        <v/>
      </c>
      <c r="R33" s="56" t="str">
        <f>'R2'!R39</f>
        <v/>
      </c>
      <c r="S33" s="56" t="str">
        <f>'R2'!S39</f>
        <v/>
      </c>
      <c r="T33" s="56" t="str">
        <f>'R2'!T39</f>
        <v/>
      </c>
      <c r="U33" s="56" t="str">
        <f>'R2'!U39</f>
        <v/>
      </c>
      <c r="V33" s="56" t="str">
        <f>'R2'!V39</f>
        <v/>
      </c>
      <c r="W33" s="56" t="str">
        <f>'R2'!W39</f>
        <v/>
      </c>
      <c r="X33" s="56" t="str">
        <f>'R2'!X39</f>
        <v/>
      </c>
      <c r="Y33" s="56" t="str">
        <f>'R2'!Y39</f>
        <v/>
      </c>
      <c r="Z33" s="56" t="str">
        <f>'R2'!Z39</f>
        <v/>
      </c>
      <c r="AA33" s="56" t="str">
        <f>'R2'!AA39</f>
        <v/>
      </c>
      <c r="AB33" s="56" t="str">
        <f>'R2'!AB39</f>
        <v/>
      </c>
      <c r="AC33" s="56" t="str">
        <f>'R2'!AC39</f>
        <v/>
      </c>
      <c r="AD33" s="56" t="str">
        <f>'R2'!AD39</f>
        <v/>
      </c>
      <c r="AE33" s="56" t="str">
        <f>'R2'!AE39</f>
        <v/>
      </c>
      <c r="AF33" s="56" t="str">
        <f>'R2'!AF39</f>
        <v/>
      </c>
      <c r="AG33" s="56" t="str">
        <f>'R2'!AG39</f>
        <v/>
      </c>
      <c r="AH33" s="56" t="str">
        <f>'R2'!AH39</f>
        <v/>
      </c>
      <c r="AI33" s="56" t="str">
        <f>'R2'!AI39</f>
        <v/>
      </c>
      <c r="AJ33" s="56" t="str">
        <f>'R2'!AJ39</f>
        <v/>
      </c>
      <c r="AK33" s="56" t="str">
        <f>'R2'!AK39</f>
        <v/>
      </c>
    </row>
    <row r="34" spans="1:37" s="1" customFormat="1" x14ac:dyDescent="0.35">
      <c r="A34" s="238"/>
      <c r="B34" s="56" t="str">
        <f>'R2'!B40</f>
        <v/>
      </c>
      <c r="C34" s="56" t="str">
        <f>'R2'!C40</f>
        <v/>
      </c>
      <c r="D34" s="56" t="str">
        <f>'R2'!D40</f>
        <v/>
      </c>
      <c r="E34" s="56" t="str">
        <f>'R2'!E40</f>
        <v/>
      </c>
      <c r="F34" s="56" t="str">
        <f>'R2'!F40</f>
        <v/>
      </c>
      <c r="G34" s="56" t="str">
        <f>'R2'!G40</f>
        <v/>
      </c>
      <c r="H34" s="56" t="str">
        <f>'R2'!H40</f>
        <v/>
      </c>
      <c r="I34" s="56" t="str">
        <f>'R2'!I40</f>
        <v/>
      </c>
      <c r="J34" s="56" t="str">
        <f>'R2'!J40</f>
        <v/>
      </c>
      <c r="K34" s="56" t="str">
        <f>'R2'!K40</f>
        <v/>
      </c>
      <c r="L34" s="56" t="str">
        <f>'R2'!L40</f>
        <v/>
      </c>
      <c r="M34" s="56" t="str">
        <f>'R2'!M40</f>
        <v/>
      </c>
      <c r="N34"/>
      <c r="O34" s="56">
        <f>'R2'!O40</f>
        <v>0.97691638151331761</v>
      </c>
      <c r="P34" s="56" t="str">
        <f>'R2'!P40</f>
        <v/>
      </c>
      <c r="Q34" s="56" t="str">
        <f>'R2'!Q40</f>
        <v/>
      </c>
      <c r="R34" s="56" t="str">
        <f>'R2'!R40</f>
        <v/>
      </c>
      <c r="S34" s="56" t="str">
        <f>'R2'!S40</f>
        <v/>
      </c>
      <c r="T34" s="56" t="str">
        <f>'R2'!T40</f>
        <v/>
      </c>
      <c r="U34" s="56" t="str">
        <f>'R2'!U40</f>
        <v/>
      </c>
      <c r="V34" s="56" t="str">
        <f>'R2'!V40</f>
        <v/>
      </c>
      <c r="W34" s="56" t="str">
        <f>'R2'!W40</f>
        <v/>
      </c>
      <c r="X34" s="56" t="str">
        <f>'R2'!X40</f>
        <v/>
      </c>
      <c r="Y34" s="56" t="str">
        <f>'R2'!Y40</f>
        <v/>
      </c>
      <c r="Z34" s="56" t="str">
        <f>'R2'!Z40</f>
        <v/>
      </c>
      <c r="AA34" s="56" t="str">
        <f>'R2'!AA40</f>
        <v/>
      </c>
      <c r="AB34" s="56" t="str">
        <f>'R2'!AB40</f>
        <v/>
      </c>
      <c r="AC34" s="56" t="str">
        <f>'R2'!AC40</f>
        <v/>
      </c>
      <c r="AD34" s="56" t="str">
        <f>'R2'!AD40</f>
        <v/>
      </c>
      <c r="AE34" s="56" t="str">
        <f>'R2'!AE40</f>
        <v/>
      </c>
      <c r="AF34" s="56" t="str">
        <f>'R2'!AF40</f>
        <v/>
      </c>
      <c r="AG34" s="56" t="str">
        <f>'R2'!AG40</f>
        <v/>
      </c>
      <c r="AH34" s="56" t="str">
        <f>'R2'!AH40</f>
        <v/>
      </c>
      <c r="AI34" s="56" t="str">
        <f>'R2'!AI40</f>
        <v/>
      </c>
      <c r="AJ34" s="56" t="str">
        <f>'R2'!AJ40</f>
        <v/>
      </c>
      <c r="AK34" s="56" t="str">
        <f>'R2'!AK40</f>
        <v/>
      </c>
    </row>
    <row r="35" spans="1:37" s="1" customFormat="1" x14ac:dyDescent="0.35">
      <c r="A35" s="238"/>
      <c r="B35" s="56" t="str">
        <f>'R2'!B41</f>
        <v/>
      </c>
      <c r="C35" s="56" t="str">
        <f>'R2'!C41</f>
        <v/>
      </c>
      <c r="D35" s="56" t="str">
        <f>'R2'!D41</f>
        <v/>
      </c>
      <c r="E35" s="56" t="str">
        <f>'R2'!E41</f>
        <v/>
      </c>
      <c r="F35" s="56" t="str">
        <f>'R2'!F41</f>
        <v/>
      </c>
      <c r="G35" s="56" t="str">
        <f>'R2'!G41</f>
        <v/>
      </c>
      <c r="H35" s="56" t="str">
        <f>'R2'!H41</f>
        <v/>
      </c>
      <c r="I35" s="56" t="str">
        <f>'R2'!I41</f>
        <v/>
      </c>
      <c r="J35" s="56" t="str">
        <f>'R2'!J41</f>
        <v/>
      </c>
      <c r="K35" s="56" t="str">
        <f>'R2'!K41</f>
        <v/>
      </c>
      <c r="L35" s="56" t="str">
        <f>'R2'!L41</f>
        <v/>
      </c>
      <c r="M35" s="56" t="str">
        <f>'R2'!M41</f>
        <v/>
      </c>
      <c r="N35"/>
      <c r="O35" s="56">
        <f>'R2'!O41</f>
        <v>1.1688226924019158</v>
      </c>
      <c r="P35" s="56" t="str">
        <f>'R2'!P41</f>
        <v/>
      </c>
      <c r="Q35" s="56" t="str">
        <f>'R2'!Q41</f>
        <v/>
      </c>
      <c r="R35" s="56" t="str">
        <f>'R2'!R41</f>
        <v/>
      </c>
      <c r="S35" s="56" t="str">
        <f>'R2'!S41</f>
        <v/>
      </c>
      <c r="T35" s="56" t="str">
        <f>'R2'!T41</f>
        <v/>
      </c>
      <c r="U35" s="56" t="str">
        <f>'R2'!U41</f>
        <v/>
      </c>
      <c r="V35" s="56" t="str">
        <f>'R2'!V41</f>
        <v/>
      </c>
      <c r="W35" s="56" t="str">
        <f>'R2'!W41</f>
        <v/>
      </c>
      <c r="X35" s="56" t="str">
        <f>'R2'!X41</f>
        <v/>
      </c>
      <c r="Y35" s="56" t="str">
        <f>'R2'!Y41</f>
        <v/>
      </c>
      <c r="Z35" s="56" t="str">
        <f>'R2'!Z41</f>
        <v/>
      </c>
      <c r="AA35" s="56" t="str">
        <f>'R2'!AA41</f>
        <v/>
      </c>
      <c r="AB35" s="56" t="str">
        <f>'R2'!AB41</f>
        <v/>
      </c>
      <c r="AC35" s="56" t="str">
        <f>'R2'!AC41</f>
        <v/>
      </c>
      <c r="AD35" s="56" t="str">
        <f>'R2'!AD41</f>
        <v/>
      </c>
      <c r="AE35" s="56" t="str">
        <f>'R2'!AE41</f>
        <v/>
      </c>
      <c r="AF35" s="56" t="str">
        <f>'R2'!AF41</f>
        <v/>
      </c>
      <c r="AG35" s="56" t="str">
        <f>'R2'!AG41</f>
        <v/>
      </c>
      <c r="AH35" s="56" t="str">
        <f>'R2'!AH41</f>
        <v/>
      </c>
      <c r="AI35" s="56" t="str">
        <f>'R2'!AI41</f>
        <v/>
      </c>
      <c r="AJ35" s="56" t="str">
        <f>'R2'!AJ41</f>
        <v/>
      </c>
      <c r="AK35" s="56" t="str">
        <f>'R2'!AK41</f>
        <v/>
      </c>
    </row>
    <row r="36" spans="1:37" x14ac:dyDescent="0.35">
      <c r="A36" s="238"/>
      <c r="B36" s="56" t="str">
        <f>'R2'!B42</f>
        <v/>
      </c>
      <c r="C36" s="56" t="str">
        <f>'R2'!C42</f>
        <v/>
      </c>
      <c r="D36" s="56" t="str">
        <f>'R2'!D42</f>
        <v/>
      </c>
      <c r="E36" s="56" t="str">
        <f>'R2'!E42</f>
        <v/>
      </c>
      <c r="F36" s="56" t="str">
        <f>'R2'!F42</f>
        <v/>
      </c>
      <c r="G36" s="56" t="str">
        <f>'R2'!G42</f>
        <v/>
      </c>
      <c r="H36" s="56" t="str">
        <f>'R2'!H42</f>
        <v/>
      </c>
      <c r="I36" s="56" t="str">
        <f>'R2'!I42</f>
        <v/>
      </c>
      <c r="J36" s="56" t="str">
        <f>'R2'!J42</f>
        <v/>
      </c>
      <c r="K36" s="56" t="str">
        <f>'R2'!K42</f>
        <v/>
      </c>
      <c r="L36" s="56" t="str">
        <f>'R2'!L42</f>
        <v/>
      </c>
      <c r="M36" s="56" t="str">
        <f>'R2'!M42</f>
        <v/>
      </c>
      <c r="O36" s="56">
        <f>'R2'!O42</f>
        <v>1.5911658167131941</v>
      </c>
      <c r="P36" s="56" t="str">
        <f>'R2'!P42</f>
        <v/>
      </c>
      <c r="Q36" s="56" t="str">
        <f>'R2'!Q42</f>
        <v/>
      </c>
      <c r="R36" s="56" t="str">
        <f>'R2'!R42</f>
        <v/>
      </c>
      <c r="S36" s="56" t="str">
        <f>'R2'!S42</f>
        <v/>
      </c>
      <c r="T36" s="56" t="str">
        <f>'R2'!T42</f>
        <v/>
      </c>
      <c r="U36" s="56" t="str">
        <f>'R2'!U42</f>
        <v/>
      </c>
      <c r="V36" s="56" t="str">
        <f>'R2'!V42</f>
        <v/>
      </c>
      <c r="W36" s="56" t="str">
        <f>'R2'!W42</f>
        <v/>
      </c>
      <c r="X36" s="56" t="str">
        <f>'R2'!X42</f>
        <v/>
      </c>
      <c r="Y36" s="56" t="str">
        <f>'R2'!Y42</f>
        <v/>
      </c>
      <c r="Z36" s="56" t="str">
        <f>'R2'!Z42</f>
        <v/>
      </c>
      <c r="AA36" s="56" t="str">
        <f>'R2'!AA42</f>
        <v/>
      </c>
      <c r="AB36" s="56" t="str">
        <f>'R2'!AB42</f>
        <v/>
      </c>
      <c r="AC36" s="56" t="str">
        <f>'R2'!AC42</f>
        <v/>
      </c>
      <c r="AD36" s="56" t="str">
        <f>'R2'!AD42</f>
        <v/>
      </c>
      <c r="AE36" s="56" t="str">
        <f>'R2'!AE42</f>
        <v/>
      </c>
      <c r="AF36" s="56" t="str">
        <f>'R2'!AF42</f>
        <v/>
      </c>
      <c r="AG36" s="56" t="str">
        <f>'R2'!AG42</f>
        <v/>
      </c>
      <c r="AH36" s="56" t="str">
        <f>'R2'!AH42</f>
        <v/>
      </c>
      <c r="AI36" s="56" t="str">
        <f>'R2'!AI42</f>
        <v/>
      </c>
      <c r="AJ36" s="56" t="str">
        <f>'R2'!AJ42</f>
        <v/>
      </c>
      <c r="AK36" s="56" t="str">
        <f>'R2'!AK42</f>
        <v/>
      </c>
    </row>
    <row r="37" spans="1:37" x14ac:dyDescent="0.35">
      <c r="A37" s="239"/>
      <c r="B37" s="56" t="str">
        <f>'R2'!B43</f>
        <v/>
      </c>
      <c r="C37" s="56" t="str">
        <f>'R2'!C43</f>
        <v/>
      </c>
      <c r="D37" s="56" t="str">
        <f>'R2'!D43</f>
        <v/>
      </c>
      <c r="E37" s="56" t="str">
        <f>'R2'!E43</f>
        <v/>
      </c>
      <c r="F37" s="56" t="str">
        <f>'R2'!F43</f>
        <v/>
      </c>
      <c r="G37" s="56" t="str">
        <f>'R2'!G43</f>
        <v/>
      </c>
      <c r="H37" s="56" t="str">
        <f>'R2'!H43</f>
        <v/>
      </c>
      <c r="I37" s="56" t="str">
        <f>'R2'!I43</f>
        <v/>
      </c>
      <c r="J37" s="56" t="str">
        <f>'R2'!J43</f>
        <v/>
      </c>
      <c r="K37" s="56" t="str">
        <f>'R2'!K43</f>
        <v/>
      </c>
      <c r="L37" s="56" t="str">
        <f>'R2'!L43</f>
        <v/>
      </c>
      <c r="M37" s="56" t="str">
        <f>'R2'!M43</f>
        <v/>
      </c>
      <c r="O37" s="56">
        <f>'R2'!O43</f>
        <v>1.5890424189692856</v>
      </c>
      <c r="P37" s="56" t="str">
        <f>'R2'!P43</f>
        <v/>
      </c>
      <c r="Q37" s="56" t="str">
        <f>'R2'!Q43</f>
        <v/>
      </c>
      <c r="R37" s="56" t="str">
        <f>'R2'!R43</f>
        <v/>
      </c>
      <c r="S37" s="56" t="str">
        <f>'R2'!S43</f>
        <v/>
      </c>
      <c r="T37" s="56" t="str">
        <f>'R2'!T43</f>
        <v/>
      </c>
      <c r="U37" s="56" t="str">
        <f>'R2'!U43</f>
        <v/>
      </c>
      <c r="V37" s="56" t="str">
        <f>'R2'!V43</f>
        <v/>
      </c>
      <c r="W37" s="56" t="str">
        <f>'R2'!W43</f>
        <v/>
      </c>
      <c r="X37" s="56" t="str">
        <f>'R2'!X43</f>
        <v/>
      </c>
      <c r="Y37" s="56" t="str">
        <f>'R2'!Y43</f>
        <v/>
      </c>
      <c r="Z37" s="56" t="str">
        <f>'R2'!Z43</f>
        <v/>
      </c>
      <c r="AA37" s="56" t="str">
        <f>'R2'!AA43</f>
        <v/>
      </c>
      <c r="AB37" s="56" t="str">
        <f>'R2'!AB43</f>
        <v/>
      </c>
      <c r="AC37" s="56" t="str">
        <f>'R2'!AC43</f>
        <v/>
      </c>
      <c r="AD37" s="56" t="str">
        <f>'R2'!AD43</f>
        <v/>
      </c>
      <c r="AE37" s="56" t="str">
        <f>'R2'!AE43</f>
        <v/>
      </c>
      <c r="AF37" s="56" t="str">
        <f>'R2'!AF43</f>
        <v/>
      </c>
      <c r="AG37" s="56" t="str">
        <f>'R2'!AG43</f>
        <v/>
      </c>
      <c r="AH37" s="56" t="str">
        <f>'R2'!AH43</f>
        <v/>
      </c>
      <c r="AI37" s="56" t="str">
        <f>'R2'!AI43</f>
        <v/>
      </c>
      <c r="AJ37" s="56" t="str">
        <f>'R2'!AJ43</f>
        <v/>
      </c>
      <c r="AK37" s="56" t="str">
        <f>'R2'!AK43</f>
        <v/>
      </c>
    </row>
    <row r="38" spans="1:37" s="1" customFormat="1" x14ac:dyDescent="0.35">
      <c r="A38" s="159" t="s">
        <v>116</v>
      </c>
      <c r="B38" s="160">
        <f>'R3'!B28</f>
        <v>6.8394887926368747E-2</v>
      </c>
      <c r="C38" s="160">
        <f>'R3'!C28</f>
        <v>6.2622183836442316E-2</v>
      </c>
      <c r="D38" s="160">
        <f>'R3'!D28</f>
        <v>0.52468263492370804</v>
      </c>
      <c r="E38" s="160">
        <f>'R3'!E28</f>
        <v>0.13595571647643781</v>
      </c>
      <c r="F38" s="160">
        <f>'R3'!F28</f>
        <v>2.652002468679926</v>
      </c>
      <c r="G38" s="160">
        <f>'R3'!G28</f>
        <v>1.5474751107775264</v>
      </c>
      <c r="H38" s="160">
        <f>'R3'!H28</f>
        <v>1.395630599892939</v>
      </c>
      <c r="I38" s="160">
        <f>'R3'!I28</f>
        <v>3.2635142822917004E-2</v>
      </c>
      <c r="J38" s="160">
        <f>'R3'!J28</f>
        <v>1.6821604652505814E-2</v>
      </c>
      <c r="K38" s="160">
        <f>'R3'!K28</f>
        <v>5.5300853215300962E-2</v>
      </c>
      <c r="L38" s="160">
        <f>'R3'!L28</f>
        <v>0.11253157004909117</v>
      </c>
      <c r="M38" s="160">
        <f>'R3'!M28</f>
        <v>4.2092098629632098E-2</v>
      </c>
      <c r="N38"/>
      <c r="O38" s="160">
        <f>'R3'!O28</f>
        <v>1.5318563210662379</v>
      </c>
      <c r="P38" s="160">
        <f>'R3'!P28</f>
        <v>1.912606996072244</v>
      </c>
      <c r="Q38" s="160">
        <f>'R3'!Q28</f>
        <v>8.0730303050674496E-2</v>
      </c>
      <c r="R38" s="160">
        <f>'R3'!R28</f>
        <v>1.0909054282163675</v>
      </c>
      <c r="S38" s="160">
        <f>'R3'!S28</f>
        <v>0.37975417228727137</v>
      </c>
      <c r="T38" s="160">
        <f>'R3'!T28</f>
        <v>2.2193615164425588E-2</v>
      </c>
      <c r="U38" s="160">
        <f>'R3'!U28</f>
        <v>4.5049852324547023E-2</v>
      </c>
      <c r="V38" s="160">
        <f>'R3'!V28</f>
        <v>0.11894725609218175</v>
      </c>
      <c r="W38" s="160" t="str">
        <f>'R3'!W28</f>
        <v/>
      </c>
      <c r="X38" s="160" t="str">
        <f>'R3'!X28</f>
        <v/>
      </c>
      <c r="Y38" s="160" t="str">
        <f>'R3'!Y28</f>
        <v/>
      </c>
      <c r="Z38" s="160" t="str">
        <f>'R3'!Z28</f>
        <v/>
      </c>
      <c r="AA38" s="160" t="str">
        <f>'R3'!AA28</f>
        <v/>
      </c>
      <c r="AB38" s="160" t="str">
        <f>'R3'!AB28</f>
        <v/>
      </c>
      <c r="AC38" s="160" t="str">
        <f>'R3'!AC28</f>
        <v/>
      </c>
      <c r="AD38" s="160" t="str">
        <f>'R3'!AD28</f>
        <v/>
      </c>
      <c r="AE38" s="160" t="str">
        <f>'R3'!AE28</f>
        <v/>
      </c>
      <c r="AF38" s="160" t="str">
        <f>'R3'!AF28</f>
        <v/>
      </c>
      <c r="AG38" s="160" t="str">
        <f>'R3'!AG28</f>
        <v/>
      </c>
      <c r="AH38" s="160" t="str">
        <f>'R3'!AH28</f>
        <v/>
      </c>
      <c r="AI38" s="160" t="str">
        <f>'R3'!AI28</f>
        <v/>
      </c>
      <c r="AJ38" s="160" t="str">
        <f>'R3'!AJ28</f>
        <v/>
      </c>
      <c r="AK38" s="160" t="str">
        <f>'R3'!AK28</f>
        <v/>
      </c>
    </row>
    <row r="39" spans="1:37" s="1" customFormat="1" x14ac:dyDescent="0.35">
      <c r="A39" s="237" t="s">
        <v>34</v>
      </c>
      <c r="B39" s="160">
        <f>'R3'!B29</f>
        <v>3.5314999093598275E-2</v>
      </c>
      <c r="C39" s="160">
        <f>'R3'!C29</f>
        <v>3.2361099986469945E-2</v>
      </c>
      <c r="D39" s="160">
        <f>'R3'!D29</f>
        <v>5.5392078459583743E-2</v>
      </c>
      <c r="E39" s="160">
        <f>'R3'!E29</f>
        <v>2.7036996494183577E-2</v>
      </c>
      <c r="F39" s="160">
        <f>'R3'!F29</f>
        <v>0.22508700183209937</v>
      </c>
      <c r="G39" s="160">
        <f>'R3'!G29</f>
        <v>1.5533352772998485</v>
      </c>
      <c r="H39" s="160">
        <f>'R3'!H29</f>
        <v>1.0633759622444963</v>
      </c>
      <c r="I39" s="160">
        <f>'R3'!I29</f>
        <v>4.2008582560922506E-2</v>
      </c>
      <c r="J39" s="160">
        <f>'R3'!J29</f>
        <v>0.22879896987059165</v>
      </c>
      <c r="K39" s="160">
        <f>'R3'!K29</f>
        <v>0.36353590239926753</v>
      </c>
      <c r="L39" s="160">
        <f>'R3'!L29</f>
        <v>5.7365627406321076E-2</v>
      </c>
      <c r="M39" s="160">
        <f>'R3'!M29</f>
        <v>0.59207074123057768</v>
      </c>
      <c r="N39"/>
      <c r="O39" s="160">
        <f>'R3'!O29</f>
        <v>0.67545905788780947</v>
      </c>
      <c r="P39" s="160">
        <f>'R3'!P29</f>
        <v>0.52981602809645756</v>
      </c>
      <c r="Q39" s="160">
        <f>'R3'!Q29</f>
        <v>1.0080297717347529E-2</v>
      </c>
      <c r="R39" s="160">
        <f>'R3'!R29</f>
        <v>1.778533236194662</v>
      </c>
      <c r="S39" s="160">
        <f>'R3'!S29</f>
        <v>0.7314746618098249</v>
      </c>
      <c r="T39" s="160">
        <f>'R3'!T29</f>
        <v>0.14223667549879687</v>
      </c>
      <c r="U39" s="160">
        <f>'R3'!U29</f>
        <v>0.1508718698997695</v>
      </c>
      <c r="V39" s="160">
        <f>'R3'!V29</f>
        <v>0.2671314687697971</v>
      </c>
      <c r="W39" s="160" t="str">
        <f>'R3'!W29</f>
        <v/>
      </c>
      <c r="X39" s="160" t="str">
        <f>'R3'!X29</f>
        <v/>
      </c>
      <c r="Y39" s="160" t="str">
        <f>'R3'!Y29</f>
        <v/>
      </c>
      <c r="Z39" s="160" t="str">
        <f>'R3'!Z29</f>
        <v/>
      </c>
      <c r="AA39" s="160" t="str">
        <f>'R3'!AA29</f>
        <v/>
      </c>
      <c r="AB39" s="160" t="str">
        <f>'R3'!AB29</f>
        <v/>
      </c>
      <c r="AC39" s="160" t="str">
        <f>'R3'!AC29</f>
        <v/>
      </c>
      <c r="AD39" s="160" t="str">
        <f>'R3'!AD29</f>
        <v/>
      </c>
      <c r="AE39" s="160" t="str">
        <f>'R3'!AE29</f>
        <v/>
      </c>
      <c r="AF39" s="160" t="str">
        <f>'R3'!AF29</f>
        <v/>
      </c>
      <c r="AG39" s="160" t="str">
        <f>'R3'!AG29</f>
        <v/>
      </c>
      <c r="AH39" s="160" t="str">
        <f>'R3'!AH29</f>
        <v/>
      </c>
      <c r="AI39" s="160" t="str">
        <f>'R3'!AI29</f>
        <v/>
      </c>
      <c r="AJ39" s="160" t="str">
        <f>'R3'!AJ29</f>
        <v/>
      </c>
      <c r="AK39" s="160" t="str">
        <f>'R3'!AK29</f>
        <v/>
      </c>
    </row>
    <row r="40" spans="1:37" s="1" customFormat="1" x14ac:dyDescent="0.35">
      <c r="A40" s="238"/>
      <c r="B40" s="160">
        <f>'R3'!B30</f>
        <v>2.1681138540607638E-2</v>
      </c>
      <c r="C40" s="160">
        <f>'R3'!C30</f>
        <v>4.1039979715690657E-2</v>
      </c>
      <c r="D40" s="160">
        <f>'R3'!D30</f>
        <v>2.5536276982602069E-2</v>
      </c>
      <c r="E40" s="160">
        <f>'R3'!E30</f>
        <v>0.49781230346334487</v>
      </c>
      <c r="F40" s="160">
        <f>'R3'!F30</f>
        <v>0.30065160659333667</v>
      </c>
      <c r="G40" s="160">
        <f>'R3'!G30</f>
        <v>0.96580019280739893</v>
      </c>
      <c r="H40" s="160">
        <f>'R3'!H30</f>
        <v>1.4998960982095739</v>
      </c>
      <c r="I40" s="160">
        <f>'R3'!I30</f>
        <v>0.13837749891721648</v>
      </c>
      <c r="J40" s="160">
        <f>'R3'!J30</f>
        <v>0.1203249958981909</v>
      </c>
      <c r="K40" s="160">
        <f>'R3'!K30</f>
        <v>9.3069572762766853E-2</v>
      </c>
      <c r="L40" s="160">
        <f>'R3'!L30</f>
        <v>2.3201865198319575E-2</v>
      </c>
      <c r="M40" s="160">
        <f>'R3'!M30</f>
        <v>5.7234387869777442E-2</v>
      </c>
      <c r="N40"/>
      <c r="O40" s="160">
        <f>'R3'!O30</f>
        <v>0.54121459483682099</v>
      </c>
      <c r="P40" s="160">
        <f>'R3'!P30</f>
        <v>2.2011498740134869</v>
      </c>
      <c r="Q40" s="160">
        <f>'R3'!Q30</f>
        <v>0.1202813105699428</v>
      </c>
      <c r="R40" s="160">
        <f>'R3'!R30</f>
        <v>1.9249783873492248</v>
      </c>
      <c r="S40" s="160">
        <f>'R3'!S30</f>
        <v>0.49372295292536483</v>
      </c>
      <c r="T40" s="160">
        <f>'R3'!T30</f>
        <v>0.10452742673432416</v>
      </c>
      <c r="U40" s="160">
        <f>'R3'!U30</f>
        <v>0.17469689345692216</v>
      </c>
      <c r="V40" s="160">
        <f>'R3'!V30</f>
        <v>1.5114572918441718E-2</v>
      </c>
      <c r="W40" s="160" t="str">
        <f>'R3'!W30</f>
        <v/>
      </c>
      <c r="X40" s="160" t="str">
        <f>'R3'!X30</f>
        <v/>
      </c>
      <c r="Y40" s="160" t="str">
        <f>'R3'!Y30</f>
        <v/>
      </c>
      <c r="Z40" s="160" t="str">
        <f>'R3'!Z30</f>
        <v/>
      </c>
      <c r="AA40" s="160" t="str">
        <f>'R3'!AA30</f>
        <v/>
      </c>
      <c r="AB40" s="160" t="str">
        <f>'R3'!AB30</f>
        <v/>
      </c>
      <c r="AC40" s="160" t="str">
        <f>'R3'!AC30</f>
        <v/>
      </c>
      <c r="AD40" s="160" t="str">
        <f>'R3'!AD30</f>
        <v/>
      </c>
      <c r="AE40" s="160" t="str">
        <f>'R3'!AE30</f>
        <v/>
      </c>
      <c r="AF40" s="160" t="str">
        <f>'R3'!AF30</f>
        <v/>
      </c>
      <c r="AG40" s="160" t="str">
        <f>'R3'!AG30</f>
        <v/>
      </c>
      <c r="AH40" s="160" t="str">
        <f>'R3'!AH30</f>
        <v/>
      </c>
      <c r="AI40" s="160" t="str">
        <f>'R3'!AI30</f>
        <v/>
      </c>
      <c r="AJ40" s="160" t="str">
        <f>'R3'!AJ30</f>
        <v/>
      </c>
      <c r="AK40" s="160" t="str">
        <f>'R3'!AK30</f>
        <v/>
      </c>
    </row>
    <row r="41" spans="1:37" s="1" customFormat="1" x14ac:dyDescent="0.35">
      <c r="A41" s="238"/>
      <c r="B41" s="160">
        <f>'R3'!B31</f>
        <v>0.1625681576586977</v>
      </c>
      <c r="C41" s="160">
        <f>'R3'!C31</f>
        <v>0.13704344443945543</v>
      </c>
      <c r="D41" s="160">
        <f>'R3'!D31</f>
        <v>0.13921926746908936</v>
      </c>
      <c r="E41" s="160">
        <f>'R3'!E31</f>
        <v>0.87232570477524007</v>
      </c>
      <c r="F41" s="160">
        <f>'R3'!F31</f>
        <v>1.54113871911176</v>
      </c>
      <c r="G41" s="160">
        <f>'R3'!G31</f>
        <v>1.6050431958185434</v>
      </c>
      <c r="H41" s="160">
        <f>'R3'!H31</f>
        <v>4.4795080591514944</v>
      </c>
      <c r="I41" s="160">
        <f>'R3'!I31</f>
        <v>3.3453049640872881E-2</v>
      </c>
      <c r="J41" s="160">
        <f>'R3'!J31</f>
        <v>0.1313344328239075</v>
      </c>
      <c r="K41" s="160">
        <f>'R3'!K31</f>
        <v>0.25719792071603925</v>
      </c>
      <c r="L41" s="160">
        <f>'R3'!L31</f>
        <v>2.0514116200265754E-2</v>
      </c>
      <c r="M41" s="160">
        <f>'R3'!M31</f>
        <v>0.11972937030926208</v>
      </c>
      <c r="N41"/>
      <c r="O41" s="160">
        <f>'R3'!O31</f>
        <v>1.1543056881303042</v>
      </c>
      <c r="P41" s="160">
        <f>'R3'!P31</f>
        <v>2.2246573529577436</v>
      </c>
      <c r="Q41" s="160">
        <f>'R3'!Q31</f>
        <v>0.24889238534672031</v>
      </c>
      <c r="R41" s="160">
        <f>'R3'!R31</f>
        <v>2.2564070419005398</v>
      </c>
      <c r="S41" s="160">
        <f>'R3'!S31</f>
        <v>0.50901593819278623</v>
      </c>
      <c r="T41" s="160">
        <f>'R3'!T31</f>
        <v>0.18517035912850252</v>
      </c>
      <c r="U41" s="160">
        <f>'R3'!U31</f>
        <v>0.13223163401918764</v>
      </c>
      <c r="V41" s="160">
        <f>'R3'!V31</f>
        <v>6.6878199408242772E-2</v>
      </c>
      <c r="W41" s="160" t="str">
        <f>'R3'!W31</f>
        <v/>
      </c>
      <c r="X41" s="160" t="str">
        <f>'R3'!X31</f>
        <v/>
      </c>
      <c r="Y41" s="160" t="str">
        <f>'R3'!Y31</f>
        <v/>
      </c>
      <c r="Z41" s="160" t="str">
        <f>'R3'!Z31</f>
        <v/>
      </c>
      <c r="AA41" s="160" t="str">
        <f>'R3'!AA31</f>
        <v/>
      </c>
      <c r="AB41" s="160" t="str">
        <f>'R3'!AB31</f>
        <v/>
      </c>
      <c r="AC41" s="160" t="str">
        <f>'R3'!AC31</f>
        <v/>
      </c>
      <c r="AD41" s="160" t="str">
        <f>'R3'!AD31</f>
        <v/>
      </c>
      <c r="AE41" s="160" t="str">
        <f>'R3'!AE31</f>
        <v/>
      </c>
      <c r="AF41" s="160" t="str">
        <f>'R3'!AF31</f>
        <v/>
      </c>
      <c r="AG41" s="160" t="str">
        <f>'R3'!AG31</f>
        <v/>
      </c>
      <c r="AH41" s="160" t="str">
        <f>'R3'!AH31</f>
        <v/>
      </c>
      <c r="AI41" s="160" t="str">
        <f>'R3'!AI31</f>
        <v/>
      </c>
      <c r="AJ41" s="160" t="str">
        <f>'R3'!AJ31</f>
        <v/>
      </c>
      <c r="AK41" s="160" t="str">
        <f>'R3'!AK31</f>
        <v/>
      </c>
    </row>
    <row r="42" spans="1:37" s="1" customFormat="1" x14ac:dyDescent="0.35">
      <c r="A42" s="238"/>
      <c r="B42" s="160">
        <f>'R3'!B32</f>
        <v>0.20273461436122589</v>
      </c>
      <c r="C42" s="160">
        <f>'R3'!C32</f>
        <v>1.372104765768746E-2</v>
      </c>
      <c r="D42" s="160">
        <f>'R3'!D32</f>
        <v>4.3497554757344868E-2</v>
      </c>
      <c r="E42" s="160" t="str">
        <f>'R3'!E32</f>
        <v/>
      </c>
      <c r="F42" s="160">
        <f>'R3'!F32</f>
        <v>1.3638572327680252</v>
      </c>
      <c r="G42" s="160">
        <f>'R3'!G32</f>
        <v>1.7181662615410775</v>
      </c>
      <c r="H42" s="160">
        <f>'R3'!H32</f>
        <v>2.0704228140936669</v>
      </c>
      <c r="I42" s="160">
        <f>'R3'!I32</f>
        <v>3.1543376720313432E-2</v>
      </c>
      <c r="J42" s="160">
        <f>'R3'!J32</f>
        <v>4.0500153873767805E-2</v>
      </c>
      <c r="K42" s="160">
        <f>'R3'!K32</f>
        <v>8.6117731913740669E-2</v>
      </c>
      <c r="L42" s="160">
        <f>'R3'!L32</f>
        <v>0.22737965558202705</v>
      </c>
      <c r="M42" s="160">
        <f>'R3'!M32</f>
        <v>7.4520195022869072E-3</v>
      </c>
      <c r="N42"/>
      <c r="O42" s="160">
        <f>'R3'!O32</f>
        <v>1.4736887558485054</v>
      </c>
      <c r="P42" s="160">
        <f>'R3'!P32</f>
        <v>1.196917789007528</v>
      </c>
      <c r="Q42" s="160">
        <f>'R3'!Q32</f>
        <v>0.14216527384884514</v>
      </c>
      <c r="R42" s="160">
        <f>'R3'!R32</f>
        <v>0.44096282371682899</v>
      </c>
      <c r="S42" s="160">
        <f>'R3'!S32</f>
        <v>1.3945109339168322</v>
      </c>
      <c r="T42" s="160">
        <f>'R3'!T32</f>
        <v>9.6499605237439515E-2</v>
      </c>
      <c r="U42" s="160">
        <f>'R3'!U32</f>
        <v>0.1300442472261939</v>
      </c>
      <c r="V42" s="160">
        <f>'R3'!V32</f>
        <v>1.3595957106422439E-2</v>
      </c>
      <c r="W42" s="160" t="str">
        <f>'R3'!W32</f>
        <v/>
      </c>
      <c r="X42" s="160" t="str">
        <f>'R3'!X32</f>
        <v/>
      </c>
      <c r="Y42" s="160" t="str">
        <f>'R3'!Y32</f>
        <v/>
      </c>
      <c r="Z42" s="160" t="str">
        <f>'R3'!Z32</f>
        <v/>
      </c>
      <c r="AA42" s="160" t="str">
        <f>'R3'!AA32</f>
        <v/>
      </c>
      <c r="AB42" s="160" t="str">
        <f>'R3'!AB32</f>
        <v/>
      </c>
      <c r="AC42" s="160" t="str">
        <f>'R3'!AC32</f>
        <v/>
      </c>
      <c r="AD42" s="160" t="str">
        <f>'R3'!AD32</f>
        <v/>
      </c>
      <c r="AE42" s="160" t="str">
        <f>'R3'!AE32</f>
        <v/>
      </c>
      <c r="AF42" s="160" t="str">
        <f>'R3'!AF32</f>
        <v/>
      </c>
      <c r="AG42" s="160" t="str">
        <f>'R3'!AG32</f>
        <v/>
      </c>
      <c r="AH42" s="160" t="str">
        <f>'R3'!AH32</f>
        <v/>
      </c>
      <c r="AI42" s="160" t="str">
        <f>'R3'!AI32</f>
        <v/>
      </c>
      <c r="AJ42" s="160" t="str">
        <f>'R3'!AJ32</f>
        <v/>
      </c>
      <c r="AK42" s="160" t="str">
        <f>'R3'!AK32</f>
        <v/>
      </c>
    </row>
    <row r="43" spans="1:37" s="1" customFormat="1" x14ac:dyDescent="0.35">
      <c r="A43" s="238"/>
      <c r="B43" s="160">
        <f>'R3'!B33</f>
        <v>2.0005677716033756E-2</v>
      </c>
      <c r="C43" s="160">
        <f>'R3'!C33</f>
        <v>7.2744056036345275E-2</v>
      </c>
      <c r="D43" s="160">
        <f>'R3'!D33</f>
        <v>1.5995988658976751E-2</v>
      </c>
      <c r="E43" s="160">
        <f>'R3'!E33</f>
        <v>6.0261799472550143E-2</v>
      </c>
      <c r="F43" s="160">
        <f>'R3'!F33</f>
        <v>1.096944098863569</v>
      </c>
      <c r="G43" s="160">
        <f>'R3'!G33</f>
        <v>1.5008410228726881</v>
      </c>
      <c r="H43" s="160">
        <f>'R3'!H33</f>
        <v>2.1507994128269714</v>
      </c>
      <c r="I43" s="160">
        <f>'R3'!I33</f>
        <v>0.17405391150375799</v>
      </c>
      <c r="J43" s="160">
        <f>'R3'!J33</f>
        <v>4.7074795775105642E-2</v>
      </c>
      <c r="K43" s="160">
        <f>'R3'!K33</f>
        <v>6.9914880376883244E-3</v>
      </c>
      <c r="L43" s="160">
        <f>'R3'!L33</f>
        <v>8.6351944009726237E-3</v>
      </c>
      <c r="M43" s="160">
        <f>'R3'!M33</f>
        <v>0.16919052302786958</v>
      </c>
      <c r="N43"/>
      <c r="O43" s="160">
        <f>'R3'!O33</f>
        <v>0.18205768771492625</v>
      </c>
      <c r="P43" s="160">
        <f>'R3'!P33</f>
        <v>0.80795684201607154</v>
      </c>
      <c r="Q43" s="160">
        <f>'R3'!Q33</f>
        <v>1.3760694846349593E-2</v>
      </c>
      <c r="R43" s="160">
        <f>'R3'!R33</f>
        <v>0.63790087225421133</v>
      </c>
      <c r="S43" s="160">
        <f>'R3'!S33</f>
        <v>0.19672769817531388</v>
      </c>
      <c r="T43" s="160">
        <f>'R3'!T33</f>
        <v>0.23728328469248894</v>
      </c>
      <c r="U43" s="160">
        <f>'R3'!U33</f>
        <v>4.8500075497149478E-2</v>
      </c>
      <c r="V43" s="160">
        <f>'R3'!V33</f>
        <v>0.13306550984368798</v>
      </c>
      <c r="W43" s="160" t="str">
        <f>'R3'!W33</f>
        <v/>
      </c>
      <c r="X43" s="160" t="str">
        <f>'R3'!X33</f>
        <v/>
      </c>
      <c r="Y43" s="160" t="str">
        <f>'R3'!Y33</f>
        <v/>
      </c>
      <c r="Z43" s="160" t="str">
        <f>'R3'!Z33</f>
        <v/>
      </c>
      <c r="AA43" s="160" t="str">
        <f>'R3'!AA33</f>
        <v/>
      </c>
      <c r="AB43" s="160" t="str">
        <f>'R3'!AB33</f>
        <v/>
      </c>
      <c r="AC43" s="160" t="str">
        <f>'R3'!AC33</f>
        <v/>
      </c>
      <c r="AD43" s="160" t="str">
        <f>'R3'!AD33</f>
        <v/>
      </c>
      <c r="AE43" s="160" t="str">
        <f>'R3'!AE33</f>
        <v/>
      </c>
      <c r="AF43" s="160" t="str">
        <f>'R3'!AF33</f>
        <v/>
      </c>
      <c r="AG43" s="160" t="str">
        <f>'R3'!AG33</f>
        <v/>
      </c>
      <c r="AH43" s="160" t="str">
        <f>'R3'!AH33</f>
        <v/>
      </c>
      <c r="AI43" s="160" t="str">
        <f>'R3'!AI33</f>
        <v/>
      </c>
      <c r="AJ43" s="160" t="str">
        <f>'R3'!AJ33</f>
        <v/>
      </c>
      <c r="AK43" s="160" t="str">
        <f>'R3'!AK33</f>
        <v/>
      </c>
    </row>
    <row r="44" spans="1:37" s="1" customFormat="1" x14ac:dyDescent="0.35">
      <c r="A44" s="238"/>
      <c r="B44" s="160">
        <f>'R3'!B34</f>
        <v>7.1888612875419935E-2</v>
      </c>
      <c r="C44" s="160">
        <f>'R3'!C34</f>
        <v>3.7637296459122893E-2</v>
      </c>
      <c r="D44" s="160">
        <f>'R3'!D34</f>
        <v>1.7909516167322795E-2</v>
      </c>
      <c r="E44" s="160">
        <f>'R3'!E34</f>
        <v>0.5922317161586178</v>
      </c>
      <c r="F44" s="160">
        <f>'R3'!F34</f>
        <v>1.8761009293525874</v>
      </c>
      <c r="G44" s="160">
        <f>'R3'!G34</f>
        <v>1.9897560199655719</v>
      </c>
      <c r="H44" s="160">
        <f>'R3'!H34</f>
        <v>2.6705551503522122</v>
      </c>
      <c r="I44" s="160">
        <f>'R3'!I34</f>
        <v>1.556317351608179E-2</v>
      </c>
      <c r="J44" s="160">
        <f>'R3'!J34</f>
        <v>2.4063457344523538E-2</v>
      </c>
      <c r="K44" s="160">
        <f>'R3'!K34</f>
        <v>9.5316613890553153E-2</v>
      </c>
      <c r="L44" s="160">
        <f>'R3'!L34</f>
        <v>1.9370772042041531E-2</v>
      </c>
      <c r="M44" s="160">
        <f>'R3'!M34</f>
        <v>0.26762751750757213</v>
      </c>
      <c r="N44"/>
      <c r="O44" s="160">
        <f>'R3'!O34</f>
        <v>2.5167813265045336</v>
      </c>
      <c r="P44" s="160">
        <f>'R3'!P34</f>
        <v>0.86298769053451141</v>
      </c>
      <c r="Q44" s="160">
        <f>'R3'!Q34</f>
        <v>2.1361850185617905E-2</v>
      </c>
      <c r="R44" s="160">
        <f>'R3'!R34</f>
        <v>0.66708193731673937</v>
      </c>
      <c r="S44" s="160">
        <f>'R3'!S34</f>
        <v>0.17428812359974355</v>
      </c>
      <c r="T44" s="160">
        <f>'R3'!T34</f>
        <v>3.0316516493379624E-2</v>
      </c>
      <c r="U44" s="160">
        <f>'R3'!U34</f>
        <v>3.9884704690507922E-2</v>
      </c>
      <c r="V44" s="160">
        <f>'R3'!V34</f>
        <v>4.2751233141140071E-2</v>
      </c>
      <c r="W44" s="160" t="str">
        <f>'R3'!W34</f>
        <v/>
      </c>
      <c r="X44" s="160" t="str">
        <f>'R3'!X34</f>
        <v/>
      </c>
      <c r="Y44" s="160" t="str">
        <f>'R3'!Y34</f>
        <v/>
      </c>
      <c r="Z44" s="160" t="str">
        <f>'R3'!Z34</f>
        <v/>
      </c>
      <c r="AA44" s="160" t="str">
        <f>'R3'!AA34</f>
        <v/>
      </c>
      <c r="AB44" s="160" t="str">
        <f>'R3'!AB34</f>
        <v/>
      </c>
      <c r="AC44" s="160" t="str">
        <f>'R3'!AC34</f>
        <v/>
      </c>
      <c r="AD44" s="160" t="str">
        <f>'R3'!AD34</f>
        <v/>
      </c>
      <c r="AE44" s="160" t="str">
        <f>'R3'!AE34</f>
        <v/>
      </c>
      <c r="AF44" s="160" t="str">
        <f>'R3'!AF34</f>
        <v/>
      </c>
      <c r="AG44" s="160" t="str">
        <f>'R3'!AG34</f>
        <v/>
      </c>
      <c r="AH44" s="160" t="str">
        <f>'R3'!AH34</f>
        <v/>
      </c>
      <c r="AI44" s="160" t="str">
        <f>'R3'!AI34</f>
        <v/>
      </c>
      <c r="AJ44" s="160" t="str">
        <f>'R3'!AJ34</f>
        <v/>
      </c>
      <c r="AK44" s="160" t="str">
        <f>'R3'!AK34</f>
        <v/>
      </c>
    </row>
    <row r="45" spans="1:37" s="1" customFormat="1" x14ac:dyDescent="0.35">
      <c r="A45" s="238"/>
      <c r="B45" s="160" t="str">
        <f>'R3'!B35</f>
        <v/>
      </c>
      <c r="C45" s="160">
        <f>'R3'!C35</f>
        <v>1.7699165805254252E-2</v>
      </c>
      <c r="D45" s="160">
        <f>'R3'!D35</f>
        <v>0.21007154688531299</v>
      </c>
      <c r="E45" s="160">
        <f>'R3'!E35</f>
        <v>3.8356268857222792E-2</v>
      </c>
      <c r="F45" s="160">
        <f>'R3'!F35</f>
        <v>0.59349014729504201</v>
      </c>
      <c r="G45" s="160">
        <f>'R3'!G35</f>
        <v>2.035028337070945</v>
      </c>
      <c r="H45" s="160">
        <f>'R3'!H35</f>
        <v>4.3251424643026741</v>
      </c>
      <c r="I45" s="160">
        <f>'R3'!I35</f>
        <v>0.19269010924475388</v>
      </c>
      <c r="J45" s="160">
        <f>'R3'!J35</f>
        <v>4.7745677601772764E-2</v>
      </c>
      <c r="K45" s="160">
        <f>'R3'!K35</f>
        <v>5.2255912415689214E-2</v>
      </c>
      <c r="L45" s="160">
        <f>'R3'!L35</f>
        <v>7.1612459193280215E-2</v>
      </c>
      <c r="M45" s="160">
        <f>'R3'!M35</f>
        <v>0.53800262189979009</v>
      </c>
      <c r="N45"/>
      <c r="O45" s="160">
        <f>'R3'!O35</f>
        <v>0.7847232223564623</v>
      </c>
      <c r="P45" s="160">
        <f>'R3'!P35</f>
        <v>1.1436694120126898</v>
      </c>
      <c r="Q45" s="160">
        <f>'R3'!Q35</f>
        <v>1.847742543454799E-2</v>
      </c>
      <c r="R45" s="160">
        <f>'R3'!R35</f>
        <v>0.28757794613199805</v>
      </c>
      <c r="S45" s="160">
        <f>'R3'!S35</f>
        <v>0.73199080946963013</v>
      </c>
      <c r="T45" s="160">
        <f>'R3'!T35</f>
        <v>6.6107832506321587E-2</v>
      </c>
      <c r="U45" s="160">
        <f>'R3'!U35</f>
        <v>3.7637296459122893E-3</v>
      </c>
      <c r="V45" s="160">
        <f>'R3'!V35</f>
        <v>5.1259409696954375E-2</v>
      </c>
      <c r="W45" s="160" t="str">
        <f>'R3'!W35</f>
        <v/>
      </c>
      <c r="X45" s="160" t="str">
        <f>'R3'!X35</f>
        <v/>
      </c>
      <c r="Y45" s="160" t="str">
        <f>'R3'!Y35</f>
        <v/>
      </c>
      <c r="Z45" s="160" t="str">
        <f>'R3'!Z35</f>
        <v/>
      </c>
      <c r="AA45" s="160" t="str">
        <f>'R3'!AA35</f>
        <v/>
      </c>
      <c r="AB45" s="160" t="str">
        <f>'R3'!AB35</f>
        <v/>
      </c>
      <c r="AC45" s="160" t="str">
        <f>'R3'!AC35</f>
        <v/>
      </c>
      <c r="AD45" s="160" t="str">
        <f>'R3'!AD35</f>
        <v/>
      </c>
      <c r="AE45" s="160" t="str">
        <f>'R3'!AE35</f>
        <v/>
      </c>
      <c r="AF45" s="160" t="str">
        <f>'R3'!AF35</f>
        <v/>
      </c>
      <c r="AG45" s="160" t="str">
        <f>'R3'!AG35</f>
        <v/>
      </c>
      <c r="AH45" s="160" t="str">
        <f>'R3'!AH35</f>
        <v/>
      </c>
      <c r="AI45" s="160" t="str">
        <f>'R3'!AI35</f>
        <v/>
      </c>
      <c r="AJ45" s="160" t="str">
        <f>'R3'!AJ35</f>
        <v/>
      </c>
      <c r="AK45" s="160" t="str">
        <f>'R3'!AK35</f>
        <v/>
      </c>
    </row>
    <row r="46" spans="1:37" s="1" customFormat="1" x14ac:dyDescent="0.35">
      <c r="A46" s="238"/>
      <c r="B46" s="160" t="str">
        <f>'R3'!B36</f>
        <v/>
      </c>
      <c r="C46" s="160" t="str">
        <f>'R3'!C36</f>
        <v/>
      </c>
      <c r="D46" s="160" t="str">
        <f>'R3'!D36</f>
        <v/>
      </c>
      <c r="E46" s="160" t="str">
        <f>'R3'!E36</f>
        <v/>
      </c>
      <c r="F46" s="160" t="str">
        <f>'R3'!F36</f>
        <v/>
      </c>
      <c r="G46" s="160" t="str">
        <f>'R3'!G36</f>
        <v/>
      </c>
      <c r="H46" s="160" t="str">
        <f>'R3'!H36</f>
        <v/>
      </c>
      <c r="I46" s="160" t="str">
        <f>'R3'!I36</f>
        <v/>
      </c>
      <c r="J46" s="160" t="str">
        <f>'R3'!J36</f>
        <v/>
      </c>
      <c r="K46" s="160" t="str">
        <f>'R3'!K36</f>
        <v/>
      </c>
      <c r="L46" s="160" t="str">
        <f>'R3'!L36</f>
        <v/>
      </c>
      <c r="M46" s="160" t="str">
        <f>'R3'!M36</f>
        <v/>
      </c>
      <c r="N46"/>
      <c r="O46" s="160">
        <f>'R3'!O36</f>
        <v>0.70746700421230735</v>
      </c>
      <c r="P46" s="160" t="str">
        <f>'R3'!P36</f>
        <v/>
      </c>
      <c r="Q46" s="160" t="str">
        <f>'R3'!Q36</f>
        <v/>
      </c>
      <c r="R46" s="160" t="str">
        <f>'R3'!R36</f>
        <v/>
      </c>
      <c r="S46" s="160" t="str">
        <f>'R3'!S36</f>
        <v/>
      </c>
      <c r="T46" s="160" t="str">
        <f>'R3'!T36</f>
        <v/>
      </c>
      <c r="U46" s="160" t="str">
        <f>'R3'!U36</f>
        <v/>
      </c>
      <c r="V46" s="160" t="str">
        <f>'R3'!V36</f>
        <v/>
      </c>
      <c r="W46" s="160" t="str">
        <f>'R3'!W36</f>
        <v/>
      </c>
      <c r="X46" s="160" t="str">
        <f>'R3'!X36</f>
        <v/>
      </c>
      <c r="Y46" s="160" t="str">
        <f>'R3'!Y36</f>
        <v/>
      </c>
      <c r="Z46" s="160" t="str">
        <f>'R3'!Z36</f>
        <v/>
      </c>
      <c r="AA46" s="160" t="str">
        <f>'R3'!AA36</f>
        <v/>
      </c>
      <c r="AB46" s="160" t="str">
        <f>'R3'!AB36</f>
        <v/>
      </c>
      <c r="AC46" s="160" t="str">
        <f>'R3'!AC36</f>
        <v/>
      </c>
      <c r="AD46" s="160" t="str">
        <f>'R3'!AD36</f>
        <v/>
      </c>
      <c r="AE46" s="160" t="str">
        <f>'R3'!AE36</f>
        <v/>
      </c>
      <c r="AF46" s="160" t="str">
        <f>'R3'!AF36</f>
        <v/>
      </c>
      <c r="AG46" s="160" t="str">
        <f>'R3'!AG36</f>
        <v/>
      </c>
      <c r="AH46" s="160" t="str">
        <f>'R3'!AH36</f>
        <v/>
      </c>
      <c r="AI46" s="160" t="str">
        <f>'R3'!AI36</f>
        <v/>
      </c>
      <c r="AJ46" s="160" t="str">
        <f>'R3'!AJ36</f>
        <v/>
      </c>
      <c r="AK46" s="160" t="str">
        <f>'R3'!AK36</f>
        <v/>
      </c>
    </row>
    <row r="47" spans="1:37" s="1" customFormat="1" x14ac:dyDescent="0.35">
      <c r="A47" s="238"/>
      <c r="B47" s="160" t="str">
        <f>'R3'!B37</f>
        <v/>
      </c>
      <c r="C47" s="160" t="str">
        <f>'R3'!C37</f>
        <v/>
      </c>
      <c r="D47" s="160" t="str">
        <f>'R3'!D37</f>
        <v/>
      </c>
      <c r="E47" s="160" t="str">
        <f>'R3'!E37</f>
        <v/>
      </c>
      <c r="F47" s="160" t="str">
        <f>'R3'!F37</f>
        <v/>
      </c>
      <c r="G47" s="160" t="str">
        <f>'R3'!G37</f>
        <v/>
      </c>
      <c r="H47" s="160" t="str">
        <f>'R3'!H37</f>
        <v/>
      </c>
      <c r="I47" s="160" t="str">
        <f>'R3'!I37</f>
        <v/>
      </c>
      <c r="J47" s="160" t="str">
        <f>'R3'!J37</f>
        <v/>
      </c>
      <c r="K47" s="160" t="str">
        <f>'R3'!K37</f>
        <v/>
      </c>
      <c r="L47" s="160" t="str">
        <f>'R3'!L37</f>
        <v/>
      </c>
      <c r="M47" s="160" t="str">
        <f>'R3'!M37</f>
        <v/>
      </c>
      <c r="N47"/>
      <c r="O47" s="160">
        <f>'R3'!O37</f>
        <v>2.5480660787395464E-2</v>
      </c>
      <c r="P47" s="160" t="str">
        <f>'R3'!P37</f>
        <v/>
      </c>
      <c r="Q47" s="160" t="str">
        <f>'R3'!Q37</f>
        <v/>
      </c>
      <c r="R47" s="160" t="str">
        <f>'R3'!R37</f>
        <v/>
      </c>
      <c r="S47" s="160" t="str">
        <f>'R3'!S37</f>
        <v/>
      </c>
      <c r="T47" s="160" t="str">
        <f>'R3'!T37</f>
        <v/>
      </c>
      <c r="U47" s="160" t="str">
        <f>'R3'!U37</f>
        <v/>
      </c>
      <c r="V47" s="160" t="str">
        <f>'R3'!V37</f>
        <v/>
      </c>
      <c r="W47" s="160" t="str">
        <f>'R3'!W37</f>
        <v/>
      </c>
      <c r="X47" s="160" t="str">
        <f>'R3'!X37</f>
        <v/>
      </c>
      <c r="Y47" s="160" t="str">
        <f>'R3'!Y37</f>
        <v/>
      </c>
      <c r="Z47" s="160" t="str">
        <f>'R3'!Z37</f>
        <v/>
      </c>
      <c r="AA47" s="160" t="str">
        <f>'R3'!AA37</f>
        <v/>
      </c>
      <c r="AB47" s="160" t="str">
        <f>'R3'!AB37</f>
        <v/>
      </c>
      <c r="AC47" s="160" t="str">
        <f>'R3'!AC37</f>
        <v/>
      </c>
      <c r="AD47" s="160" t="str">
        <f>'R3'!AD37</f>
        <v/>
      </c>
      <c r="AE47" s="160" t="str">
        <f>'R3'!AE37</f>
        <v/>
      </c>
      <c r="AF47" s="160" t="str">
        <f>'R3'!AF37</f>
        <v/>
      </c>
      <c r="AG47" s="160" t="str">
        <f>'R3'!AG37</f>
        <v/>
      </c>
      <c r="AH47" s="160" t="str">
        <f>'R3'!AH37</f>
        <v/>
      </c>
      <c r="AI47" s="160" t="str">
        <f>'R3'!AI37</f>
        <v/>
      </c>
      <c r="AJ47" s="160" t="str">
        <f>'R3'!AJ37</f>
        <v/>
      </c>
      <c r="AK47" s="160" t="str">
        <f>'R3'!AK37</f>
        <v/>
      </c>
    </row>
    <row r="48" spans="1:37" s="1" customFormat="1" x14ac:dyDescent="0.35">
      <c r="A48" s="238"/>
      <c r="B48" s="160" t="str">
        <f>'R3'!B38</f>
        <v/>
      </c>
      <c r="C48" s="160" t="str">
        <f>'R3'!C38</f>
        <v/>
      </c>
      <c r="D48" s="160" t="str">
        <f>'R3'!D38</f>
        <v/>
      </c>
      <c r="E48" s="160" t="str">
        <f>'R3'!E38</f>
        <v/>
      </c>
      <c r="F48" s="160" t="str">
        <f>'R3'!F38</f>
        <v/>
      </c>
      <c r="G48" s="160" t="str">
        <f>'R3'!G38</f>
        <v/>
      </c>
      <c r="H48" s="160" t="str">
        <f>'R3'!H38</f>
        <v/>
      </c>
      <c r="I48" s="160" t="str">
        <f>'R3'!I38</f>
        <v/>
      </c>
      <c r="J48" s="160" t="str">
        <f>'R3'!J38</f>
        <v/>
      </c>
      <c r="K48" s="160" t="str">
        <f>'R3'!K38</f>
        <v/>
      </c>
      <c r="L48" s="160" t="str">
        <f>'R3'!L38</f>
        <v/>
      </c>
      <c r="M48" s="160" t="str">
        <f>'R3'!M38</f>
        <v/>
      </c>
      <c r="N48"/>
      <c r="O48" s="160">
        <f>'R3'!O38</f>
        <v>1.6681257275677848</v>
      </c>
      <c r="P48" s="160" t="str">
        <f>'R3'!P38</f>
        <v/>
      </c>
      <c r="Q48" s="160" t="str">
        <f>'R3'!Q38</f>
        <v/>
      </c>
      <c r="R48" s="160" t="str">
        <f>'R3'!R38</f>
        <v/>
      </c>
      <c r="S48" s="160" t="str">
        <f>'R3'!S38</f>
        <v/>
      </c>
      <c r="T48" s="160" t="str">
        <f>'R3'!T38</f>
        <v/>
      </c>
      <c r="U48" s="160" t="str">
        <f>'R3'!U38</f>
        <v/>
      </c>
      <c r="V48" s="160" t="str">
        <f>'R3'!V38</f>
        <v/>
      </c>
      <c r="W48" s="160" t="str">
        <f>'R3'!W38</f>
        <v/>
      </c>
      <c r="X48" s="160" t="str">
        <f>'R3'!X38</f>
        <v/>
      </c>
      <c r="Y48" s="160" t="str">
        <f>'R3'!Y38</f>
        <v/>
      </c>
      <c r="Z48" s="160" t="str">
        <f>'R3'!Z38</f>
        <v/>
      </c>
      <c r="AA48" s="160" t="str">
        <f>'R3'!AA38</f>
        <v/>
      </c>
      <c r="AB48" s="160" t="str">
        <f>'R3'!AB38</f>
        <v/>
      </c>
      <c r="AC48" s="160" t="str">
        <f>'R3'!AC38</f>
        <v/>
      </c>
      <c r="AD48" s="160" t="str">
        <f>'R3'!AD38</f>
        <v/>
      </c>
      <c r="AE48" s="160" t="str">
        <f>'R3'!AE38</f>
        <v/>
      </c>
      <c r="AF48" s="160" t="str">
        <f>'R3'!AF38</f>
        <v/>
      </c>
      <c r="AG48" s="160" t="str">
        <f>'R3'!AG38</f>
        <v/>
      </c>
      <c r="AH48" s="160" t="str">
        <f>'R3'!AH38</f>
        <v/>
      </c>
      <c r="AI48" s="160" t="str">
        <f>'R3'!AI38</f>
        <v/>
      </c>
      <c r="AJ48" s="160" t="str">
        <f>'R3'!AJ38</f>
        <v/>
      </c>
      <c r="AK48" s="160" t="str">
        <f>'R3'!AK38</f>
        <v/>
      </c>
    </row>
    <row r="49" spans="1:39" s="1" customFormat="1" x14ac:dyDescent="0.35">
      <c r="A49" s="238"/>
      <c r="B49" s="160" t="str">
        <f>'R3'!B39</f>
        <v/>
      </c>
      <c r="C49" s="160" t="str">
        <f>'R3'!C39</f>
        <v/>
      </c>
      <c r="D49" s="160" t="str">
        <f>'R3'!D39</f>
        <v/>
      </c>
      <c r="E49" s="160" t="str">
        <f>'R3'!E39</f>
        <v/>
      </c>
      <c r="F49" s="160" t="str">
        <f>'R3'!F39</f>
        <v/>
      </c>
      <c r="G49" s="160" t="str">
        <f>'R3'!G39</f>
        <v/>
      </c>
      <c r="H49" s="160" t="str">
        <f>'R3'!H39</f>
        <v/>
      </c>
      <c r="I49" s="160" t="str">
        <f>'R3'!I39</f>
        <v/>
      </c>
      <c r="J49" s="160" t="str">
        <f>'R3'!J39</f>
        <v/>
      </c>
      <c r="K49" s="160" t="str">
        <f>'R3'!K39</f>
        <v/>
      </c>
      <c r="L49" s="160" t="str">
        <f>'R3'!L39</f>
        <v/>
      </c>
      <c r="M49" s="160" t="str">
        <f>'R3'!M39</f>
        <v/>
      </c>
      <c r="N49"/>
      <c r="O49" s="160">
        <f>'R3'!O39</f>
        <v>0.5706735573235826</v>
      </c>
      <c r="P49" s="160" t="str">
        <f>'R3'!P39</f>
        <v/>
      </c>
      <c r="Q49" s="160" t="str">
        <f>'R3'!Q39</f>
        <v/>
      </c>
      <c r="R49" s="160" t="str">
        <f>'R3'!R39</f>
        <v/>
      </c>
      <c r="S49" s="160" t="str">
        <f>'R3'!S39</f>
        <v/>
      </c>
      <c r="T49" s="160" t="str">
        <f>'R3'!T39</f>
        <v/>
      </c>
      <c r="U49" s="160" t="str">
        <f>'R3'!U39</f>
        <v/>
      </c>
      <c r="V49" s="160" t="str">
        <f>'R3'!V39</f>
        <v/>
      </c>
      <c r="W49" s="160" t="str">
        <f>'R3'!W39</f>
        <v/>
      </c>
      <c r="X49" s="160" t="str">
        <f>'R3'!X39</f>
        <v/>
      </c>
      <c r="Y49" s="160" t="str">
        <f>'R3'!Y39</f>
        <v/>
      </c>
      <c r="Z49" s="160" t="str">
        <f>'R3'!Z39</f>
        <v/>
      </c>
      <c r="AA49" s="160" t="str">
        <f>'R3'!AA39</f>
        <v/>
      </c>
      <c r="AB49" s="160" t="str">
        <f>'R3'!AB39</f>
        <v/>
      </c>
      <c r="AC49" s="160" t="str">
        <f>'R3'!AC39</f>
        <v/>
      </c>
      <c r="AD49" s="160" t="str">
        <f>'R3'!AD39</f>
        <v/>
      </c>
      <c r="AE49" s="160" t="str">
        <f>'R3'!AE39</f>
        <v/>
      </c>
      <c r="AF49" s="160" t="str">
        <f>'R3'!AF39</f>
        <v/>
      </c>
      <c r="AG49" s="160" t="str">
        <f>'R3'!AG39</f>
        <v/>
      </c>
      <c r="AH49" s="160" t="str">
        <f>'R3'!AH39</f>
        <v/>
      </c>
      <c r="AI49" s="160" t="str">
        <f>'R3'!AI39</f>
        <v/>
      </c>
      <c r="AJ49" s="160" t="str">
        <f>'R3'!AJ39</f>
        <v/>
      </c>
      <c r="AK49" s="160" t="str">
        <f>'R3'!AK39</f>
        <v/>
      </c>
    </row>
    <row r="50" spans="1:39" s="1" customFormat="1" x14ac:dyDescent="0.35">
      <c r="A50" s="238"/>
      <c r="B50" s="160" t="str">
        <f>'R3'!B40</f>
        <v/>
      </c>
      <c r="C50" s="160" t="str">
        <f>'R3'!C40</f>
        <v/>
      </c>
      <c r="D50" s="160" t="str">
        <f>'R3'!D40</f>
        <v/>
      </c>
      <c r="E50" s="160" t="str">
        <f>'R3'!E40</f>
        <v/>
      </c>
      <c r="F50" s="160" t="str">
        <f>'R3'!F40</f>
        <v/>
      </c>
      <c r="G50" s="160" t="str">
        <f>'R3'!G40</f>
        <v/>
      </c>
      <c r="H50" s="160" t="str">
        <f>'R3'!H40</f>
        <v/>
      </c>
      <c r="I50" s="160" t="str">
        <f>'R3'!I40</f>
        <v/>
      </c>
      <c r="J50" s="160" t="str">
        <f>'R3'!J40</f>
        <v/>
      </c>
      <c r="K50" s="160" t="str">
        <f>'R3'!K40</f>
        <v/>
      </c>
      <c r="L50" s="160" t="str">
        <f>'R3'!L40</f>
        <v/>
      </c>
      <c r="M50" s="160" t="str">
        <f>'R3'!M40</f>
        <v/>
      </c>
      <c r="N50"/>
      <c r="O50" s="160">
        <f>'R3'!O40</f>
        <v>2.4914552163322008</v>
      </c>
      <c r="P50" s="160" t="str">
        <f>'R3'!P40</f>
        <v/>
      </c>
      <c r="Q50" s="160" t="str">
        <f>'R3'!Q40</f>
        <v/>
      </c>
      <c r="R50" s="160" t="str">
        <f>'R3'!R40</f>
        <v/>
      </c>
      <c r="S50" s="160" t="str">
        <f>'R3'!S40</f>
        <v/>
      </c>
      <c r="T50" s="160" t="str">
        <f>'R3'!T40</f>
        <v/>
      </c>
      <c r="U50" s="160" t="str">
        <f>'R3'!U40</f>
        <v/>
      </c>
      <c r="V50" s="160" t="str">
        <f>'R3'!V40</f>
        <v/>
      </c>
      <c r="W50" s="160" t="str">
        <f>'R3'!W40</f>
        <v/>
      </c>
      <c r="X50" s="160" t="str">
        <f>'R3'!X40</f>
        <v/>
      </c>
      <c r="Y50" s="160" t="str">
        <f>'R3'!Y40</f>
        <v/>
      </c>
      <c r="Z50" s="160" t="str">
        <f>'R3'!Z40</f>
        <v/>
      </c>
      <c r="AA50" s="160" t="str">
        <f>'R3'!AA40</f>
        <v/>
      </c>
      <c r="AB50" s="160" t="str">
        <f>'R3'!AB40</f>
        <v/>
      </c>
      <c r="AC50" s="160" t="str">
        <f>'R3'!AC40</f>
        <v/>
      </c>
      <c r="AD50" s="160" t="str">
        <f>'R3'!AD40</f>
        <v/>
      </c>
      <c r="AE50" s="160" t="str">
        <f>'R3'!AE40</f>
        <v/>
      </c>
      <c r="AF50" s="160" t="str">
        <f>'R3'!AF40</f>
        <v/>
      </c>
      <c r="AG50" s="160" t="str">
        <f>'R3'!AG40</f>
        <v/>
      </c>
      <c r="AH50" s="160" t="str">
        <f>'R3'!AH40</f>
        <v/>
      </c>
      <c r="AI50" s="160" t="str">
        <f>'R3'!AI40</f>
        <v/>
      </c>
      <c r="AJ50" s="160" t="str">
        <f>'R3'!AJ40</f>
        <v/>
      </c>
      <c r="AK50" s="160" t="str">
        <f>'R3'!AK40</f>
        <v/>
      </c>
    </row>
    <row r="51" spans="1:39" s="1" customFormat="1" x14ac:dyDescent="0.35">
      <c r="A51" s="238"/>
      <c r="B51" s="160" t="str">
        <f>'R3'!B41</f>
        <v/>
      </c>
      <c r="C51" s="160" t="str">
        <f>'R3'!C41</f>
        <v/>
      </c>
      <c r="D51" s="160" t="str">
        <f>'R3'!D41</f>
        <v/>
      </c>
      <c r="E51" s="160" t="str">
        <f>'R3'!E41</f>
        <v/>
      </c>
      <c r="F51" s="160" t="str">
        <f>'R3'!F41</f>
        <v/>
      </c>
      <c r="G51" s="160" t="str">
        <f>'R3'!G41</f>
        <v/>
      </c>
      <c r="H51" s="160" t="str">
        <f>'R3'!H41</f>
        <v/>
      </c>
      <c r="I51" s="160" t="str">
        <f>'R3'!I41</f>
        <v/>
      </c>
      <c r="J51" s="160" t="str">
        <f>'R3'!J41</f>
        <v/>
      </c>
      <c r="K51" s="160" t="str">
        <f>'R3'!K41</f>
        <v/>
      </c>
      <c r="L51" s="160" t="str">
        <f>'R3'!L41</f>
        <v/>
      </c>
      <c r="M51" s="160" t="str">
        <f>'R3'!M41</f>
        <v/>
      </c>
      <c r="N51"/>
      <c r="O51" s="160">
        <f>'R3'!O41</f>
        <v>1.2273613233460658</v>
      </c>
      <c r="P51" s="160" t="str">
        <f>'R3'!P41</f>
        <v/>
      </c>
      <c r="Q51" s="160" t="str">
        <f>'R3'!Q41</f>
        <v/>
      </c>
      <c r="R51" s="160" t="str">
        <f>'R3'!R41</f>
        <v/>
      </c>
      <c r="S51" s="160" t="str">
        <f>'R3'!S41</f>
        <v/>
      </c>
      <c r="T51" s="160" t="str">
        <f>'R3'!T41</f>
        <v/>
      </c>
      <c r="U51" s="160" t="str">
        <f>'R3'!U41</f>
        <v/>
      </c>
      <c r="V51" s="160" t="str">
        <f>'R3'!V41</f>
        <v/>
      </c>
      <c r="W51" s="160" t="str">
        <f>'R3'!W41</f>
        <v/>
      </c>
      <c r="X51" s="160" t="str">
        <f>'R3'!X41</f>
        <v/>
      </c>
      <c r="Y51" s="160" t="str">
        <f>'R3'!Y41</f>
        <v/>
      </c>
      <c r="Z51" s="160" t="str">
        <f>'R3'!Z41</f>
        <v/>
      </c>
      <c r="AA51" s="160" t="str">
        <f>'R3'!AA41</f>
        <v/>
      </c>
      <c r="AB51" s="160" t="str">
        <f>'R3'!AB41</f>
        <v/>
      </c>
      <c r="AC51" s="160" t="str">
        <f>'R3'!AC41</f>
        <v/>
      </c>
      <c r="AD51" s="160" t="str">
        <f>'R3'!AD41</f>
        <v/>
      </c>
      <c r="AE51" s="160" t="str">
        <f>'R3'!AE41</f>
        <v/>
      </c>
      <c r="AF51" s="160" t="str">
        <f>'R3'!AF41</f>
        <v/>
      </c>
      <c r="AG51" s="160" t="str">
        <f>'R3'!AG41</f>
        <v/>
      </c>
      <c r="AH51" s="160" t="str">
        <f>'R3'!AH41</f>
        <v/>
      </c>
      <c r="AI51" s="160" t="str">
        <f>'R3'!AI41</f>
        <v/>
      </c>
      <c r="AJ51" s="160" t="str">
        <f>'R3'!AJ41</f>
        <v/>
      </c>
      <c r="AK51" s="160" t="str">
        <f>'R3'!AK41</f>
        <v/>
      </c>
    </row>
    <row r="52" spans="1:39" s="1" customFormat="1" x14ac:dyDescent="0.35">
      <c r="A52" s="238"/>
      <c r="B52" s="160" t="str">
        <f>'R3'!B42</f>
        <v/>
      </c>
      <c r="C52" s="160" t="str">
        <f>'R3'!C42</f>
        <v/>
      </c>
      <c r="D52" s="160" t="str">
        <f>'R3'!D42</f>
        <v/>
      </c>
      <c r="E52" s="160" t="str">
        <f>'R3'!E42</f>
        <v/>
      </c>
      <c r="F52" s="160" t="str">
        <f>'R3'!F42</f>
        <v/>
      </c>
      <c r="G52" s="160" t="str">
        <f>'R3'!G42</f>
        <v/>
      </c>
      <c r="H52" s="160" t="str">
        <f>'R3'!H42</f>
        <v/>
      </c>
      <c r="I52" s="160" t="str">
        <f>'R3'!I42</f>
        <v/>
      </c>
      <c r="J52" s="160" t="str">
        <f>'R3'!J42</f>
        <v/>
      </c>
      <c r="K52" s="160" t="str">
        <f>'R3'!K42</f>
        <v/>
      </c>
      <c r="L52" s="160" t="str">
        <f>'R3'!L42</f>
        <v/>
      </c>
      <c r="M52" s="160" t="str">
        <f>'R3'!M42</f>
        <v/>
      </c>
      <c r="N52"/>
      <c r="O52" s="160">
        <f>'R3'!O42</f>
        <v>0.17213616230402662</v>
      </c>
      <c r="P52" s="160" t="str">
        <f>'R3'!P42</f>
        <v/>
      </c>
      <c r="Q52" s="160" t="str">
        <f>'R3'!Q42</f>
        <v/>
      </c>
      <c r="R52" s="160" t="str">
        <f>'R3'!R42</f>
        <v/>
      </c>
      <c r="S52" s="160" t="str">
        <f>'R3'!S42</f>
        <v/>
      </c>
      <c r="T52" s="160" t="str">
        <f>'R3'!T42</f>
        <v/>
      </c>
      <c r="U52" s="160" t="str">
        <f>'R3'!U42</f>
        <v/>
      </c>
      <c r="V52" s="160" t="str">
        <f>'R3'!V42</f>
        <v/>
      </c>
      <c r="W52" s="160" t="str">
        <f>'R3'!W42</f>
        <v/>
      </c>
      <c r="X52" s="160" t="str">
        <f>'R3'!X42</f>
        <v/>
      </c>
      <c r="Y52" s="160" t="str">
        <f>'R3'!Y42</f>
        <v/>
      </c>
      <c r="Z52" s="160" t="str">
        <f>'R3'!Z42</f>
        <v/>
      </c>
      <c r="AA52" s="160" t="str">
        <f>'R3'!AA42</f>
        <v/>
      </c>
      <c r="AB52" s="160" t="str">
        <f>'R3'!AB42</f>
        <v/>
      </c>
      <c r="AC52" s="160" t="str">
        <f>'R3'!AC42</f>
        <v/>
      </c>
      <c r="AD52" s="160" t="str">
        <f>'R3'!AD42</f>
        <v/>
      </c>
      <c r="AE52" s="160" t="str">
        <f>'R3'!AE42</f>
        <v/>
      </c>
      <c r="AF52" s="160" t="str">
        <f>'R3'!AF42</f>
        <v/>
      </c>
      <c r="AG52" s="160" t="str">
        <f>'R3'!AG42</f>
        <v/>
      </c>
      <c r="AH52" s="160" t="str">
        <f>'R3'!AH42</f>
        <v/>
      </c>
      <c r="AI52" s="160" t="str">
        <f>'R3'!AI42</f>
        <v/>
      </c>
      <c r="AJ52" s="160" t="str">
        <f>'R3'!AJ42</f>
        <v/>
      </c>
      <c r="AK52" s="160" t="str">
        <f>'R3'!AK42</f>
        <v/>
      </c>
    </row>
    <row r="53" spans="1:39" s="1" customFormat="1" x14ac:dyDescent="0.35">
      <c r="A53" s="239"/>
      <c r="B53" s="160" t="str">
        <f>'R3'!B43</f>
        <v/>
      </c>
      <c r="C53" s="160" t="str">
        <f>'R3'!C43</f>
        <v/>
      </c>
      <c r="D53" s="160" t="str">
        <f>'R3'!D43</f>
        <v/>
      </c>
      <c r="E53" s="160" t="str">
        <f>'R3'!E43</f>
        <v/>
      </c>
      <c r="F53" s="160" t="str">
        <f>'R3'!F43</f>
        <v/>
      </c>
      <c r="G53" s="160" t="str">
        <f>'R3'!G43</f>
        <v/>
      </c>
      <c r="H53" s="160" t="str">
        <f>'R3'!H43</f>
        <v/>
      </c>
      <c r="I53" s="160" t="str">
        <f>'R3'!I43</f>
        <v/>
      </c>
      <c r="J53" s="160" t="str">
        <f>'R3'!J43</f>
        <v/>
      </c>
      <c r="K53" s="160" t="str">
        <f>'R3'!K43</f>
        <v/>
      </c>
      <c r="L53" s="160" t="str">
        <f>'R3'!L43</f>
        <v/>
      </c>
      <c r="M53" s="160" t="str">
        <f>'R3'!M43</f>
        <v/>
      </c>
      <c r="N53"/>
      <c r="O53" s="160">
        <f>'R3'!O43</f>
        <v>0.27721369378103794</v>
      </c>
      <c r="P53" s="160" t="str">
        <f>'R3'!P43</f>
        <v/>
      </c>
      <c r="Q53" s="160" t="str">
        <f>'R3'!Q43</f>
        <v/>
      </c>
      <c r="R53" s="160" t="str">
        <f>'R3'!R43</f>
        <v/>
      </c>
      <c r="S53" s="160" t="str">
        <f>'R3'!S43</f>
        <v/>
      </c>
      <c r="T53" s="160" t="str">
        <f>'R3'!T43</f>
        <v/>
      </c>
      <c r="U53" s="160" t="str">
        <f>'R3'!U43</f>
        <v/>
      </c>
      <c r="V53" s="160" t="str">
        <f>'R3'!V43</f>
        <v/>
      </c>
      <c r="W53" s="160" t="str">
        <f>'R3'!W43</f>
        <v/>
      </c>
      <c r="X53" s="160" t="str">
        <f>'R3'!X43</f>
        <v/>
      </c>
      <c r="Y53" s="160" t="str">
        <f>'R3'!Y43</f>
        <v/>
      </c>
      <c r="Z53" s="160" t="str">
        <f>'R3'!Z43</f>
        <v/>
      </c>
      <c r="AA53" s="160" t="str">
        <f>'R3'!AA43</f>
        <v/>
      </c>
      <c r="AB53" s="160" t="str">
        <f>'R3'!AB43</f>
        <v/>
      </c>
      <c r="AC53" s="160" t="str">
        <f>'R3'!AC43</f>
        <v/>
      </c>
      <c r="AD53" s="160" t="str">
        <f>'R3'!AD43</f>
        <v/>
      </c>
      <c r="AE53" s="160" t="str">
        <f>'R3'!AE43</f>
        <v/>
      </c>
      <c r="AF53" s="160" t="str">
        <f>'R3'!AF43</f>
        <v/>
      </c>
      <c r="AG53" s="160" t="str">
        <f>'R3'!AG43</f>
        <v/>
      </c>
      <c r="AH53" s="160" t="str">
        <f>'R3'!AH43</f>
        <v/>
      </c>
      <c r="AI53" s="160" t="str">
        <f>'R3'!AI43</f>
        <v/>
      </c>
      <c r="AJ53" s="160" t="str">
        <f>'R3'!AJ43</f>
        <v/>
      </c>
      <c r="AK53" s="160" t="str">
        <f>'R3'!AK43</f>
        <v/>
      </c>
    </row>
    <row r="54" spans="1:39" s="63" customFormat="1" x14ac:dyDescent="0.35">
      <c r="A54" s="61"/>
      <c r="B54" s="62"/>
      <c r="C54" s="62"/>
      <c r="D54" s="62"/>
      <c r="E54" s="62"/>
      <c r="F54" s="62"/>
      <c r="G54" s="62"/>
      <c r="H54" s="62"/>
      <c r="I54" s="62"/>
      <c r="J54" s="62"/>
      <c r="K54" s="62"/>
      <c r="L54" s="62"/>
      <c r="M54" s="62"/>
      <c r="N54"/>
      <c r="O54" s="62"/>
      <c r="P54" s="62"/>
      <c r="Q54" s="62"/>
      <c r="R54" s="62"/>
      <c r="S54" s="62"/>
      <c r="T54" s="62"/>
      <c r="U54" s="62"/>
      <c r="V54" s="62"/>
      <c r="W54" s="62"/>
      <c r="X54" s="62"/>
      <c r="Y54" s="62"/>
      <c r="Z54" s="62"/>
      <c r="AA54" s="62"/>
      <c r="AB54" s="62"/>
      <c r="AC54" s="62"/>
      <c r="AD54" s="62"/>
      <c r="AE54" s="62"/>
      <c r="AF54" s="62"/>
      <c r="AG54" s="62"/>
      <c r="AH54" s="62"/>
      <c r="AI54" s="62"/>
      <c r="AJ54" s="62"/>
      <c r="AK54" s="62"/>
    </row>
    <row r="55" spans="1:39"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Anastrozole 0,032 ug/L</v>
      </c>
      <c r="J55" s="15" t="str">
        <f t="shared" si="0"/>
        <v>Anastrozole 0,16 ug/L</v>
      </c>
      <c r="K55" s="15" t="str">
        <f t="shared" si="0"/>
        <v>Anastrozole 0,8 ug/L</v>
      </c>
      <c r="L55" s="15" t="str">
        <f t="shared" si="0"/>
        <v>Anastrozole 4 ug/L</v>
      </c>
      <c r="M55" s="15" t="str">
        <f t="shared" si="0"/>
        <v>Anastrozole 20 ug/L</v>
      </c>
      <c r="O55" s="15" t="str">
        <f t="shared" ref="O55:AD55" si="1">O4</f>
        <v>Testo -30µg/L</v>
      </c>
      <c r="P55" s="15" t="str">
        <f t="shared" si="1"/>
        <v>Testo 30µg/L + EE2 -64ng/L</v>
      </c>
      <c r="Q55" s="15" t="str">
        <f t="shared" si="1"/>
        <v>Testo 30µg/L + FAD-10mg/L</v>
      </c>
      <c r="R55" s="15" t="str">
        <f t="shared" si="1"/>
        <v>Anastrozole-0,032ug/L + Testostérone</v>
      </c>
      <c r="S55" s="15" t="str">
        <f t="shared" si="1"/>
        <v>Anastrozole-0,16ug/L + Testostérone</v>
      </c>
      <c r="T55" s="15" t="str">
        <f t="shared" si="1"/>
        <v>Anastrozole-0,8ug/L + Testostérone</v>
      </c>
      <c r="U55" s="15" t="str">
        <f t="shared" si="1"/>
        <v>Anastrozole-4ug/L + Testostérone</v>
      </c>
      <c r="V55" s="15" t="str">
        <f t="shared" si="1"/>
        <v>Anastrozole-20ug/L + Testostérone</v>
      </c>
      <c r="W55" s="15" t="str">
        <f t="shared" si="1"/>
        <v>0-00 + Testostérone</v>
      </c>
      <c r="X55" s="15" t="str">
        <f t="shared" si="1"/>
        <v>0-00 + Testostérone</v>
      </c>
      <c r="Y55" s="15" t="str">
        <f t="shared" si="1"/>
        <v>0-00 + Testostérone</v>
      </c>
      <c r="Z55" s="15" t="str">
        <f t="shared" si="1"/>
        <v>0-00 + Testostérone</v>
      </c>
      <c r="AA55" s="15" t="str">
        <f t="shared" si="1"/>
        <v>0-00 + Testostérone</v>
      </c>
      <c r="AB55" s="15" t="str">
        <f t="shared" si="1"/>
        <v>0-00 + Testostérone</v>
      </c>
      <c r="AC55" s="15" t="str">
        <f t="shared" si="1"/>
        <v>0-00 + Testostérone</v>
      </c>
      <c r="AD55" s="15" t="str">
        <f t="shared" si="1"/>
        <v>0-00 + Testostérone</v>
      </c>
      <c r="AE55" s="15" t="str">
        <f t="shared" ref="AE55:AK55" si="2">AE4</f>
        <v>0-00 + Testostérone</v>
      </c>
      <c r="AF55" s="15" t="str">
        <f t="shared" si="2"/>
        <v>0-00 + Testostérone</v>
      </c>
      <c r="AG55" s="15" t="str">
        <f t="shared" si="2"/>
        <v>0-00 + Testostérone</v>
      </c>
      <c r="AH55" s="15" t="str">
        <f t="shared" si="2"/>
        <v>0-00 + Testostérone</v>
      </c>
      <c r="AI55" s="15" t="str">
        <f t="shared" si="2"/>
        <v>0-00 + Testostérone</v>
      </c>
      <c r="AJ55" s="15" t="str">
        <f t="shared" si="2"/>
        <v>0-00 + Testostérone</v>
      </c>
      <c r="AK55" s="15" t="str">
        <f t="shared" si="2"/>
        <v>0-00 + Testostérone</v>
      </c>
    </row>
    <row r="56" spans="1:39" x14ac:dyDescent="0.35">
      <c r="A56" t="s">
        <v>48</v>
      </c>
      <c r="B56" s="9">
        <f t="shared" ref="B56:AJ56" si="3">AVERAGE(B6:B53)</f>
        <v>7.6653964865881011E-2</v>
      </c>
      <c r="C56" s="9">
        <f t="shared" si="3"/>
        <v>6.1082731371285004E-2</v>
      </c>
      <c r="D56" s="9">
        <f t="shared" si="3"/>
        <v>0.10206106007746568</v>
      </c>
      <c r="E56" s="9">
        <f t="shared" si="3"/>
        <v>0.2568140948704023</v>
      </c>
      <c r="F56" s="9">
        <f t="shared" si="3"/>
        <v>0.85662103446431637</v>
      </c>
      <c r="G56" s="9">
        <f t="shared" si="3"/>
        <v>1.5548210075144957</v>
      </c>
      <c r="H56" s="9">
        <f t="shared" si="3"/>
        <v>2.4007651502100038</v>
      </c>
      <c r="I56" s="9">
        <f t="shared" si="3"/>
        <v>8.0315530839596805E-2</v>
      </c>
      <c r="J56" s="9">
        <f t="shared" si="3"/>
        <v>8.5623641613368481E-2</v>
      </c>
      <c r="K56" s="9">
        <f t="shared" si="3"/>
        <v>0.10928532978426031</v>
      </c>
      <c r="L56" s="9">
        <f t="shared" si="3"/>
        <v>7.5198074270760182E-2</v>
      </c>
      <c r="M56" s="9">
        <f t="shared" si="3"/>
        <v>0.13141937346820257</v>
      </c>
      <c r="N56" s="9"/>
      <c r="O56" s="9">
        <f t="shared" si="3"/>
        <v>0.99999999999999967</v>
      </c>
      <c r="P56" s="9">
        <f t="shared" si="3"/>
        <v>1.4575563765153647</v>
      </c>
      <c r="Q56" s="9">
        <f t="shared" si="3"/>
        <v>8.7289232838518527E-2</v>
      </c>
      <c r="R56" s="9">
        <f t="shared" si="3"/>
        <v>0.76682460887786197</v>
      </c>
      <c r="S56" s="9">
        <f t="shared" si="3"/>
        <v>0.47498217465427256</v>
      </c>
      <c r="T56" s="9">
        <f t="shared" si="3"/>
        <v>9.9037053561087746E-2</v>
      </c>
      <c r="U56" s="9">
        <f t="shared" si="3"/>
        <v>9.1961749471850457E-2</v>
      </c>
      <c r="V56" s="9">
        <f t="shared" si="3"/>
        <v>0.10640107205144513</v>
      </c>
      <c r="W56" s="9" t="e">
        <f t="shared" si="3"/>
        <v>#DIV/0!</v>
      </c>
      <c r="X56" s="9" t="e">
        <f t="shared" si="3"/>
        <v>#DIV/0!</v>
      </c>
      <c r="Y56" s="9" t="e">
        <f t="shared" si="3"/>
        <v>#DIV/0!</v>
      </c>
      <c r="Z56" s="9" t="e">
        <f t="shared" si="3"/>
        <v>#DIV/0!</v>
      </c>
      <c r="AA56" s="9" t="e">
        <f t="shared" si="3"/>
        <v>#DIV/0!</v>
      </c>
      <c r="AB56" s="9" t="e">
        <f t="shared" si="3"/>
        <v>#DIV/0!</v>
      </c>
      <c r="AC56" s="9" t="e">
        <f t="shared" si="3"/>
        <v>#DIV/0!</v>
      </c>
      <c r="AD56" s="9" t="e">
        <f t="shared" si="3"/>
        <v>#DIV/0!</v>
      </c>
      <c r="AE56" s="9" t="e">
        <f t="shared" si="3"/>
        <v>#DIV/0!</v>
      </c>
      <c r="AF56" s="9" t="e">
        <f t="shared" si="3"/>
        <v>#DIV/0!</v>
      </c>
      <c r="AG56" s="9" t="e">
        <f t="shared" si="3"/>
        <v>#DIV/0!</v>
      </c>
      <c r="AH56" s="9" t="e">
        <f t="shared" si="3"/>
        <v>#DIV/0!</v>
      </c>
      <c r="AI56" s="9" t="e">
        <f t="shared" si="3"/>
        <v>#DIV/0!</v>
      </c>
      <c r="AJ56" s="9" t="e">
        <f t="shared" si="3"/>
        <v>#DIV/0!</v>
      </c>
      <c r="AK56" s="9" t="e">
        <f>AVERAGE(AK6:AK53)</f>
        <v>#DIV/0!</v>
      </c>
    </row>
    <row r="57" spans="1:39" x14ac:dyDescent="0.35">
      <c r="A57" t="s">
        <v>1</v>
      </c>
      <c r="B57" s="3">
        <f>STDEV(B6:B53)</f>
        <v>8.3553760188401327E-2</v>
      </c>
      <c r="C57" s="3">
        <f t="shared" ref="C57:AK57" si="4">STDEV(C6:C53)</f>
        <v>8.0708895321221719E-2</v>
      </c>
      <c r="D57" s="3">
        <f t="shared" si="4"/>
        <v>0.1168183128929445</v>
      </c>
      <c r="E57" s="3">
        <f t="shared" si="4"/>
        <v>0.23321132369737885</v>
      </c>
      <c r="F57" s="3">
        <f t="shared" si="4"/>
        <v>0.61639689606123105</v>
      </c>
      <c r="G57" s="3">
        <f t="shared" si="4"/>
        <v>0.44780977720370579</v>
      </c>
      <c r="H57" s="3">
        <f t="shared" si="4"/>
        <v>0.98622761592823482</v>
      </c>
      <c r="I57" s="3">
        <f t="shared" si="4"/>
        <v>6.0330151299527193E-2</v>
      </c>
      <c r="J57" s="3">
        <f t="shared" si="4"/>
        <v>6.7981623395659344E-2</v>
      </c>
      <c r="K57" s="3">
        <f t="shared" si="4"/>
        <v>8.4816937687642396E-2</v>
      </c>
      <c r="L57" s="3">
        <f t="shared" si="4"/>
        <v>8.8598257762432464E-2</v>
      </c>
      <c r="M57" s="3">
        <f t="shared" si="4"/>
        <v>0.15977572832640638</v>
      </c>
      <c r="N57" s="3"/>
      <c r="O57" s="3">
        <f t="shared" si="4"/>
        <v>0.63832561709935753</v>
      </c>
      <c r="P57" s="3">
        <f t="shared" si="4"/>
        <v>0.61959809985279946</v>
      </c>
      <c r="Q57" s="3">
        <f t="shared" si="4"/>
        <v>7.4527620128777117E-2</v>
      </c>
      <c r="R57" s="3">
        <f t="shared" si="4"/>
        <v>0.55942539796745605</v>
      </c>
      <c r="S57" s="3">
        <f t="shared" si="4"/>
        <v>0.3790389319181458</v>
      </c>
      <c r="T57" s="3">
        <f t="shared" si="4"/>
        <v>0.10249094002413103</v>
      </c>
      <c r="U57" s="3">
        <f t="shared" si="4"/>
        <v>7.7657585640466792E-2</v>
      </c>
      <c r="V57" s="3">
        <f t="shared" si="4"/>
        <v>0.12772765418618598</v>
      </c>
      <c r="W57" s="3" t="e">
        <f t="shared" si="4"/>
        <v>#DIV/0!</v>
      </c>
      <c r="X57" s="3" t="e">
        <f t="shared" si="4"/>
        <v>#DIV/0!</v>
      </c>
      <c r="Y57" s="3" t="e">
        <f t="shared" si="4"/>
        <v>#DIV/0!</v>
      </c>
      <c r="Z57" s="3" t="e">
        <f t="shared" si="4"/>
        <v>#DIV/0!</v>
      </c>
      <c r="AA57" s="3" t="e">
        <f t="shared" si="4"/>
        <v>#DIV/0!</v>
      </c>
      <c r="AB57" s="3" t="e">
        <f t="shared" si="4"/>
        <v>#DIV/0!</v>
      </c>
      <c r="AC57" s="3" t="e">
        <f t="shared" si="4"/>
        <v>#DIV/0!</v>
      </c>
      <c r="AD57" s="3" t="e">
        <f t="shared" si="4"/>
        <v>#DIV/0!</v>
      </c>
      <c r="AE57" s="3" t="e">
        <f t="shared" si="4"/>
        <v>#DIV/0!</v>
      </c>
      <c r="AF57" s="3" t="e">
        <f t="shared" si="4"/>
        <v>#DIV/0!</v>
      </c>
      <c r="AG57" s="3" t="e">
        <f t="shared" si="4"/>
        <v>#DIV/0!</v>
      </c>
      <c r="AH57" s="3" t="e">
        <f t="shared" si="4"/>
        <v>#DIV/0!</v>
      </c>
      <c r="AI57" s="3" t="e">
        <f t="shared" si="4"/>
        <v>#DIV/0!</v>
      </c>
      <c r="AJ57" s="3" t="e">
        <f t="shared" si="4"/>
        <v>#DIV/0!</v>
      </c>
      <c r="AK57" s="3" t="e">
        <f t="shared" si="4"/>
        <v>#DIV/0!</v>
      </c>
      <c r="AL57" s="3"/>
      <c r="AM57" s="3"/>
    </row>
    <row r="58" spans="1:39" x14ac:dyDescent="0.35">
      <c r="A58" t="s">
        <v>2</v>
      </c>
      <c r="B58" s="3">
        <f xml:space="preserve"> B57/SQRT(COUNT(B6:B53))</f>
        <v>1.7422163347949843E-2</v>
      </c>
      <c r="C58" s="3">
        <f t="shared" ref="C58:AK58" si="5" xml:space="preserve"> C57/SQRT(COUNT(C6:C53))</f>
        <v>1.6474634270057822E-2</v>
      </c>
      <c r="D58" s="3">
        <f t="shared" si="5"/>
        <v>2.3845438266708624E-2</v>
      </c>
      <c r="E58" s="3">
        <f t="shared" si="5"/>
        <v>4.8627922512233746E-2</v>
      </c>
      <c r="F58" s="3">
        <f t="shared" si="5"/>
        <v>0.12582148953211453</v>
      </c>
      <c r="G58" s="3">
        <f t="shared" si="5"/>
        <v>9.3374793302659923E-2</v>
      </c>
      <c r="H58" s="3">
        <f t="shared" si="5"/>
        <v>0.20131286910547658</v>
      </c>
      <c r="I58" s="3">
        <f t="shared" si="5"/>
        <v>1.2579706148195582E-2</v>
      </c>
      <c r="J58" s="3">
        <f t="shared" si="5"/>
        <v>1.3876690767118042E-2</v>
      </c>
      <c r="K58" s="3">
        <f t="shared" si="5"/>
        <v>1.7685554064054178E-2</v>
      </c>
      <c r="L58" s="3">
        <f t="shared" si="5"/>
        <v>1.8889212022809625E-2</v>
      </c>
      <c r="M58" s="3">
        <f t="shared" si="5"/>
        <v>3.3315542372522995E-2</v>
      </c>
      <c r="N58" s="3"/>
      <c r="O58" s="3">
        <f t="shared" si="5"/>
        <v>9.2134366715737021E-2</v>
      </c>
      <c r="P58" s="3">
        <f t="shared" si="5"/>
        <v>0.12647493251978165</v>
      </c>
      <c r="Q58" s="3">
        <f t="shared" si="5"/>
        <v>1.5212886754956724E-2</v>
      </c>
      <c r="R58" s="3">
        <f t="shared" si="5"/>
        <v>0.11419223118114009</v>
      </c>
      <c r="S58" s="3">
        <f t="shared" si="5"/>
        <v>7.7370997987415799E-2</v>
      </c>
      <c r="T58" s="3">
        <f t="shared" si="5"/>
        <v>2.1370838305290477E-2</v>
      </c>
      <c r="U58" s="3">
        <f t="shared" si="5"/>
        <v>1.6192725966909037E-2</v>
      </c>
      <c r="V58" s="3">
        <f t="shared" si="5"/>
        <v>2.6072298233234953E-2</v>
      </c>
      <c r="W58" s="3" t="e">
        <f t="shared" si="5"/>
        <v>#DIV/0!</v>
      </c>
      <c r="X58" s="3" t="e">
        <f t="shared" si="5"/>
        <v>#DIV/0!</v>
      </c>
      <c r="Y58" s="3" t="e">
        <f t="shared" si="5"/>
        <v>#DIV/0!</v>
      </c>
      <c r="Z58" s="3" t="e">
        <f t="shared" si="5"/>
        <v>#DIV/0!</v>
      </c>
      <c r="AA58" s="3" t="e">
        <f t="shared" si="5"/>
        <v>#DIV/0!</v>
      </c>
      <c r="AB58" s="3" t="e">
        <f t="shared" si="5"/>
        <v>#DIV/0!</v>
      </c>
      <c r="AC58" s="3" t="e">
        <f t="shared" si="5"/>
        <v>#DIV/0!</v>
      </c>
      <c r="AD58" s="3" t="e">
        <f t="shared" si="5"/>
        <v>#DIV/0!</v>
      </c>
      <c r="AE58" s="3" t="e">
        <f t="shared" si="5"/>
        <v>#DIV/0!</v>
      </c>
      <c r="AF58" s="3" t="e">
        <f t="shared" si="5"/>
        <v>#DIV/0!</v>
      </c>
      <c r="AG58" s="3" t="e">
        <f t="shared" si="5"/>
        <v>#DIV/0!</v>
      </c>
      <c r="AH58" s="3" t="e">
        <f t="shared" si="5"/>
        <v>#DIV/0!</v>
      </c>
      <c r="AI58" s="3" t="e">
        <f t="shared" si="5"/>
        <v>#DIV/0!</v>
      </c>
      <c r="AJ58" s="3" t="e">
        <f t="shared" si="5"/>
        <v>#DIV/0!</v>
      </c>
      <c r="AK58" s="3" t="e">
        <f t="shared" si="5"/>
        <v>#DIV/0!</v>
      </c>
      <c r="AL58" s="3"/>
      <c r="AM58" s="3"/>
    </row>
    <row r="59" spans="1:39" s="1" customFormat="1" ht="15" thickBot="1" x14ac:dyDescent="0.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9" s="49" customFormat="1" ht="26.5" thickBot="1" x14ac:dyDescent="0.4">
      <c r="A60" s="240" t="s">
        <v>46</v>
      </c>
      <c r="B60" s="241"/>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c r="AA60" s="241"/>
      <c r="AB60" s="241"/>
      <c r="AC60" s="241"/>
      <c r="AD60" s="241"/>
      <c r="AE60" s="241"/>
      <c r="AF60" s="241"/>
      <c r="AG60" s="241"/>
      <c r="AH60" s="241"/>
      <c r="AI60" s="241"/>
      <c r="AJ60" s="241"/>
      <c r="AK60" s="242"/>
    </row>
    <row r="61" spans="1:39" s="1" customFormat="1" x14ac:dyDescent="0.3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9" s="1" customFormat="1" x14ac:dyDescent="0.35">
      <c r="A62" s="1" t="s">
        <v>47</v>
      </c>
      <c r="B62" s="3" t="str">
        <f t="shared" ref="B62" si="6">B4</f>
        <v>Témoin solvant</v>
      </c>
      <c r="C62" s="3" t="str">
        <f t="shared" ref="C62:AK62" si="7">C4</f>
        <v>EE2-33,8ng/L</v>
      </c>
      <c r="D62" s="3" t="str">
        <f t="shared" si="7"/>
        <v>EE2-50,6ng/L</v>
      </c>
      <c r="E62" s="3" t="str">
        <f t="shared" si="7"/>
        <v>EE2-76ng/L</v>
      </c>
      <c r="F62" s="3" t="str">
        <f t="shared" si="7"/>
        <v>EE2-114ng/L</v>
      </c>
      <c r="G62" s="3" t="str">
        <f t="shared" si="7"/>
        <v>EE2-170,9ng/L</v>
      </c>
      <c r="H62" s="3" t="str">
        <f t="shared" si="7"/>
        <v>EE2-488ng/L</v>
      </c>
      <c r="I62" s="3" t="str">
        <f t="shared" si="7"/>
        <v>Anastrozole 0,032 ug/L</v>
      </c>
      <c r="J62" s="3" t="str">
        <f t="shared" si="7"/>
        <v>Anastrozole 0,16 ug/L</v>
      </c>
      <c r="K62" s="3" t="str">
        <f t="shared" si="7"/>
        <v>Anastrozole 0,8 ug/L</v>
      </c>
      <c r="L62" s="3" t="str">
        <f t="shared" si="7"/>
        <v>Anastrozole 4 ug/L</v>
      </c>
      <c r="M62" s="3" t="str">
        <f t="shared" si="7"/>
        <v>Anastrozole 20 ug/L</v>
      </c>
      <c r="N62" s="3"/>
      <c r="O62" s="3" t="str">
        <f t="shared" si="7"/>
        <v>Testo -30µg/L</v>
      </c>
      <c r="P62" s="3" t="str">
        <f t="shared" si="7"/>
        <v>Testo 30µg/L + EE2 -64ng/L</v>
      </c>
      <c r="Q62" s="3" t="str">
        <f t="shared" si="7"/>
        <v>Testo 30µg/L + FAD-10mg/L</v>
      </c>
      <c r="R62" s="3" t="str">
        <f t="shared" si="7"/>
        <v>Anastrozole-0,032ug/L + Testostérone</v>
      </c>
      <c r="S62" s="3" t="str">
        <f t="shared" si="7"/>
        <v>Anastrozole-0,16ug/L + Testostérone</v>
      </c>
      <c r="T62" s="3" t="str">
        <f t="shared" si="7"/>
        <v>Anastrozole-0,8ug/L + Testostérone</v>
      </c>
      <c r="U62" s="3" t="str">
        <f t="shared" si="7"/>
        <v>Anastrozole-4ug/L + Testostérone</v>
      </c>
      <c r="V62" s="3" t="str">
        <f t="shared" si="7"/>
        <v>Anastrozole-20ug/L + Testostérone</v>
      </c>
      <c r="W62" s="3" t="str">
        <f t="shared" si="7"/>
        <v>0-00 + Testostérone</v>
      </c>
      <c r="X62" s="3" t="str">
        <f t="shared" si="7"/>
        <v>0-00 + Testostérone</v>
      </c>
      <c r="Y62" s="3" t="str">
        <f t="shared" si="7"/>
        <v>0-00 + Testostérone</v>
      </c>
      <c r="Z62" s="3" t="str">
        <f t="shared" si="7"/>
        <v>0-00 + Testostérone</v>
      </c>
      <c r="AA62" s="3" t="str">
        <f t="shared" si="7"/>
        <v>0-00 + Testostérone</v>
      </c>
      <c r="AB62" s="3" t="str">
        <f t="shared" si="7"/>
        <v>0-00 + Testostérone</v>
      </c>
      <c r="AC62" s="3" t="str">
        <f t="shared" si="7"/>
        <v>0-00 + Testostérone</v>
      </c>
      <c r="AD62" s="3" t="str">
        <f t="shared" si="7"/>
        <v>0-00 + Testostérone</v>
      </c>
      <c r="AE62" s="3" t="str">
        <f t="shared" si="7"/>
        <v>0-00 + Testostérone</v>
      </c>
      <c r="AF62" s="3" t="str">
        <f t="shared" si="7"/>
        <v>0-00 + Testostérone</v>
      </c>
      <c r="AG62" s="3" t="str">
        <f t="shared" si="7"/>
        <v>0-00 + Testostérone</v>
      </c>
      <c r="AH62" s="3" t="str">
        <f t="shared" si="7"/>
        <v>0-00 + Testostérone</v>
      </c>
      <c r="AI62" s="3" t="str">
        <f t="shared" si="7"/>
        <v>0-00 + Testostérone</v>
      </c>
      <c r="AJ62" s="3" t="str">
        <f t="shared" si="7"/>
        <v>0-00 + Testostérone</v>
      </c>
      <c r="AK62" s="3" t="str">
        <f t="shared" si="7"/>
        <v>0-00 + Testostérone</v>
      </c>
    </row>
    <row r="63" spans="1:39" s="1" customFormat="1" x14ac:dyDescent="0.35">
      <c r="A63" s="1" t="s">
        <v>49</v>
      </c>
      <c r="B63" s="3">
        <f>COUNT(B6:B53)</f>
        <v>23</v>
      </c>
      <c r="C63" s="3">
        <f t="shared" ref="C63:AJ63" si="8">COUNT(C6:C53)</f>
        <v>24</v>
      </c>
      <c r="D63" s="3">
        <f t="shared" si="8"/>
        <v>24</v>
      </c>
      <c r="E63" s="3">
        <f t="shared" si="8"/>
        <v>23</v>
      </c>
      <c r="F63" s="3">
        <f t="shared" si="8"/>
        <v>24</v>
      </c>
      <c r="G63" s="3">
        <f t="shared" si="8"/>
        <v>23</v>
      </c>
      <c r="H63" s="3">
        <f t="shared" si="8"/>
        <v>24</v>
      </c>
      <c r="I63" s="3">
        <f t="shared" si="8"/>
        <v>23</v>
      </c>
      <c r="J63" s="3">
        <f t="shared" si="8"/>
        <v>24</v>
      </c>
      <c r="K63" s="3">
        <f t="shared" si="8"/>
        <v>23</v>
      </c>
      <c r="L63" s="3">
        <f t="shared" si="8"/>
        <v>22</v>
      </c>
      <c r="M63" s="3">
        <f t="shared" si="8"/>
        <v>23</v>
      </c>
      <c r="N63" s="3"/>
      <c r="O63" s="3">
        <f t="shared" si="8"/>
        <v>48</v>
      </c>
      <c r="P63" s="3">
        <f t="shared" si="8"/>
        <v>24</v>
      </c>
      <c r="Q63" s="3">
        <f t="shared" si="8"/>
        <v>24</v>
      </c>
      <c r="R63" s="3">
        <f t="shared" si="8"/>
        <v>24</v>
      </c>
      <c r="S63" s="3">
        <f t="shared" si="8"/>
        <v>24</v>
      </c>
      <c r="T63" s="3">
        <f t="shared" si="8"/>
        <v>23</v>
      </c>
      <c r="U63" s="3">
        <f t="shared" si="8"/>
        <v>23</v>
      </c>
      <c r="V63" s="3">
        <f t="shared" si="8"/>
        <v>24</v>
      </c>
      <c r="W63" s="3">
        <f t="shared" si="8"/>
        <v>0</v>
      </c>
      <c r="X63" s="3">
        <f t="shared" si="8"/>
        <v>0</v>
      </c>
      <c r="Y63" s="3">
        <f t="shared" si="8"/>
        <v>0</v>
      </c>
      <c r="Z63" s="3">
        <f t="shared" si="8"/>
        <v>0</v>
      </c>
      <c r="AA63" s="3">
        <f t="shared" si="8"/>
        <v>0</v>
      </c>
      <c r="AB63" s="3">
        <f t="shared" si="8"/>
        <v>0</v>
      </c>
      <c r="AC63" s="3">
        <f t="shared" si="8"/>
        <v>0</v>
      </c>
      <c r="AD63" s="3">
        <f t="shared" si="8"/>
        <v>0</v>
      </c>
      <c r="AE63" s="3">
        <f t="shared" si="8"/>
        <v>0</v>
      </c>
      <c r="AF63" s="3">
        <f t="shared" si="8"/>
        <v>0</v>
      </c>
      <c r="AG63" s="3">
        <f t="shared" si="8"/>
        <v>0</v>
      </c>
      <c r="AH63" s="3">
        <f t="shared" si="8"/>
        <v>0</v>
      </c>
      <c r="AI63" s="3">
        <f t="shared" si="8"/>
        <v>0</v>
      </c>
      <c r="AJ63" s="3">
        <f t="shared" si="8"/>
        <v>0</v>
      </c>
      <c r="AK63" s="3">
        <f>COUNT(AK6:AK53)</f>
        <v>0</v>
      </c>
    </row>
    <row r="64" spans="1:39" s="1" customFormat="1" ht="15" thickBot="1" x14ac:dyDescent="0.4">
      <c r="B64" s="3" t="str">
        <f>IF(B63&gt;=21,"OK","ATTENTION")</f>
        <v>OK</v>
      </c>
      <c r="C64" s="3" t="str">
        <f t="shared" ref="C64:AK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c r="O64" s="3" t="str">
        <f>IF(O63&gt;=41,"OK","ATTENTION")</f>
        <v>OK</v>
      </c>
      <c r="P64" s="3" t="str">
        <f t="shared" si="9"/>
        <v>OK</v>
      </c>
      <c r="Q64" s="3" t="str">
        <f t="shared" si="9"/>
        <v>OK</v>
      </c>
      <c r="R64" s="3" t="str">
        <f t="shared" si="9"/>
        <v>OK</v>
      </c>
      <c r="S64" s="3" t="str">
        <f t="shared" si="9"/>
        <v>OK</v>
      </c>
      <c r="T64" s="3" t="str">
        <f t="shared" si="9"/>
        <v>OK</v>
      </c>
      <c r="U64" s="3" t="str">
        <f t="shared" si="9"/>
        <v>OK</v>
      </c>
      <c r="V64" s="3" t="str">
        <f t="shared" si="9"/>
        <v>OK</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t="str">
        <f t="shared" si="9"/>
        <v>ATTENTION</v>
      </c>
      <c r="AE64" s="3" t="str">
        <f t="shared" si="9"/>
        <v>ATTENTION</v>
      </c>
      <c r="AF64" s="3" t="str">
        <f t="shared" si="9"/>
        <v>ATTENTION</v>
      </c>
      <c r="AG64" s="3" t="str">
        <f t="shared" si="9"/>
        <v>ATTENTION</v>
      </c>
      <c r="AH64" s="3" t="str">
        <f t="shared" si="9"/>
        <v>ATTENTION</v>
      </c>
      <c r="AI64" s="3" t="str">
        <f t="shared" si="9"/>
        <v>ATTENTION</v>
      </c>
      <c r="AJ64" s="3" t="str">
        <f t="shared" si="9"/>
        <v>ATTENTION</v>
      </c>
      <c r="AK64" s="3" t="str">
        <f t="shared" si="9"/>
        <v>ATTENTION</v>
      </c>
    </row>
    <row r="65" spans="1:37" s="49" customFormat="1" ht="26.5" thickBot="1" x14ac:dyDescent="0.4">
      <c r="A65" s="240" t="s">
        <v>58</v>
      </c>
      <c r="B65" s="241"/>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c r="AA65" s="241"/>
      <c r="AB65" s="241"/>
      <c r="AC65" s="241"/>
      <c r="AD65" s="241"/>
      <c r="AE65" s="241"/>
      <c r="AF65" s="241"/>
      <c r="AG65" s="241"/>
      <c r="AH65" s="241"/>
      <c r="AI65" s="241"/>
      <c r="AJ65" s="241"/>
      <c r="AK65" s="242"/>
    </row>
    <row r="66" spans="1:37" s="1" customFormat="1" x14ac:dyDescent="0.35">
      <c r="B66" s="1" t="s">
        <v>61</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s="1" customFormat="1" x14ac:dyDescent="0.35">
      <c r="A67" s="1" t="s">
        <v>59</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s="1" customFormat="1" x14ac:dyDescent="0.35">
      <c r="A68" s="1" t="s">
        <v>62</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s="49" customFormat="1" ht="26.5" thickBot="1" x14ac:dyDescent="0.4">
      <c r="A70" s="240" t="s">
        <v>53</v>
      </c>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c r="AA70" s="241"/>
      <c r="AB70" s="241"/>
      <c r="AC70" s="241"/>
      <c r="AD70" s="241"/>
      <c r="AE70" s="241"/>
      <c r="AF70" s="241"/>
      <c r="AG70" s="241"/>
      <c r="AH70" s="241"/>
      <c r="AI70" s="241"/>
      <c r="AJ70" s="241"/>
      <c r="AK70" s="242"/>
    </row>
    <row r="71" spans="1:37" ht="15" thickBot="1" x14ac:dyDescent="0.4"/>
    <row r="72" spans="1:37" s="49" customFormat="1" ht="26.5" thickBot="1" x14ac:dyDescent="0.4">
      <c r="A72" s="240" t="s">
        <v>54</v>
      </c>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c r="AA72" s="241"/>
      <c r="AB72" s="241"/>
      <c r="AC72" s="241"/>
      <c r="AD72" s="241"/>
      <c r="AE72" s="241"/>
      <c r="AF72" s="241"/>
      <c r="AG72" s="241"/>
      <c r="AH72" s="241"/>
      <c r="AI72" s="241"/>
      <c r="AJ72" s="241"/>
      <c r="AK72" s="242"/>
    </row>
    <row r="73" spans="1:37" ht="15" thickBot="1" x14ac:dyDescent="0.4">
      <c r="J73" s="3">
        <v>1</v>
      </c>
      <c r="K73" s="3">
        <v>2</v>
      </c>
      <c r="L73" s="3">
        <v>3</v>
      </c>
      <c r="M73" s="3">
        <v>4</v>
      </c>
      <c r="R73" s="3">
        <v>1</v>
      </c>
      <c r="S73" s="3">
        <v>2</v>
      </c>
      <c r="T73" s="3">
        <v>3</v>
      </c>
      <c r="U73" s="3">
        <v>4</v>
      </c>
      <c r="V73" s="3">
        <v>5</v>
      </c>
      <c r="W73" s="3">
        <v>1</v>
      </c>
      <c r="X73" s="3">
        <v>2</v>
      </c>
      <c r="Y73" s="3">
        <v>3</v>
      </c>
      <c r="Z73" s="3">
        <v>4</v>
      </c>
      <c r="AA73" s="3">
        <v>5</v>
      </c>
      <c r="AB73" s="3">
        <v>1</v>
      </c>
      <c r="AC73" s="3">
        <v>2</v>
      </c>
      <c r="AD73" s="3">
        <v>3</v>
      </c>
      <c r="AE73" s="3">
        <v>4</v>
      </c>
      <c r="AF73" s="3">
        <v>5</v>
      </c>
      <c r="AG73" s="3">
        <v>1</v>
      </c>
      <c r="AH73" s="3">
        <v>2</v>
      </c>
      <c r="AI73" s="3">
        <v>3</v>
      </c>
      <c r="AJ73" s="3">
        <v>4</v>
      </c>
      <c r="AK73" s="3">
        <v>5</v>
      </c>
    </row>
    <row r="74" spans="1:37" s="1" customFormat="1" x14ac:dyDescent="0.35">
      <c r="A74" s="45" t="s">
        <v>41</v>
      </c>
      <c r="B74" s="46" t="str">
        <f t="shared" ref="B74:M74" si="10">B4</f>
        <v>Témoin solvant</v>
      </c>
      <c r="C74" s="46" t="str">
        <f t="shared" si="10"/>
        <v>EE2-33,8ng/L</v>
      </c>
      <c r="D74" s="46" t="str">
        <f t="shared" si="10"/>
        <v>EE2-50,6ng/L</v>
      </c>
      <c r="E74" s="46" t="str">
        <f t="shared" si="10"/>
        <v>EE2-76ng/L</v>
      </c>
      <c r="F74" s="46" t="str">
        <f t="shared" si="10"/>
        <v>EE2-114ng/L</v>
      </c>
      <c r="G74" s="46" t="str">
        <f t="shared" si="10"/>
        <v>EE2-170,9ng/L</v>
      </c>
      <c r="H74" s="46" t="str">
        <f t="shared" si="10"/>
        <v>EE2-488ng/L</v>
      </c>
      <c r="I74" s="46" t="str">
        <f t="shared" si="10"/>
        <v>Anastrozole 0,032 ug/L</v>
      </c>
      <c r="J74" s="46" t="str">
        <f t="shared" si="10"/>
        <v>Anastrozole 0,16 ug/L</v>
      </c>
      <c r="K74" s="46" t="str">
        <f t="shared" si="10"/>
        <v>Anastrozole 0,8 ug/L</v>
      </c>
      <c r="L74" s="46" t="str">
        <f t="shared" si="10"/>
        <v>Anastrozole 4 ug/L</v>
      </c>
      <c r="M74" s="46" t="str">
        <f t="shared" si="10"/>
        <v>Anastrozole 20 ug/L</v>
      </c>
      <c r="N74" s="46"/>
      <c r="O74" s="46" t="str">
        <f t="shared" ref="O74:AD74" si="11">O4</f>
        <v>Testo -30µg/L</v>
      </c>
      <c r="P74" s="46" t="str">
        <f t="shared" si="11"/>
        <v>Testo 30µg/L + EE2 -64ng/L</v>
      </c>
      <c r="Q74" s="46" t="str">
        <f t="shared" si="11"/>
        <v>Testo 30µg/L + FAD-10mg/L</v>
      </c>
      <c r="R74" s="46" t="str">
        <f t="shared" si="11"/>
        <v>Anastrozole-0,032ug/L + Testostérone</v>
      </c>
      <c r="S74" s="46" t="str">
        <f t="shared" si="11"/>
        <v>Anastrozole-0,16ug/L + Testostérone</v>
      </c>
      <c r="T74" s="46" t="str">
        <f t="shared" si="11"/>
        <v>Anastrozole-0,8ug/L + Testostérone</v>
      </c>
      <c r="U74" s="46" t="str">
        <f t="shared" si="11"/>
        <v>Anastrozole-4ug/L + Testostérone</v>
      </c>
      <c r="V74" s="46" t="str">
        <f t="shared" si="11"/>
        <v>Anastrozole-20ug/L + Testostérone</v>
      </c>
      <c r="W74" s="46" t="str">
        <f t="shared" si="11"/>
        <v>0-00 + Testostérone</v>
      </c>
      <c r="X74" s="46" t="str">
        <f t="shared" si="11"/>
        <v>0-00 + Testostérone</v>
      </c>
      <c r="Y74" s="46" t="str">
        <f t="shared" si="11"/>
        <v>0-00 + Testostérone</v>
      </c>
      <c r="Z74" s="46" t="str">
        <f t="shared" si="11"/>
        <v>0-00 + Testostérone</v>
      </c>
      <c r="AA74" s="46" t="str">
        <f t="shared" si="11"/>
        <v>0-00 + Testostérone</v>
      </c>
      <c r="AB74" s="46" t="str">
        <f t="shared" si="11"/>
        <v>0-00 + Testostérone</v>
      </c>
      <c r="AC74" s="46" t="str">
        <f t="shared" si="11"/>
        <v>0-00 + Testostérone</v>
      </c>
      <c r="AD74" s="46" t="str">
        <f t="shared" si="11"/>
        <v>0-00 + Testostérone</v>
      </c>
      <c r="AE74" s="46" t="str">
        <f t="shared" ref="AE74:AK74" si="12">AE4</f>
        <v>0-00 + Testostérone</v>
      </c>
      <c r="AF74" s="46" t="str">
        <f t="shared" si="12"/>
        <v>0-00 + Testostérone</v>
      </c>
      <c r="AG74" s="46" t="str">
        <f t="shared" si="12"/>
        <v>0-00 + Testostérone</v>
      </c>
      <c r="AH74" s="46" t="str">
        <f t="shared" si="12"/>
        <v>0-00 + Testostérone</v>
      </c>
      <c r="AI74" s="46" t="str">
        <f t="shared" si="12"/>
        <v>0-00 + Testostérone</v>
      </c>
      <c r="AJ74" s="46" t="str">
        <f t="shared" si="12"/>
        <v>0-00 + Testostérone</v>
      </c>
      <c r="AK74" s="46" t="str">
        <f t="shared" si="12"/>
        <v>0-00 + Testostérone</v>
      </c>
    </row>
    <row r="75" spans="1:37" s="3" customFormat="1" x14ac:dyDescent="0.35">
      <c r="A75" s="64" t="s">
        <v>32</v>
      </c>
      <c r="B75" s="145">
        <f>B56</f>
        <v>7.6653964865881011E-2</v>
      </c>
      <c r="C75" s="145">
        <f t="shared" ref="C75:AK75" si="13">C56</f>
        <v>6.1082731371285004E-2</v>
      </c>
      <c r="D75" s="145">
        <f t="shared" si="13"/>
        <v>0.10206106007746568</v>
      </c>
      <c r="E75" s="145">
        <f t="shared" si="13"/>
        <v>0.2568140948704023</v>
      </c>
      <c r="F75" s="145">
        <f t="shared" si="13"/>
        <v>0.85662103446431637</v>
      </c>
      <c r="G75" s="145">
        <f t="shared" si="13"/>
        <v>1.5548210075144957</v>
      </c>
      <c r="H75" s="145">
        <f t="shared" si="13"/>
        <v>2.4007651502100038</v>
      </c>
      <c r="I75" s="145">
        <f t="shared" si="13"/>
        <v>8.0315530839596805E-2</v>
      </c>
      <c r="J75" s="145">
        <f t="shared" si="13"/>
        <v>8.5623641613368481E-2</v>
      </c>
      <c r="K75" s="145">
        <f t="shared" si="13"/>
        <v>0.10928532978426031</v>
      </c>
      <c r="L75" s="145">
        <f t="shared" si="13"/>
        <v>7.5198074270760182E-2</v>
      </c>
      <c r="M75" s="145">
        <f t="shared" si="13"/>
        <v>0.13141937346820257</v>
      </c>
      <c r="N75" s="145"/>
      <c r="O75" s="145">
        <f t="shared" si="13"/>
        <v>0.99999999999999967</v>
      </c>
      <c r="P75" s="145">
        <f t="shared" si="13"/>
        <v>1.4575563765153647</v>
      </c>
      <c r="Q75" s="145">
        <f t="shared" si="13"/>
        <v>8.7289232838518527E-2</v>
      </c>
      <c r="R75" s="145">
        <f t="shared" si="13"/>
        <v>0.76682460887786197</v>
      </c>
      <c r="S75" s="145">
        <f t="shared" si="13"/>
        <v>0.47498217465427256</v>
      </c>
      <c r="T75" s="145">
        <f t="shared" si="13"/>
        <v>9.9037053561087746E-2</v>
      </c>
      <c r="U75" s="145">
        <f t="shared" si="13"/>
        <v>9.1961749471850457E-2</v>
      </c>
      <c r="V75" s="145">
        <f t="shared" si="13"/>
        <v>0.10640107205144513</v>
      </c>
      <c r="W75" s="145" t="e">
        <f t="shared" si="13"/>
        <v>#DIV/0!</v>
      </c>
      <c r="X75" s="145" t="e">
        <f t="shared" si="13"/>
        <v>#DIV/0!</v>
      </c>
      <c r="Y75" s="145" t="e">
        <f t="shared" si="13"/>
        <v>#DIV/0!</v>
      </c>
      <c r="Z75" s="145" t="e">
        <f t="shared" si="13"/>
        <v>#DIV/0!</v>
      </c>
      <c r="AA75" s="145" t="e">
        <f t="shared" si="13"/>
        <v>#DIV/0!</v>
      </c>
      <c r="AB75" s="145" t="e">
        <f t="shared" si="13"/>
        <v>#DIV/0!</v>
      </c>
      <c r="AC75" s="145" t="e">
        <f t="shared" si="13"/>
        <v>#DIV/0!</v>
      </c>
      <c r="AD75" s="145" t="e">
        <f t="shared" si="13"/>
        <v>#DIV/0!</v>
      </c>
      <c r="AE75" s="145" t="e">
        <f t="shared" si="13"/>
        <v>#DIV/0!</v>
      </c>
      <c r="AF75" s="145" t="e">
        <f t="shared" si="13"/>
        <v>#DIV/0!</v>
      </c>
      <c r="AG75" s="145" t="e">
        <f t="shared" si="13"/>
        <v>#DIV/0!</v>
      </c>
      <c r="AH75" s="145" t="e">
        <f t="shared" si="13"/>
        <v>#DIV/0!</v>
      </c>
      <c r="AI75" s="145" t="e">
        <f t="shared" si="13"/>
        <v>#DIV/0!</v>
      </c>
      <c r="AJ75" s="145" t="e">
        <f t="shared" si="13"/>
        <v>#DIV/0!</v>
      </c>
      <c r="AK75" s="145" t="e">
        <f t="shared" si="13"/>
        <v>#DIV/0!</v>
      </c>
    </row>
    <row r="76" spans="1:37" s="3" customFormat="1" x14ac:dyDescent="0.35">
      <c r="A76" s="64" t="s">
        <v>2</v>
      </c>
      <c r="B76" s="145">
        <f>B58</f>
        <v>1.7422163347949843E-2</v>
      </c>
      <c r="C76" s="145">
        <f t="shared" ref="C76:AK76" si="14">C58</f>
        <v>1.6474634270057822E-2</v>
      </c>
      <c r="D76" s="145">
        <f t="shared" si="14"/>
        <v>2.3845438266708624E-2</v>
      </c>
      <c r="E76" s="145">
        <f t="shared" si="14"/>
        <v>4.8627922512233746E-2</v>
      </c>
      <c r="F76" s="145">
        <f t="shared" si="14"/>
        <v>0.12582148953211453</v>
      </c>
      <c r="G76" s="145">
        <f t="shared" si="14"/>
        <v>9.3374793302659923E-2</v>
      </c>
      <c r="H76" s="145">
        <f t="shared" si="14"/>
        <v>0.20131286910547658</v>
      </c>
      <c r="I76" s="145">
        <f t="shared" si="14"/>
        <v>1.2579706148195582E-2</v>
      </c>
      <c r="J76" s="145">
        <f t="shared" si="14"/>
        <v>1.3876690767118042E-2</v>
      </c>
      <c r="K76" s="145">
        <f t="shared" si="14"/>
        <v>1.7685554064054178E-2</v>
      </c>
      <c r="L76" s="145">
        <f t="shared" si="14"/>
        <v>1.8889212022809625E-2</v>
      </c>
      <c r="M76" s="145">
        <f t="shared" si="14"/>
        <v>3.3315542372522995E-2</v>
      </c>
      <c r="N76" s="145"/>
      <c r="O76" s="145">
        <f t="shared" si="14"/>
        <v>9.2134366715737021E-2</v>
      </c>
      <c r="P76" s="145">
        <f t="shared" si="14"/>
        <v>0.12647493251978165</v>
      </c>
      <c r="Q76" s="145">
        <f t="shared" si="14"/>
        <v>1.5212886754956724E-2</v>
      </c>
      <c r="R76" s="145">
        <f t="shared" si="14"/>
        <v>0.11419223118114009</v>
      </c>
      <c r="S76" s="145">
        <f t="shared" si="14"/>
        <v>7.7370997987415799E-2</v>
      </c>
      <c r="T76" s="145">
        <f t="shared" si="14"/>
        <v>2.1370838305290477E-2</v>
      </c>
      <c r="U76" s="145">
        <f t="shared" si="14"/>
        <v>1.6192725966909037E-2</v>
      </c>
      <c r="V76" s="145">
        <f t="shared" si="14"/>
        <v>2.6072298233234953E-2</v>
      </c>
      <c r="W76" s="145" t="e">
        <f t="shared" si="14"/>
        <v>#DIV/0!</v>
      </c>
      <c r="X76" s="145" t="e">
        <f t="shared" si="14"/>
        <v>#DIV/0!</v>
      </c>
      <c r="Y76" s="145" t="e">
        <f t="shared" si="14"/>
        <v>#DIV/0!</v>
      </c>
      <c r="Z76" s="145" t="e">
        <f t="shared" si="14"/>
        <v>#DIV/0!</v>
      </c>
      <c r="AA76" s="145" t="e">
        <f t="shared" si="14"/>
        <v>#DIV/0!</v>
      </c>
      <c r="AB76" s="145" t="e">
        <f t="shared" si="14"/>
        <v>#DIV/0!</v>
      </c>
      <c r="AC76" s="145" t="e">
        <f t="shared" si="14"/>
        <v>#DIV/0!</v>
      </c>
      <c r="AD76" s="145" t="e">
        <f t="shared" si="14"/>
        <v>#DIV/0!</v>
      </c>
      <c r="AE76" s="145" t="e">
        <f t="shared" si="14"/>
        <v>#DIV/0!</v>
      </c>
      <c r="AF76" s="145" t="e">
        <f t="shared" si="14"/>
        <v>#DIV/0!</v>
      </c>
      <c r="AG76" s="145" t="e">
        <f t="shared" si="14"/>
        <v>#DIV/0!</v>
      </c>
      <c r="AH76" s="145" t="e">
        <f t="shared" si="14"/>
        <v>#DIV/0!</v>
      </c>
      <c r="AI76" s="145" t="e">
        <f t="shared" si="14"/>
        <v>#DIV/0!</v>
      </c>
      <c r="AJ76" s="145" t="e">
        <f t="shared" si="14"/>
        <v>#DIV/0!</v>
      </c>
      <c r="AK76" s="145" t="e">
        <f t="shared" si="14"/>
        <v>#DIV/0!</v>
      </c>
    </row>
    <row r="77" spans="1:37" s="3" customFormat="1" x14ac:dyDescent="0.35">
      <c r="A77" s="64" t="s">
        <v>79</v>
      </c>
      <c r="B77" s="145">
        <f>(B75*100/$B$75)-100</f>
        <v>0</v>
      </c>
      <c r="C77" s="145">
        <f t="shared" ref="C77:M77" si="15">(C75*100/$B$75)-100</f>
        <v>-20.313670038908612</v>
      </c>
      <c r="D77" s="145">
        <f t="shared" si="15"/>
        <v>33.145180756192644</v>
      </c>
      <c r="E77" s="145">
        <f t="shared" si="15"/>
        <v>235.03041273826045</v>
      </c>
      <c r="F77" s="145">
        <f t="shared" si="15"/>
        <v>1017.5169294414436</v>
      </c>
      <c r="G77" s="145">
        <f t="shared" si="15"/>
        <v>1928.3634515643337</v>
      </c>
      <c r="H77" s="145">
        <f t="shared" si="15"/>
        <v>3031.9516927931199</v>
      </c>
      <c r="I77" s="145">
        <f t="shared" si="15"/>
        <v>4.7767470086150468</v>
      </c>
      <c r="J77" s="145">
        <f t="shared" si="15"/>
        <v>11.70151702287211</v>
      </c>
      <c r="K77" s="145">
        <f t="shared" si="15"/>
        <v>42.569702657225037</v>
      </c>
      <c r="L77" s="145">
        <f t="shared" si="15"/>
        <v>-1.8993024009497077</v>
      </c>
      <c r="M77" s="145">
        <f t="shared" si="15"/>
        <v>71.444978349316756</v>
      </c>
      <c r="N77" s="145"/>
      <c r="O77" s="145">
        <f>(O75*100/$O$75)-100</f>
        <v>0</v>
      </c>
      <c r="P77" s="145">
        <f t="shared" ref="P77:AK77" si="16">(P75*100/$O$75)-100</f>
        <v>45.755637651536517</v>
      </c>
      <c r="Q77" s="145">
        <f t="shared" si="16"/>
        <v>-91.271076716148144</v>
      </c>
      <c r="R77" s="145">
        <f t="shared" si="16"/>
        <v>-23.31753911221378</v>
      </c>
      <c r="S77" s="145">
        <f t="shared" si="16"/>
        <v>-52.501782534572733</v>
      </c>
      <c r="T77" s="145">
        <f t="shared" si="16"/>
        <v>-90.096294643891227</v>
      </c>
      <c r="U77" s="145">
        <f t="shared" si="16"/>
        <v>-90.803825052814943</v>
      </c>
      <c r="V77" s="145">
        <f t="shared" si="16"/>
        <v>-89.359892794855483</v>
      </c>
      <c r="W77" s="145" t="e">
        <f t="shared" si="16"/>
        <v>#DIV/0!</v>
      </c>
      <c r="X77" s="145" t="e">
        <f t="shared" si="16"/>
        <v>#DIV/0!</v>
      </c>
      <c r="Y77" s="145" t="e">
        <f t="shared" si="16"/>
        <v>#DIV/0!</v>
      </c>
      <c r="Z77" s="145" t="e">
        <f t="shared" si="16"/>
        <v>#DIV/0!</v>
      </c>
      <c r="AA77" s="145" t="e">
        <f t="shared" si="16"/>
        <v>#DIV/0!</v>
      </c>
      <c r="AB77" s="145" t="e">
        <f t="shared" si="16"/>
        <v>#DIV/0!</v>
      </c>
      <c r="AC77" s="145" t="e">
        <f t="shared" si="16"/>
        <v>#DIV/0!</v>
      </c>
      <c r="AD77" s="145" t="e">
        <f t="shared" si="16"/>
        <v>#DIV/0!</v>
      </c>
      <c r="AE77" s="145" t="e">
        <f t="shared" si="16"/>
        <v>#DIV/0!</v>
      </c>
      <c r="AF77" s="145" t="e">
        <f t="shared" si="16"/>
        <v>#DIV/0!</v>
      </c>
      <c r="AG77" s="145" t="e">
        <f t="shared" si="16"/>
        <v>#DIV/0!</v>
      </c>
      <c r="AH77" s="145" t="e">
        <f t="shared" si="16"/>
        <v>#DIV/0!</v>
      </c>
      <c r="AI77" s="145" t="e">
        <f t="shared" si="16"/>
        <v>#DIV/0!</v>
      </c>
      <c r="AJ77" s="145" t="e">
        <f t="shared" si="16"/>
        <v>#DIV/0!</v>
      </c>
      <c r="AK77" s="145" t="e">
        <f t="shared" si="16"/>
        <v>#DIV/0!</v>
      </c>
    </row>
    <row r="78" spans="1:37" s="3" customFormat="1" x14ac:dyDescent="0.35">
      <c r="A78" s="64" t="s">
        <v>81</v>
      </c>
      <c r="B78" s="145">
        <f>[1]!DPTEST(B6:B53)</f>
        <v>8.8782656534946991E-4</v>
      </c>
      <c r="C78" s="145">
        <f>[1]!DPTEST(C6:C53)</f>
        <v>2.6811874942467284E-10</v>
      </c>
      <c r="D78" s="145">
        <f>[1]!DPTEST(D6:D53)</f>
        <v>1.9064389700229611E-6</v>
      </c>
      <c r="E78" s="145">
        <f>[1]!DPTEST(E6:E53)</f>
        <v>8.6268757888633196E-2</v>
      </c>
      <c r="F78" s="145">
        <f>[1]!DPTEST(F6:F53)</f>
        <v>1.4602787765374936E-2</v>
      </c>
      <c r="G78" s="145">
        <f>[1]!DPTEST(G6:G53)</f>
        <v>0.47936219808148406</v>
      </c>
      <c r="H78" s="145">
        <f>[1]!DPTEST(H6:H53)</f>
        <v>0.46386885909649211</v>
      </c>
      <c r="I78" s="145">
        <f>[1]!DPTEST(I6:I53)</f>
        <v>9.4081309284031578E-2</v>
      </c>
      <c r="J78" s="145">
        <f>[1]!DPTEST(J6:J53)</f>
        <v>1.4250665407447238E-2</v>
      </c>
      <c r="K78" s="145">
        <f>[1]!DPTEST(K6:K53)</f>
        <v>2.3258644758564762E-3</v>
      </c>
      <c r="L78" s="145">
        <f>[1]!DPTEST(L6:L53)</f>
        <v>1.1190898174806563E-7</v>
      </c>
      <c r="M78" s="145">
        <f>[1]!DPTEST(M6:M53)</f>
        <v>1.0523451016841712E-4</v>
      </c>
      <c r="N78" s="145"/>
      <c r="O78" s="145">
        <f>[1]!DPTEST(O6:O53)</f>
        <v>0.53973227743809638</v>
      </c>
      <c r="P78" s="145">
        <f>[1]!DPTEST(P6:P53)</f>
        <v>0.46207420153143952</v>
      </c>
      <c r="Q78" s="145">
        <f>[1]!DPTEST(Q6:Q53)</f>
        <v>0.26273514000119191</v>
      </c>
      <c r="R78" s="145">
        <f>[1]!DPTEST(R6:R53)</f>
        <v>1.0455555136092309E-2</v>
      </c>
      <c r="S78" s="145">
        <f>[1]!DPTEST(S6:S53)</f>
        <v>0.42434772795081399</v>
      </c>
      <c r="T78" s="145">
        <f>[1]!DPTEST(T6:T53)</f>
        <v>1.1038629260551325E-5</v>
      </c>
      <c r="U78" s="145">
        <f>[1]!DPTEST(U6:U53)</f>
        <v>5.7140982682496011E-2</v>
      </c>
      <c r="V78" s="145">
        <f>[1]!DPTEST(V6:V53)</f>
        <v>4.8395337737261457E-9</v>
      </c>
      <c r="W78" s="145" t="e">
        <f ca="1">[2]!DPTEST(W6:W53)</f>
        <v>#NAME?</v>
      </c>
      <c r="X78" s="145" t="e">
        <f ca="1">[2]!DPTEST(X6:X53)</f>
        <v>#NAME?</v>
      </c>
      <c r="Y78" s="145" t="e">
        <f ca="1">[2]!DPTEST(Y6:Y53)</f>
        <v>#NAME?</v>
      </c>
      <c r="Z78" s="145" t="e">
        <f ca="1">[2]!DPTEST(Z6:Z53)</f>
        <v>#NAME?</v>
      </c>
      <c r="AA78" s="145" t="e">
        <f ca="1">[2]!DPTEST(AA6:AA53)</f>
        <v>#NAME?</v>
      </c>
      <c r="AB78" s="145" t="e">
        <f ca="1">[2]!DPTEST(AB6:AB53)</f>
        <v>#NAME?</v>
      </c>
      <c r="AC78" s="145" t="e">
        <f ca="1">[2]!DPTEST(AC6:AC53)</f>
        <v>#NAME?</v>
      </c>
      <c r="AD78" s="145" t="e">
        <f ca="1">[2]!DPTEST(AD6:AD53)</f>
        <v>#NAME?</v>
      </c>
      <c r="AE78" s="145" t="e">
        <f ca="1">[2]!DPTEST(AE6:AE53)</f>
        <v>#NAME?</v>
      </c>
      <c r="AF78" s="145" t="e">
        <f ca="1">[2]!DPTEST(AF6:AF53)</f>
        <v>#NAME?</v>
      </c>
      <c r="AG78" s="145" t="e">
        <f ca="1">[2]!DPTEST(AG6:AG53)</f>
        <v>#NAME?</v>
      </c>
      <c r="AH78" s="145" t="e">
        <f ca="1">[2]!DPTEST(AH6:AH53)</f>
        <v>#NAME?</v>
      </c>
      <c r="AI78" s="145" t="e">
        <f ca="1">[2]!DPTEST(AI6:AI53)</f>
        <v>#NAME?</v>
      </c>
      <c r="AJ78" s="145" t="e">
        <f ca="1">[2]!DPTEST(AJ6:AJ53)</f>
        <v>#NAME?</v>
      </c>
      <c r="AK78" s="145" t="e">
        <f ca="1">[2]!DPTEST(AK6:AK53)</f>
        <v>#NAME?</v>
      </c>
    </row>
    <row r="79" spans="1:37" s="3" customFormat="1" x14ac:dyDescent="0.35">
      <c r="A79" s="64" t="s">
        <v>85</v>
      </c>
      <c r="B79" s="145" t="str">
        <f>IF(B78&gt;0.05,"Oui","Non")</f>
        <v>Non</v>
      </c>
      <c r="C79" s="145" t="str">
        <f t="shared" ref="C79:AK79" si="17">IF(C78&gt;0.05,"Oui","Non")</f>
        <v>Non</v>
      </c>
      <c r="D79" s="145" t="str">
        <f t="shared" si="17"/>
        <v>Non</v>
      </c>
      <c r="E79" s="145" t="str">
        <f t="shared" si="17"/>
        <v>Oui</v>
      </c>
      <c r="F79" s="145" t="str">
        <f t="shared" si="17"/>
        <v>Non</v>
      </c>
      <c r="G79" s="145" t="str">
        <f t="shared" si="17"/>
        <v>Oui</v>
      </c>
      <c r="H79" s="145" t="str">
        <f t="shared" si="17"/>
        <v>Oui</v>
      </c>
      <c r="I79" s="145" t="str">
        <f t="shared" si="17"/>
        <v>Oui</v>
      </c>
      <c r="J79" s="145" t="str">
        <f t="shared" si="17"/>
        <v>Non</v>
      </c>
      <c r="K79" s="145" t="str">
        <f t="shared" si="17"/>
        <v>Non</v>
      </c>
      <c r="L79" s="145" t="str">
        <f t="shared" si="17"/>
        <v>Non</v>
      </c>
      <c r="M79" s="145" t="str">
        <f t="shared" si="17"/>
        <v>Non</v>
      </c>
      <c r="N79" s="145"/>
      <c r="O79" s="145" t="str">
        <f t="shared" si="17"/>
        <v>Oui</v>
      </c>
      <c r="P79" s="145" t="str">
        <f t="shared" si="17"/>
        <v>Oui</v>
      </c>
      <c r="Q79" s="145" t="str">
        <f t="shared" si="17"/>
        <v>Oui</v>
      </c>
      <c r="R79" s="145" t="str">
        <f t="shared" si="17"/>
        <v>Non</v>
      </c>
      <c r="S79" s="145" t="str">
        <f t="shared" si="17"/>
        <v>Oui</v>
      </c>
      <c r="T79" s="145" t="str">
        <f t="shared" si="17"/>
        <v>Non</v>
      </c>
      <c r="U79" s="145" t="str">
        <f t="shared" si="17"/>
        <v>Oui</v>
      </c>
      <c r="V79" s="145" t="str">
        <f t="shared" si="17"/>
        <v>Non</v>
      </c>
      <c r="W79" s="145" t="e">
        <f t="shared" ca="1" si="17"/>
        <v>#NAME?</v>
      </c>
      <c r="X79" s="145" t="e">
        <f t="shared" ca="1" si="17"/>
        <v>#NAME?</v>
      </c>
      <c r="Y79" s="145" t="e">
        <f t="shared" ca="1" si="17"/>
        <v>#NAME?</v>
      </c>
      <c r="Z79" s="145" t="e">
        <f t="shared" ca="1" si="17"/>
        <v>#NAME?</v>
      </c>
      <c r="AA79" s="145" t="e">
        <f t="shared" ca="1" si="17"/>
        <v>#NAME?</v>
      </c>
      <c r="AB79" s="145" t="e">
        <f t="shared" ca="1" si="17"/>
        <v>#NAME?</v>
      </c>
      <c r="AC79" s="145" t="e">
        <f t="shared" ca="1" si="17"/>
        <v>#NAME?</v>
      </c>
      <c r="AD79" s="145" t="e">
        <f t="shared" ca="1" si="17"/>
        <v>#NAME?</v>
      </c>
      <c r="AE79" s="145" t="e">
        <f t="shared" ca="1" si="17"/>
        <v>#NAME?</v>
      </c>
      <c r="AF79" s="145" t="e">
        <f t="shared" ca="1" si="17"/>
        <v>#NAME?</v>
      </c>
      <c r="AG79" s="145" t="e">
        <f t="shared" ca="1" si="17"/>
        <v>#NAME?</v>
      </c>
      <c r="AH79" s="145" t="e">
        <f t="shared" ca="1" si="17"/>
        <v>#NAME?</v>
      </c>
      <c r="AI79" s="145" t="e">
        <f t="shared" ca="1" si="17"/>
        <v>#NAME?</v>
      </c>
      <c r="AJ79" s="145" t="e">
        <f t="shared" ca="1" si="17"/>
        <v>#NAME?</v>
      </c>
      <c r="AK79" s="145" t="e">
        <f t="shared" ca="1" si="17"/>
        <v>#NAME?</v>
      </c>
    </row>
    <row r="80" spans="1:37" s="3" customFormat="1" x14ac:dyDescent="0.35">
      <c r="A80" s="64" t="s">
        <v>122</v>
      </c>
      <c r="B80" s="145" t="str">
        <f>IF(COUNTIF(B79:I79, "Non")=0, "Oui","Non")</f>
        <v>Non</v>
      </c>
      <c r="C80" s="145"/>
      <c r="D80" s="145"/>
      <c r="E80" s="145"/>
      <c r="F80" s="145"/>
      <c r="G80" s="145"/>
      <c r="H80" s="145"/>
      <c r="I80" s="145"/>
      <c r="J80" s="145" t="str">
        <f>IF(COUNTIF(J79:M79, "Non")&gt;0, "Oui","Non")</f>
        <v>Oui</v>
      </c>
      <c r="K80" s="145"/>
      <c r="L80" s="145"/>
      <c r="M80" s="145"/>
      <c r="N80" s="145"/>
      <c r="O80" s="145"/>
      <c r="P80" s="145"/>
      <c r="Q80" s="145"/>
      <c r="R80" s="145" t="str">
        <f>IF(COUNTIF(R79:V79, "Non")&gt;0, "Oui","Non")</f>
        <v>Oui</v>
      </c>
      <c r="S80" s="145"/>
      <c r="T80" s="145"/>
      <c r="U80" s="145"/>
      <c r="V80" s="145"/>
      <c r="W80" s="145" t="str">
        <f ca="1">IF(COUNTIF(W79:AA79, "Non")&gt;0, "Oui","Non")</f>
        <v>Non</v>
      </c>
      <c r="X80" s="145"/>
      <c r="Y80" s="145"/>
      <c r="Z80" s="145"/>
      <c r="AA80" s="145"/>
      <c r="AB80" s="145" t="str">
        <f ca="1">IF(COUNTIF(AB79:AF79, "Non")&gt;0, "Oui","Non")</f>
        <v>Non</v>
      </c>
      <c r="AC80" s="145"/>
      <c r="AD80" s="145"/>
      <c r="AE80" s="145"/>
      <c r="AF80" s="145"/>
      <c r="AG80" s="145" t="str">
        <f ca="1">IF(COUNTIF(AG79:AK79, "Non")&gt;0, "Oui","Non")</f>
        <v>Non</v>
      </c>
      <c r="AH80" s="145"/>
      <c r="AI80" s="145"/>
      <c r="AJ80" s="145"/>
      <c r="AK80" s="145"/>
    </row>
    <row r="81" spans="1:37" s="3" customFormat="1" x14ac:dyDescent="0.35">
      <c r="A81" s="64" t="s">
        <v>82</v>
      </c>
      <c r="B81" s="145"/>
      <c r="C81" s="145" t="str">
        <f t="shared" ref="C81:M81" si="18">IF($B80="Non","Kruskal-Wallis","ANOVA")</f>
        <v>Kruskal-Wallis</v>
      </c>
      <c r="D81" s="145" t="str">
        <f t="shared" si="18"/>
        <v>Kruskal-Wallis</v>
      </c>
      <c r="E81" s="145" t="str">
        <f t="shared" si="18"/>
        <v>Kruskal-Wallis</v>
      </c>
      <c r="F81" s="145" t="str">
        <f t="shared" si="18"/>
        <v>Kruskal-Wallis</v>
      </c>
      <c r="G81" s="145" t="str">
        <f t="shared" si="18"/>
        <v>Kruskal-Wallis</v>
      </c>
      <c r="H81" s="145" t="str">
        <f t="shared" si="18"/>
        <v>Kruskal-Wallis</v>
      </c>
      <c r="I81" s="145" t="str">
        <f t="shared" si="18"/>
        <v>Kruskal-Wallis</v>
      </c>
      <c r="J81" s="145" t="str">
        <f t="shared" si="18"/>
        <v>Kruskal-Wallis</v>
      </c>
      <c r="K81" s="145" t="str">
        <f t="shared" si="18"/>
        <v>Kruskal-Wallis</v>
      </c>
      <c r="L81" s="145" t="str">
        <f t="shared" si="18"/>
        <v>Kruskal-Wallis</v>
      </c>
      <c r="M81" s="145" t="str">
        <f t="shared" si="18"/>
        <v>Kruskal-Wallis</v>
      </c>
      <c r="N81" s="145"/>
      <c r="O81" s="145" t="str">
        <f>IF($B79="Non",IF(O79="Non","Mann Withney",IF(O79="Oui","Mann Withney","")),IF($B79="Oui",IF(O79="Oui","T-Test Welch",IF(O79="Non","Mann Withney",""))))</f>
        <v>Mann Withney</v>
      </c>
      <c r="P81" s="145" t="str">
        <f t="shared" ref="P81:AK81" si="19">IF($O79="Non",IF(P79="Non","Mann Withney",IF(P$79="Oui","Mann Withney","")),IF($O79="Oui",IF(P79="Oui","T-Test Welch",IF(P79="Non","Mann Withney",""))))</f>
        <v>T-Test Welch</v>
      </c>
      <c r="Q81" s="145" t="str">
        <f t="shared" si="19"/>
        <v>T-Test Welch</v>
      </c>
      <c r="R81" s="145" t="s">
        <v>4316</v>
      </c>
      <c r="S81" s="145" t="s">
        <v>4316</v>
      </c>
      <c r="T81" s="145" t="s">
        <v>4316</v>
      </c>
      <c r="U81" s="145" t="s">
        <v>4316</v>
      </c>
      <c r="V81" s="145" t="s">
        <v>4316</v>
      </c>
      <c r="W81" s="145" t="e">
        <f t="shared" ca="1" si="19"/>
        <v>#NAME?</v>
      </c>
      <c r="X81" s="145" t="e">
        <f t="shared" ca="1" si="19"/>
        <v>#NAME?</v>
      </c>
      <c r="Y81" s="145" t="e">
        <f t="shared" ca="1" si="19"/>
        <v>#NAME?</v>
      </c>
      <c r="Z81" s="145" t="e">
        <f t="shared" ca="1" si="19"/>
        <v>#NAME?</v>
      </c>
      <c r="AA81" s="145" t="e">
        <f t="shared" ca="1" si="19"/>
        <v>#NAME?</v>
      </c>
      <c r="AB81" s="145" t="e">
        <f t="shared" ca="1" si="19"/>
        <v>#NAME?</v>
      </c>
      <c r="AC81" s="145" t="e">
        <f t="shared" ca="1" si="19"/>
        <v>#NAME?</v>
      </c>
      <c r="AD81" s="145" t="e">
        <f t="shared" ca="1" si="19"/>
        <v>#NAME?</v>
      </c>
      <c r="AE81" s="145" t="e">
        <f t="shared" ca="1" si="19"/>
        <v>#NAME?</v>
      </c>
      <c r="AF81" s="145" t="e">
        <f t="shared" ca="1" si="19"/>
        <v>#NAME?</v>
      </c>
      <c r="AG81" s="145" t="e">
        <f t="shared" ca="1" si="19"/>
        <v>#NAME?</v>
      </c>
      <c r="AH81" s="145" t="e">
        <f t="shared" ca="1" si="19"/>
        <v>#NAME?</v>
      </c>
      <c r="AI81" s="145" t="e">
        <f t="shared" ca="1" si="19"/>
        <v>#NAME?</v>
      </c>
      <c r="AJ81" s="145" t="e">
        <f t="shared" ca="1" si="19"/>
        <v>#NAME?</v>
      </c>
      <c r="AK81" s="145" t="e">
        <f t="shared" ca="1" si="19"/>
        <v>#NAME?</v>
      </c>
    </row>
    <row r="82" spans="1:37" s="3" customFormat="1" x14ac:dyDescent="0.35">
      <c r="A82" s="64" t="s">
        <v>83</v>
      </c>
      <c r="B82" s="145"/>
      <c r="C82" s="203">
        <v>0.99990000000000001</v>
      </c>
      <c r="D82" s="203">
        <v>0.99990000000000001</v>
      </c>
      <c r="E82" s="203">
        <v>0.2268</v>
      </c>
      <c r="F82" s="203">
        <v>1E-4</v>
      </c>
      <c r="G82" s="203">
        <v>1E-4</v>
      </c>
      <c r="H82" s="203">
        <v>1E-4</v>
      </c>
      <c r="I82" s="203">
        <v>0.99990000000000001</v>
      </c>
      <c r="J82" s="203">
        <v>0.99990000000000001</v>
      </c>
      <c r="K82" s="203">
        <v>0.19980000000000001</v>
      </c>
      <c r="L82" s="203">
        <v>0.99990000000000001</v>
      </c>
      <c r="M82" s="203">
        <v>0.82779999999999998</v>
      </c>
      <c r="N82" s="145"/>
      <c r="O82" s="203">
        <v>1E-4</v>
      </c>
      <c r="P82" s="145">
        <f>IF(P81="Mann Withney",[2]!MTEST($O6:$O53,P6:P53,2), IF(P81="T-Test Welch",_xlfn.T.TEST($O6:$O53,P6:P53,2,3),""))</f>
        <v>5.2850419698581563E-3</v>
      </c>
      <c r="Q82" s="203">
        <v>1E-4</v>
      </c>
      <c r="R82" s="203">
        <v>0.99990000000000001</v>
      </c>
      <c r="S82" s="203">
        <v>0.03</v>
      </c>
      <c r="T82" s="203">
        <v>1E-4</v>
      </c>
      <c r="U82" s="203">
        <v>1E-4</v>
      </c>
      <c r="V82" s="203">
        <v>1E-4</v>
      </c>
      <c r="W82" s="145" t="e">
        <f ca="1">IF(W81="Mann Withney",[2]!MTEST($O6:$O53,W6:W53,2), IF(W81="T-Test Welch",_xlfn.T.TEST($O6:$O53,W6:W53,2,3),""))</f>
        <v>#NAME?</v>
      </c>
      <c r="X82" s="145" t="e">
        <f ca="1">IF(X81="Mann Withney",[2]!MTEST($O6:$O53,X6:X53,2), IF(X81="T-Test Welch",_xlfn.T.TEST($O6:$O53,X6:X53,2,3),""))</f>
        <v>#NAME?</v>
      </c>
      <c r="Y82" s="145" t="e">
        <f ca="1">IF(Y81="Mann Withney",[2]!MTEST($O6:$O53,Y6:Y53,2), IF(Y81="T-Test Welch",_xlfn.T.TEST($O6:$O53,Y6:Y53,2,3),""))</f>
        <v>#NAME?</v>
      </c>
      <c r="Z82" s="145" t="e">
        <f ca="1">IF(Z81="Mann Withney",[2]!MTEST($O6:$O53,Z6:Z53,2), IF(Z81="T-Test Welch",_xlfn.T.TEST($O6:$O53,Z6:Z53,2,3),""))</f>
        <v>#NAME?</v>
      </c>
      <c r="AA82" s="145" t="e">
        <f ca="1">IF(AA81="Mann Withney",[2]!MTEST($O6:$O53,AA6:AA53,2), IF(AA81="T-Test Welch",_xlfn.T.TEST($O6:$O53,AA6:AA53,2,3),""))</f>
        <v>#NAME?</v>
      </c>
      <c r="AB82" s="145" t="e">
        <f ca="1">IF(AB81="Mann Withney",[2]!MTEST($O6:$O53,AB6:AB53,2), IF(AB81="T-Test Welch",_xlfn.T.TEST($O6:$O53,AB6:AB53,2,3),""))</f>
        <v>#NAME?</v>
      </c>
      <c r="AC82" s="145" t="e">
        <f ca="1">IF(AC81="Mann Withney",[2]!MTEST($O6:$O53,AC6:AC53,2), IF(AC81="T-Test Welch",_xlfn.T.TEST($O6:$O53,AC6:AC53,2,3),""))</f>
        <v>#NAME?</v>
      </c>
      <c r="AD82" s="145" t="e">
        <f ca="1">IF(AD81="Mann Withney",[2]!MTEST($O6:$O53,AD6:AD53,2), IF(AD81="T-Test Welch",_xlfn.T.TEST($O6:$O53,AD6:AD53,2,3),""))</f>
        <v>#NAME?</v>
      </c>
      <c r="AE82" s="145" t="e">
        <f ca="1">IF(AE81="Mann Withney",[2]!MTEST($O6:$O53,AE6:AE53,2), IF(AE81="T-Test Welch",_xlfn.T.TEST($O6:$O53,AE6:AE53,2,3),""))</f>
        <v>#NAME?</v>
      </c>
      <c r="AF82" s="145" t="e">
        <f ca="1">IF(AF81="Mann Withney",[2]!MTEST($O6:$O53,AF6:AF53,2), IF(AF81="T-Test Welch",_xlfn.T.TEST($O6:$O53,AF6:AF53,2,3),""))</f>
        <v>#NAME?</v>
      </c>
      <c r="AG82" s="145" t="e">
        <f ca="1">IF(AG81="Mann Withney",[2]!MTEST($O6:$O53,AG6:AG53,2), IF(AG81="T-Test Welch",_xlfn.T.TEST($O6:$O53,AG6:AG53,2,3),""))</f>
        <v>#NAME?</v>
      </c>
      <c r="AH82" s="145" t="e">
        <f ca="1">IF(AH81="Mann Withney",[2]!MTEST($O6:$O53,AH6:AH53,2), IF(AH81="T-Test Welch",_xlfn.T.TEST($O6:$O53,AH6:AH53,2,3),""))</f>
        <v>#NAME?</v>
      </c>
      <c r="AI82" s="145" t="e">
        <f ca="1">IF(AI81="Mann Withney",[2]!MTEST($O6:$O53,AI6:AI53,2), IF(AI81="T-Test Welch",_xlfn.T.TEST($O6:$O53,AI6:AI53,2,3),""))</f>
        <v>#NAME?</v>
      </c>
      <c r="AJ82" s="145" t="e">
        <f ca="1">IF(AJ81="Mann Withney",[2]!MTEST($O6:$O53,AJ6:AJ53,2), IF(AJ81="T-Test Welch",_xlfn.T.TEST($O6:$O53,AJ6:AJ53,2,3),""))</f>
        <v>#NAME?</v>
      </c>
      <c r="AK82" s="145" t="e">
        <f ca="1">IF(AK81="Mann Withney",[2]!MTEST($O6:$O53,AK6:AK53,2), IF(AK81="T-Test Welch",_xlfn.T.TEST($O6:$O53,AK6:AK53,2,3),""))</f>
        <v>#NAME?</v>
      </c>
    </row>
    <row r="83" spans="1:37" s="3" customFormat="1" ht="15" thickBot="1" x14ac:dyDescent="0.4">
      <c r="A83" s="65" t="s">
        <v>84</v>
      </c>
      <c r="B83" s="146"/>
      <c r="C83" s="146" t="str">
        <f t="shared" ref="C83:O83" si="20">IF(C82&gt;0.05,"NS",IF(C82&gt;0.01,"*",IF(C82&gt;0.001,"**","***")))</f>
        <v>NS</v>
      </c>
      <c r="D83" s="146" t="str">
        <f t="shared" si="20"/>
        <v>NS</v>
      </c>
      <c r="E83" s="146" t="str">
        <f t="shared" si="20"/>
        <v>NS</v>
      </c>
      <c r="F83" s="146" t="str">
        <f t="shared" si="20"/>
        <v>***</v>
      </c>
      <c r="G83" s="146" t="str">
        <f t="shared" si="20"/>
        <v>***</v>
      </c>
      <c r="H83" s="146" t="str">
        <f t="shared" si="20"/>
        <v>***</v>
      </c>
      <c r="I83" s="146" t="str">
        <f t="shared" si="20"/>
        <v>NS</v>
      </c>
      <c r="J83" s="146" t="str">
        <f t="shared" si="20"/>
        <v>NS</v>
      </c>
      <c r="K83" s="146" t="str">
        <f t="shared" si="20"/>
        <v>NS</v>
      </c>
      <c r="L83" s="146" t="str">
        <f t="shared" si="20"/>
        <v>NS</v>
      </c>
      <c r="M83" s="146" t="str">
        <f t="shared" si="20"/>
        <v>NS</v>
      </c>
      <c r="N83" s="146"/>
      <c r="O83" s="146" t="str">
        <f t="shared" si="20"/>
        <v>***</v>
      </c>
      <c r="P83" s="146" t="str">
        <f t="shared" ref="P83" si="21">IF(P82&gt;0.05,"NS",IF(P82&gt;0.01,"*",IF(P82&gt;0.001,"**","***")))</f>
        <v>**</v>
      </c>
      <c r="Q83" s="146" t="str">
        <f t="shared" ref="Q83:AK83" si="22">IF(Q82&gt;0.05,"NS",IF(Q82&gt;0.01,"*",IF(Q82&gt;0.001,"**","***")))</f>
        <v>***</v>
      </c>
      <c r="R83" s="146" t="str">
        <f t="shared" si="22"/>
        <v>NS</v>
      </c>
      <c r="S83" s="146" t="str">
        <f t="shared" si="22"/>
        <v>*</v>
      </c>
      <c r="T83" s="146" t="str">
        <f t="shared" si="22"/>
        <v>***</v>
      </c>
      <c r="U83" s="146" t="str">
        <f t="shared" si="22"/>
        <v>***</v>
      </c>
      <c r="V83" s="146" t="str">
        <f t="shared" si="22"/>
        <v>***</v>
      </c>
      <c r="W83" s="146" t="e">
        <f t="shared" ca="1" si="22"/>
        <v>#NAME?</v>
      </c>
      <c r="X83" s="146" t="e">
        <f t="shared" ca="1" si="22"/>
        <v>#NAME?</v>
      </c>
      <c r="Y83" s="146" t="e">
        <f t="shared" ca="1" si="22"/>
        <v>#NAME?</v>
      </c>
      <c r="Z83" s="146" t="e">
        <f t="shared" ca="1" si="22"/>
        <v>#NAME?</v>
      </c>
      <c r="AA83" s="146" t="e">
        <f t="shared" ca="1" si="22"/>
        <v>#NAME?</v>
      </c>
      <c r="AB83" s="146" t="e">
        <f t="shared" ca="1" si="22"/>
        <v>#NAME?</v>
      </c>
      <c r="AC83" s="146" t="e">
        <f t="shared" ca="1" si="22"/>
        <v>#NAME?</v>
      </c>
      <c r="AD83" s="146" t="e">
        <f t="shared" ca="1" si="22"/>
        <v>#NAME?</v>
      </c>
      <c r="AE83" s="146" t="e">
        <f t="shared" ca="1" si="22"/>
        <v>#NAME?</v>
      </c>
      <c r="AF83" s="146" t="e">
        <f t="shared" ca="1" si="22"/>
        <v>#NAME?</v>
      </c>
      <c r="AG83" s="146" t="e">
        <f t="shared" ca="1" si="22"/>
        <v>#NAME?</v>
      </c>
      <c r="AH83" s="146" t="e">
        <f t="shared" ca="1" si="22"/>
        <v>#NAME?</v>
      </c>
      <c r="AI83" s="146" t="e">
        <f t="shared" ca="1" si="22"/>
        <v>#NAME?</v>
      </c>
      <c r="AJ83" s="146" t="e">
        <f t="shared" ca="1" si="22"/>
        <v>#NAME?</v>
      </c>
      <c r="AK83" s="146" t="e">
        <f t="shared" ca="1" si="22"/>
        <v>#NAME?</v>
      </c>
    </row>
    <row r="84" spans="1:37" s="1" customFormat="1" x14ac:dyDescent="0.35"/>
    <row r="85" spans="1:37" s="1" customFormat="1" x14ac:dyDescent="0.35">
      <c r="A85" s="2" t="s">
        <v>39</v>
      </c>
    </row>
    <row r="86" spans="1:37" x14ac:dyDescent="0.35">
      <c r="A86" s="1" t="s">
        <v>23</v>
      </c>
      <c r="B86" s="1">
        <f>B56+(3*B57)</f>
        <v>0.32731524543108498</v>
      </c>
    </row>
    <row r="87" spans="1:37" x14ac:dyDescent="0.35">
      <c r="A87" s="1" t="s">
        <v>24</v>
      </c>
      <c r="B87" s="1">
        <f>B56+(10*B57)</f>
        <v>0.91219156674989432</v>
      </c>
    </row>
    <row r="88" spans="1:37" ht="15" thickBot="1" x14ac:dyDescent="0.4"/>
    <row r="89" spans="1:37" s="49" customFormat="1" ht="26.5" thickBot="1" x14ac:dyDescent="0.4">
      <c r="A89" s="50" t="s">
        <v>55</v>
      </c>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78"/>
      <c r="AF89" s="78"/>
      <c r="AG89" s="78"/>
      <c r="AH89" s="78"/>
      <c r="AI89" s="78"/>
      <c r="AJ89" s="78"/>
      <c r="AK89" s="52"/>
    </row>
    <row r="90" spans="1:37" ht="15" thickBot="1" x14ac:dyDescent="0.4"/>
    <row r="91" spans="1:37" s="49" customFormat="1" ht="26.5" thickBot="1" x14ac:dyDescent="0.4">
      <c r="A91" s="50" t="s">
        <v>56</v>
      </c>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78"/>
      <c r="AF91" s="78"/>
      <c r="AG91" s="78"/>
      <c r="AH91" s="78"/>
      <c r="AI91" s="78"/>
      <c r="AJ91" s="78"/>
      <c r="AK91" s="52"/>
    </row>
    <row r="92" spans="1:37" ht="15" thickBot="1" x14ac:dyDescent="0.4"/>
    <row r="93" spans="1:37" s="49" customFormat="1" ht="26.5" thickBot="1" x14ac:dyDescent="0.4">
      <c r="A93" s="240" t="s">
        <v>57</v>
      </c>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c r="AC93" s="241"/>
      <c r="AD93" s="241"/>
      <c r="AE93" s="241"/>
      <c r="AF93" s="241"/>
      <c r="AG93" s="241"/>
      <c r="AH93" s="241"/>
      <c r="AI93" s="241"/>
      <c r="AJ93" s="241"/>
      <c r="AK93" s="242"/>
    </row>
    <row r="94" spans="1:37" x14ac:dyDescent="0.35">
      <c r="B94" s="1">
        <f t="shared" ref="B94:V94" si="23">B75/$B$75</f>
        <v>1</v>
      </c>
      <c r="C94" s="1">
        <f t="shared" si="23"/>
        <v>0.79686329961091384</v>
      </c>
      <c r="D94" s="1">
        <f t="shared" si="23"/>
        <v>1.3314518075619266</v>
      </c>
      <c r="E94" s="1">
        <f t="shared" si="23"/>
        <v>3.3503041273826044</v>
      </c>
      <c r="F94" s="1">
        <f t="shared" si="23"/>
        <v>11.175169294414435</v>
      </c>
      <c r="G94" s="1">
        <f t="shared" si="23"/>
        <v>20.283634515643335</v>
      </c>
      <c r="H94" s="1">
        <f>H75/$B$75</f>
        <v>31.3195169279312</v>
      </c>
      <c r="I94" s="1">
        <f t="shared" si="23"/>
        <v>1.0477674700861503</v>
      </c>
      <c r="J94" s="1">
        <f t="shared" si="23"/>
        <v>1.117015170228721</v>
      </c>
      <c r="K94" s="1">
        <f t="shared" si="23"/>
        <v>1.4256970265722504</v>
      </c>
      <c r="L94" s="1">
        <f t="shared" si="23"/>
        <v>0.98100697599050291</v>
      </c>
      <c r="M94" s="1">
        <f t="shared" si="23"/>
        <v>1.7144497834931676</v>
      </c>
      <c r="N94" s="1">
        <f t="shared" si="23"/>
        <v>0</v>
      </c>
      <c r="O94" s="1">
        <f t="shared" si="23"/>
        <v>13.045639605852974</v>
      </c>
      <c r="P94" s="1">
        <f t="shared" si="23"/>
        <v>19.014755193232396</v>
      </c>
      <c r="Q94" s="1">
        <f t="shared" si="23"/>
        <v>1.1387438730826998</v>
      </c>
      <c r="R94" s="1">
        <f t="shared" si="23"/>
        <v>10.003717488319756</v>
      </c>
      <c r="S94" s="1">
        <f t="shared" si="23"/>
        <v>6.1964462697439551</v>
      </c>
      <c r="T94" s="1">
        <f t="shared" si="23"/>
        <v>1.2920017083835091</v>
      </c>
      <c r="U94" s="1">
        <f t="shared" si="23"/>
        <v>1.1996998411335016</v>
      </c>
      <c r="V94" s="1">
        <f t="shared" si="23"/>
        <v>1.3880700396595489</v>
      </c>
    </row>
  </sheetData>
  <mergeCells count="10">
    <mergeCell ref="A7:A21"/>
    <mergeCell ref="A23:A37"/>
    <mergeCell ref="A93:AK93"/>
    <mergeCell ref="O3:AK3"/>
    <mergeCell ref="B3:M3"/>
    <mergeCell ref="A60:AK60"/>
    <mergeCell ref="A72:AK72"/>
    <mergeCell ref="A70:AK70"/>
    <mergeCell ref="A65:AK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9" customFormat="1" ht="26.5" thickBot="1" x14ac:dyDescent="0.4">
      <c r="A1" s="240" t="s">
        <v>104</v>
      </c>
      <c r="B1" s="241"/>
      <c r="C1" s="241"/>
      <c r="D1" s="241"/>
      <c r="E1" s="241"/>
      <c r="F1" s="241"/>
      <c r="G1" s="241"/>
      <c r="H1" s="241"/>
      <c r="I1" s="241"/>
      <c r="J1" s="241"/>
      <c r="K1" s="241"/>
      <c r="L1" s="241"/>
      <c r="M1" s="241"/>
      <c r="N1" s="241"/>
      <c r="O1" s="242"/>
    </row>
    <row r="2" spans="1:15" s="49" customFormat="1" ht="26.5" thickBot="1" x14ac:dyDescent="0.4">
      <c r="A2" s="240" t="s">
        <v>105</v>
      </c>
      <c r="B2" s="241"/>
      <c r="C2" s="241"/>
      <c r="D2" s="241"/>
      <c r="E2" s="241"/>
      <c r="F2" s="241"/>
      <c r="G2" s="241"/>
      <c r="H2" s="241"/>
      <c r="I2" s="241"/>
      <c r="J2" s="241"/>
      <c r="K2" s="241"/>
      <c r="L2" s="241"/>
      <c r="M2" s="241"/>
      <c r="N2" s="241"/>
      <c r="O2" s="242"/>
    </row>
    <row r="3" spans="1:15" s="80" customFormat="1" ht="15.5" x14ac:dyDescent="0.35">
      <c r="H3" s="81"/>
      <c r="I3" s="81"/>
      <c r="J3" s="81"/>
      <c r="K3" s="81"/>
      <c r="L3" s="81"/>
      <c r="M3" s="81"/>
      <c r="N3" s="81"/>
    </row>
    <row r="4" spans="1:15" s="80" customFormat="1" ht="15.5" x14ac:dyDescent="0.35">
      <c r="O4"/>
    </row>
    <row r="5" spans="1:15" s="80" customFormat="1" ht="45.75" customHeight="1" thickBot="1" x14ac:dyDescent="0.4">
      <c r="A5" s="82"/>
      <c r="B5" s="91" t="s">
        <v>25</v>
      </c>
      <c r="C5" s="91" t="s">
        <v>26</v>
      </c>
      <c r="D5" s="91" t="s">
        <v>27</v>
      </c>
      <c r="E5" s="92" t="s">
        <v>64</v>
      </c>
      <c r="F5" s="130" t="s">
        <v>80</v>
      </c>
      <c r="G5" s="98" t="s">
        <v>42</v>
      </c>
      <c r="H5" s="98" t="s">
        <v>65</v>
      </c>
      <c r="I5" s="98" t="s">
        <v>66</v>
      </c>
      <c r="J5" s="99" t="s">
        <v>77</v>
      </c>
      <c r="K5" s="99" t="s">
        <v>67</v>
      </c>
      <c r="L5" s="100" t="s">
        <v>76</v>
      </c>
      <c r="M5" s="100" t="s">
        <v>68</v>
      </c>
      <c r="N5" s="100" t="s">
        <v>69</v>
      </c>
      <c r="O5"/>
    </row>
    <row r="6" spans="1:15" s="80" customFormat="1" ht="15.5" x14ac:dyDescent="0.35">
      <c r="A6" s="83" t="s">
        <v>28</v>
      </c>
      <c r="B6" s="103">
        <v>64</v>
      </c>
      <c r="C6" s="83"/>
      <c r="D6" s="83"/>
      <c r="E6" s="93"/>
      <c r="F6" s="94"/>
      <c r="G6" s="132">
        <f>IF(F6="NS","NC",ROUND(B6,2-(1+INT(LOG10(ABS(B6))))))</f>
        <v>64</v>
      </c>
      <c r="H6" s="124"/>
      <c r="I6" s="124"/>
      <c r="J6" s="125"/>
      <c r="K6" s="126"/>
      <c r="L6" s="128"/>
      <c r="M6" s="125"/>
      <c r="N6" s="95"/>
      <c r="O6"/>
    </row>
    <row r="7" spans="1:15" s="80" customFormat="1" ht="15.5" x14ac:dyDescent="0.35">
      <c r="A7" s="83" t="str">
        <f>'Page de garde'!A15</f>
        <v>Anastrozole 0,032 ug/L</v>
      </c>
      <c r="B7" s="102"/>
      <c r="C7" s="84"/>
      <c r="D7" s="84"/>
      <c r="E7" s="85"/>
      <c r="F7" s="101" t="str">
        <f>HLOOKUP(A7,'pooled normalised values'!$B$74:$AK$83,10,FALSE)</f>
        <v>NS</v>
      </c>
      <c r="G7" s="132" t="str">
        <f>IF(F7="NS","NC",ROUND(B7,2-(1+INT(LOG10(ABS(B7))))))</f>
        <v>NC</v>
      </c>
      <c r="H7" s="123" t="str">
        <f>IF(VLOOKUP(A7,liste_groupe[],4,FALSE)="%",VLOOKUP(A7,liste_groupe[],3,FALSE)/100,IF(ISBLANK(VLOOKUP(A7,liste_groupe[],4,FALSE)),"Non","Non"))</f>
        <v>Non</v>
      </c>
      <c r="I7" s="132" t="str">
        <f>IF(F7="NS","NC",IF(H7="Non",G7,G7*(1/H7)))</f>
        <v>NC</v>
      </c>
      <c r="J7" s="133">
        <v>64</v>
      </c>
      <c r="K7" s="134">
        <f>IF(F7="NS",0,ROUND(I7/J7*100,0))</f>
        <v>0</v>
      </c>
      <c r="L7" s="129">
        <v>1</v>
      </c>
      <c r="M7" s="135">
        <f>IF(K7&gt;100,125,K7)</f>
        <v>0</v>
      </c>
      <c r="N7" s="96" t="str">
        <f>IF(H7="Non",CONCATENATE(VLOOKUP(A7,liste_groupe[],5,FALSE),"-",VLOOKUP(A7,liste_groupe[],3,FALSE),VLOOKUP(A7,liste_groupe[],4,FALSE)," : ",ROUND(K7,0),"%"),CONCATENATE(VLOOKUP(A7,liste_groupe[],5,FALSE)," : ",ROUND(K7,0),"%"))</f>
        <v>-0,032ug/L : 0%</v>
      </c>
      <c r="O7"/>
    </row>
    <row r="8" spans="1:15" s="80" customFormat="1" ht="15.5" x14ac:dyDescent="0.35">
      <c r="A8" s="83" t="str">
        <f>'Page de garde'!A16</f>
        <v>Anastrozole 0,16 ug/L</v>
      </c>
      <c r="B8" s="102"/>
      <c r="C8" s="86"/>
      <c r="D8" s="84"/>
      <c r="E8" s="85"/>
      <c r="F8" s="101" t="str">
        <f>HLOOKUP(A8,'pooled normalised values'!$B$74:$AK$83,10,FALSE)</f>
        <v>NS</v>
      </c>
      <c r="G8" s="132" t="str">
        <f t="shared" ref="G8:G13" si="0">IF(F8="NS","NC",ROUND(B8,2-(1+INT(LOG10(ABS(B8))))))</f>
        <v>NC</v>
      </c>
      <c r="H8" s="123" t="str">
        <f>IF(VLOOKUP(A8,liste_groupe[],4,FALSE)="%",VLOOKUP(A8,liste_groupe[],3,FALSE)/100,IF(ISBLANK(VLOOKUP(A8,liste_groupe[],4,FALSE)),"Non","Non"))</f>
        <v>Non</v>
      </c>
      <c r="I8" s="132" t="str">
        <f t="shared" ref="I8:I26" si="1">IF(F8="NS","NC",IF(H8="Non",G8,G8*(1/H8)))</f>
        <v>NC</v>
      </c>
      <c r="J8" s="133">
        <v>64</v>
      </c>
      <c r="K8" s="134">
        <f t="shared" ref="K8:K26" si="2">IF(F8="NS",0,ROUND(I8/J8*100,0))</f>
        <v>0</v>
      </c>
      <c r="L8" s="129"/>
      <c r="M8" s="135">
        <f t="shared" ref="M8:M26" si="3">IF(K8&gt;100,125,K8)</f>
        <v>0</v>
      </c>
      <c r="N8" s="96" t="str">
        <f>IF(H8="Non",CONCATENATE(VLOOKUP(A8,liste_groupe[],5,FALSE),"-",VLOOKUP(A8,liste_groupe[],3,FALSE),VLOOKUP(A8,liste_groupe[],4,FALSE)," : ",ROUND(K8,0),"%"),CONCATENATE(VLOOKUP(A8,liste_groupe[],5,FALSE)," : ",ROUND(K8,0),"%"))</f>
        <v>-0,16ug/L : 0%</v>
      </c>
      <c r="O8"/>
    </row>
    <row r="9" spans="1:15" s="80" customFormat="1" ht="15.5" x14ac:dyDescent="0.35">
      <c r="A9" s="83" t="str">
        <f>'Page de garde'!A17</f>
        <v>Anastrozole 0,8 ug/L</v>
      </c>
      <c r="B9" s="102"/>
      <c r="C9" s="86"/>
      <c r="D9" s="84"/>
      <c r="E9" s="85"/>
      <c r="F9" s="101" t="str">
        <f>HLOOKUP(A9,'pooled normalised values'!$B$74:$AK$83,10,FALSE)</f>
        <v>NS</v>
      </c>
      <c r="G9" s="132" t="str">
        <f t="shared" si="0"/>
        <v>NC</v>
      </c>
      <c r="H9" s="123" t="str">
        <f>IF(VLOOKUP(A9,liste_groupe[],4,FALSE)="%",VLOOKUP(A9,liste_groupe[],3,FALSE)/100,IF(ISBLANK(VLOOKUP(A9,liste_groupe[],4,FALSE)),"Non","Non"))</f>
        <v>Non</v>
      </c>
      <c r="I9" s="132" t="str">
        <f t="shared" si="1"/>
        <v>NC</v>
      </c>
      <c r="J9" s="133">
        <v>64</v>
      </c>
      <c r="K9" s="134">
        <f t="shared" si="2"/>
        <v>0</v>
      </c>
      <c r="L9" s="129"/>
      <c r="M9" s="135">
        <f t="shared" si="3"/>
        <v>0</v>
      </c>
      <c r="N9" s="96" t="str">
        <f>IF(H9="Non",CONCATENATE(VLOOKUP(A9,liste_groupe[],5,FALSE),"-",VLOOKUP(A9,liste_groupe[],3,FALSE),VLOOKUP(A9,liste_groupe[],4,FALSE)," : ",ROUND(K9,0),"%"),CONCATENATE(VLOOKUP(A9,liste_groupe[],5,FALSE)," : ",ROUND(K9,0),"%"))</f>
        <v>-0,8ug/L : 0%</v>
      </c>
      <c r="O9"/>
    </row>
    <row r="10" spans="1:15" s="80" customFormat="1" ht="15.5" x14ac:dyDescent="0.35">
      <c r="A10" s="83" t="str">
        <f>'Page de garde'!A18</f>
        <v>Anastrozole 4 ug/L</v>
      </c>
      <c r="B10" s="103"/>
      <c r="C10" s="83"/>
      <c r="D10" s="88"/>
      <c r="E10" s="85"/>
      <c r="F10" s="101" t="str">
        <f>HLOOKUP(A10,'pooled normalised values'!$B$74:$AK$83,10,FALSE)</f>
        <v>NS</v>
      </c>
      <c r="G10" s="132" t="str">
        <f t="shared" si="0"/>
        <v>NC</v>
      </c>
      <c r="H10" s="123" t="str">
        <f>IF(VLOOKUP(A10,liste_groupe[],4,FALSE)="%",VLOOKUP(A10,liste_groupe[],3,FALSE)/100,IF(ISBLANK(VLOOKUP(A10,liste_groupe[],4,FALSE)),"Non","Non"))</f>
        <v>Non</v>
      </c>
      <c r="I10" s="132" t="str">
        <f t="shared" si="1"/>
        <v>NC</v>
      </c>
      <c r="J10" s="133">
        <v>64</v>
      </c>
      <c r="K10" s="134">
        <f t="shared" si="2"/>
        <v>0</v>
      </c>
      <c r="L10" s="129"/>
      <c r="M10" s="135">
        <f t="shared" si="3"/>
        <v>0</v>
      </c>
      <c r="N10" s="96" t="str">
        <f>IF(H10="Non",CONCATENATE(VLOOKUP(A10,liste_groupe[],5,FALSE),"-",VLOOKUP(A10,liste_groupe[],3,FALSE),VLOOKUP(A10,liste_groupe[],4,FALSE)," : ",ROUND(K10,0),"%"),CONCATENATE(VLOOKUP(A10,liste_groupe[],5,FALSE)," : ",ROUND(K10,0),"%"))</f>
        <v>-4ug/L : 0%</v>
      </c>
      <c r="O10"/>
    </row>
    <row r="11" spans="1:15" s="80" customFormat="1" ht="15.5" x14ac:dyDescent="0.35">
      <c r="A11" s="83" t="str">
        <f>'Page de garde'!A19</f>
        <v>Anastrozole 20 ug/L</v>
      </c>
      <c r="B11" s="103"/>
      <c r="C11" s="83"/>
      <c r="D11" s="88"/>
      <c r="E11" s="85"/>
      <c r="F11" s="101" t="str">
        <f>HLOOKUP(A11,'pooled normalised values'!$B$74:$AK$83,10,FALSE)</f>
        <v>NS</v>
      </c>
      <c r="G11" s="132" t="str">
        <f t="shared" si="0"/>
        <v>NC</v>
      </c>
      <c r="H11" s="123" t="str">
        <f>IF(VLOOKUP(A11,liste_groupe[],4,FALSE)="%",VLOOKUP(A11,liste_groupe[],3,FALSE)/100,IF(ISBLANK(VLOOKUP(A11,liste_groupe[],4,FALSE)),"Non","Non"))</f>
        <v>Non</v>
      </c>
      <c r="I11" s="132" t="str">
        <f t="shared" si="1"/>
        <v>NC</v>
      </c>
      <c r="J11" s="133">
        <v>64</v>
      </c>
      <c r="K11" s="134">
        <f t="shared" si="2"/>
        <v>0</v>
      </c>
      <c r="L11" s="129"/>
      <c r="M11" s="135">
        <f t="shared" si="3"/>
        <v>0</v>
      </c>
      <c r="N11" s="96" t="str">
        <f>IF(H11="Non",CONCATENATE(VLOOKUP(A11,liste_groupe[],5,FALSE),"-",VLOOKUP(A11,liste_groupe[],3,FALSE),VLOOKUP(A11,liste_groupe[],4,FALSE)," : ",ROUND(K11,0),"%"),CONCATENATE(VLOOKUP(A11,liste_groupe[],5,FALSE)," : ",ROUND(K11,0),"%"))</f>
        <v>-20ug/L : 0%</v>
      </c>
      <c r="O11"/>
    </row>
    <row r="12" spans="1:15" s="80" customFormat="1" ht="15.5" x14ac:dyDescent="0.35">
      <c r="A12" s="83" t="str">
        <f>'Page de garde'!A20</f>
        <v xml:space="preserve"> </v>
      </c>
      <c r="B12" s="103"/>
      <c r="C12" s="83"/>
      <c r="D12" s="88"/>
      <c r="E12" s="85"/>
      <c r="F12" s="101" t="e">
        <f>HLOOKUP(A12,'pooled normalised values'!$B$74:$AK$83,10,FALSE)</f>
        <v>#N/A</v>
      </c>
      <c r="G12" s="132" t="e">
        <f t="shared" si="0"/>
        <v>#N/A</v>
      </c>
      <c r="H12" s="123" t="str">
        <f>IF(VLOOKUP(A12,liste_groupe[],4,FALSE)="%",VLOOKUP(A12,liste_groupe[],3,FALSE)/100,IF(ISBLANK(VLOOKUP(A12,liste_groupe[],4,FALSE)),"Non","Non"))</f>
        <v>Non</v>
      </c>
      <c r="I12" s="132" t="e">
        <f t="shared" si="1"/>
        <v>#N/A</v>
      </c>
      <c r="J12" s="133">
        <v>64</v>
      </c>
      <c r="K12" s="134" t="e">
        <f t="shared" si="2"/>
        <v>#N/A</v>
      </c>
      <c r="L12" s="129"/>
      <c r="M12" s="135" t="e">
        <f t="shared" si="3"/>
        <v>#N/A</v>
      </c>
      <c r="N12" s="96" t="e">
        <f>IF(H12="Non",CONCATENATE(VLOOKUP(A12,liste_groupe[],5,FALSE),"-",VLOOKUP(A12,liste_groupe[],3,FALSE),VLOOKUP(A12,liste_groupe[],4,FALSE)," : ",ROUND(K12,0),"%"),CONCATENATE(VLOOKUP(A12,liste_groupe[],5,FALSE)," : ",ROUND(K12,0),"%"))</f>
        <v>#N/A</v>
      </c>
      <c r="O12"/>
    </row>
    <row r="13" spans="1:15" s="80" customFormat="1" ht="15.5" x14ac:dyDescent="0.35">
      <c r="A13" s="83" t="str">
        <f>'Page de garde'!A21</f>
        <v xml:space="preserve"> </v>
      </c>
      <c r="B13" s="103"/>
      <c r="C13" s="83"/>
      <c r="D13" s="83"/>
      <c r="E13" s="85"/>
      <c r="F13" s="101" t="e">
        <f>HLOOKUP(A13,'pooled normalised values'!$B$74:$AK$83,10,FALSE)</f>
        <v>#N/A</v>
      </c>
      <c r="G13" s="132" t="e">
        <f t="shared" si="0"/>
        <v>#N/A</v>
      </c>
      <c r="H13" s="123" t="str">
        <f>IF(VLOOKUP(A13,liste_groupe[],4,FALSE)="%",VLOOKUP(A13,liste_groupe[],3,FALSE)/100,IF(ISBLANK(VLOOKUP(A13,liste_groupe[],4,FALSE)),"Non","Non"))</f>
        <v>Non</v>
      </c>
      <c r="I13" s="132" t="e">
        <f t="shared" si="1"/>
        <v>#N/A</v>
      </c>
      <c r="J13" s="133">
        <v>64</v>
      </c>
      <c r="K13" s="134" t="e">
        <f t="shared" si="2"/>
        <v>#N/A</v>
      </c>
      <c r="L13" s="129"/>
      <c r="M13" s="135" t="e">
        <f t="shared" si="3"/>
        <v>#N/A</v>
      </c>
      <c r="N13" s="96" t="e">
        <f>IF(H13="Non",CONCATENATE(VLOOKUP(A13,liste_groupe[],5,FALSE),"-",VLOOKUP(A13,liste_groupe[],3,FALSE),VLOOKUP(A13,liste_groupe[],4,FALSE)," : ",ROUND(K13,0),"%"),CONCATENATE(VLOOKUP(A13,liste_groupe[],5,FALSE)," : ",ROUND(K13,0),"%"))</f>
        <v>#N/A</v>
      </c>
      <c r="O13"/>
    </row>
    <row r="14" spans="1:15" s="80" customFormat="1" ht="15.5" x14ac:dyDescent="0.35">
      <c r="A14" s="83" t="str">
        <f>'Page de garde'!A22</f>
        <v xml:space="preserve"> </v>
      </c>
      <c r="B14" s="103"/>
      <c r="C14" s="83"/>
      <c r="D14" s="83"/>
      <c r="E14" s="85"/>
      <c r="F14" s="101" t="e">
        <f>HLOOKUP(A14,'pooled normalised values'!$B$74:$AK$83,10,FALSE)</f>
        <v>#N/A</v>
      </c>
      <c r="G14" s="132" t="e">
        <f t="shared" ref="G14:G25" si="4">IF(F14="NS","NC",ROUND(B14,2-(1+INT(LOG10(ABS(B14))))))</f>
        <v>#N/A</v>
      </c>
      <c r="H14" s="123" t="str">
        <f>IF(VLOOKUP(A14,liste_groupe[],4,FALSE)="%",VLOOKUP(A14,liste_groupe[],3,FALSE)/100,IF(ISBLANK(VLOOKUP(A14,liste_groupe[],4,FALSE)),"Non","Non"))</f>
        <v>Non</v>
      </c>
      <c r="I14" s="132" t="e">
        <f t="shared" si="1"/>
        <v>#N/A</v>
      </c>
      <c r="J14" s="133">
        <v>64</v>
      </c>
      <c r="K14" s="134" t="e">
        <f t="shared" si="2"/>
        <v>#N/A</v>
      </c>
      <c r="L14" s="129"/>
      <c r="M14" s="135" t="e">
        <f t="shared" si="3"/>
        <v>#N/A</v>
      </c>
      <c r="N14" s="96" t="e">
        <f>IF(H14="Non",CONCATENATE(VLOOKUP(A14,liste_groupe[],5,FALSE),"-",VLOOKUP(A14,liste_groupe[],3,FALSE),VLOOKUP(A14,liste_groupe[],4,FALSE)," : ",ROUND(K14,0),"%"),CONCATENATE(VLOOKUP(A14,liste_groupe[],5,FALSE)," : ",ROUND(K14,0),"%"))</f>
        <v>#N/A</v>
      </c>
      <c r="O14" s="1"/>
    </row>
    <row r="15" spans="1:15" s="80" customFormat="1" ht="15.5" x14ac:dyDescent="0.35">
      <c r="A15" s="83" t="str">
        <f>'Page de garde'!A23</f>
        <v xml:space="preserve"> </v>
      </c>
      <c r="B15" s="103"/>
      <c r="C15" s="83"/>
      <c r="D15" s="83"/>
      <c r="E15" s="85"/>
      <c r="F15" s="101" t="e">
        <f>HLOOKUP(A15,'pooled normalised values'!$B$74:$AK$83,10,FALSE)</f>
        <v>#N/A</v>
      </c>
      <c r="G15" s="132" t="e">
        <f t="shared" si="4"/>
        <v>#N/A</v>
      </c>
      <c r="H15" s="123" t="str">
        <f>IF(VLOOKUP(A15,liste_groupe[],4,FALSE)="%",VLOOKUP(A15,liste_groupe[],3,FALSE)/100,IF(ISBLANK(VLOOKUP(A15,liste_groupe[],4,FALSE)),"Non","Non"))</f>
        <v>Non</v>
      </c>
      <c r="I15" s="132" t="e">
        <f t="shared" si="1"/>
        <v>#N/A</v>
      </c>
      <c r="J15" s="133">
        <v>64</v>
      </c>
      <c r="K15" s="134" t="e">
        <f t="shared" si="2"/>
        <v>#N/A</v>
      </c>
      <c r="L15" s="129"/>
      <c r="M15" s="135" t="e">
        <f t="shared" si="3"/>
        <v>#N/A</v>
      </c>
      <c r="N15" s="96" t="e">
        <f>IF(H15="Non",CONCATENATE(VLOOKUP(A15,liste_groupe[],5,FALSE),"-",VLOOKUP(A15,liste_groupe[],3,FALSE),VLOOKUP(A15,liste_groupe[],4,FALSE)," : ",ROUND(K15,0),"%"),CONCATENATE(VLOOKUP(A15,liste_groupe[],5,FALSE)," : ",ROUND(K15,0),"%"))</f>
        <v>#N/A</v>
      </c>
      <c r="O15" s="1"/>
    </row>
    <row r="16" spans="1:15" s="80" customFormat="1" ht="15.5" x14ac:dyDescent="0.35">
      <c r="A16" s="83" t="str">
        <f>'Page de garde'!A24</f>
        <v xml:space="preserve"> </v>
      </c>
      <c r="B16" s="103"/>
      <c r="C16" s="83"/>
      <c r="D16" s="83"/>
      <c r="E16" s="85"/>
      <c r="F16" s="101" t="e">
        <f>HLOOKUP(A16,'pooled normalised values'!$B$74:$AK$83,10,FALSE)</f>
        <v>#N/A</v>
      </c>
      <c r="G16" s="132" t="e">
        <f t="shared" si="4"/>
        <v>#N/A</v>
      </c>
      <c r="H16" s="123" t="str">
        <f>IF(VLOOKUP(A16,liste_groupe[],4,FALSE)="%",VLOOKUP(A16,liste_groupe[],3,FALSE)/100,IF(ISBLANK(VLOOKUP(A16,liste_groupe[],4,FALSE)),"Non","Non"))</f>
        <v>Non</v>
      </c>
      <c r="I16" s="132" t="e">
        <f t="shared" si="1"/>
        <v>#N/A</v>
      </c>
      <c r="J16" s="133">
        <v>64</v>
      </c>
      <c r="K16" s="134" t="e">
        <f t="shared" si="2"/>
        <v>#N/A</v>
      </c>
      <c r="L16" s="129"/>
      <c r="M16" s="135" t="e">
        <f t="shared" si="3"/>
        <v>#N/A</v>
      </c>
      <c r="N16" s="96" t="e">
        <f>IF(H16="Non",CONCATENATE(VLOOKUP(A16,liste_groupe[],5,FALSE),"-",VLOOKUP(A16,liste_groupe[],3,FALSE),VLOOKUP(A16,liste_groupe[],4,FALSE)," : ",ROUND(K16,0),"%"),CONCATENATE(VLOOKUP(A16,liste_groupe[],5,FALSE)," : ",ROUND(K16,0),"%"))</f>
        <v>#N/A</v>
      </c>
      <c r="O16" s="1"/>
    </row>
    <row r="17" spans="1:15" s="80" customFormat="1" ht="15.5" x14ac:dyDescent="0.35">
      <c r="A17" s="83" t="str">
        <f>'Page de garde'!A25</f>
        <v xml:space="preserve"> </v>
      </c>
      <c r="B17" s="103"/>
      <c r="C17" s="83"/>
      <c r="D17" s="83"/>
      <c r="E17" s="85"/>
      <c r="F17" s="101" t="e">
        <f>HLOOKUP(A17,'pooled normalised values'!$B$74:$AK$83,10,FALSE)</f>
        <v>#N/A</v>
      </c>
      <c r="G17" s="132" t="e">
        <f t="shared" si="4"/>
        <v>#N/A</v>
      </c>
      <c r="H17" s="123" t="str">
        <f>IF(VLOOKUP(A17,liste_groupe[],4,FALSE)="%",VLOOKUP(A17,liste_groupe[],3,FALSE)/100,IF(ISBLANK(VLOOKUP(A17,liste_groupe[],4,FALSE)),"Non","Non"))</f>
        <v>Non</v>
      </c>
      <c r="I17" s="132" t="e">
        <f t="shared" si="1"/>
        <v>#N/A</v>
      </c>
      <c r="J17" s="133">
        <v>64</v>
      </c>
      <c r="K17" s="134" t="e">
        <f t="shared" si="2"/>
        <v>#N/A</v>
      </c>
      <c r="L17" s="129"/>
      <c r="M17" s="135" t="e">
        <f t="shared" si="3"/>
        <v>#N/A</v>
      </c>
      <c r="N17" s="96" t="e">
        <f>IF(H17="Non",CONCATENATE(VLOOKUP(A17,liste_groupe[],5,FALSE),"-",VLOOKUP(A17,liste_groupe[],3,FALSE),VLOOKUP(A17,liste_groupe[],4,FALSE)," : ",ROUND(K17,0),"%"),CONCATENATE(VLOOKUP(A17,liste_groupe[],5,FALSE)," : ",ROUND(K17,0),"%"))</f>
        <v>#N/A</v>
      </c>
      <c r="O17" s="1"/>
    </row>
    <row r="18" spans="1:15" s="80" customFormat="1" ht="15.5" x14ac:dyDescent="0.35">
      <c r="A18" s="83" t="str">
        <f>'Page de garde'!A26</f>
        <v xml:space="preserve"> </v>
      </c>
      <c r="B18" s="103"/>
      <c r="C18" s="83"/>
      <c r="D18" s="83"/>
      <c r="E18" s="85"/>
      <c r="F18" s="101" t="e">
        <f>HLOOKUP(A18,'pooled normalised values'!$B$74:$AK$83,10,FALSE)</f>
        <v>#N/A</v>
      </c>
      <c r="G18" s="132" t="e">
        <f t="shared" si="4"/>
        <v>#N/A</v>
      </c>
      <c r="H18" s="123" t="str">
        <f>IF(VLOOKUP(A18,liste_groupe[],4,FALSE)="%",VLOOKUP(A18,liste_groupe[],3,FALSE)/100,IF(ISBLANK(VLOOKUP(A18,liste_groupe[],4,FALSE)),"Non","Non"))</f>
        <v>Non</v>
      </c>
      <c r="I18" s="132" t="e">
        <f t="shared" si="1"/>
        <v>#N/A</v>
      </c>
      <c r="J18" s="133">
        <v>64</v>
      </c>
      <c r="K18" s="134" t="e">
        <f t="shared" si="2"/>
        <v>#N/A</v>
      </c>
      <c r="L18" s="129"/>
      <c r="M18" s="135" t="e">
        <f t="shared" si="3"/>
        <v>#N/A</v>
      </c>
      <c r="N18" s="96" t="e">
        <f>IF(H18="Non",CONCATENATE(VLOOKUP(A18,liste_groupe[],5,FALSE),"-",VLOOKUP(A18,liste_groupe[],3,FALSE),VLOOKUP(A18,liste_groupe[],4,FALSE)," : ",ROUND(K18,0),"%"),CONCATENATE(VLOOKUP(A18,liste_groupe[],5,FALSE)," : ",ROUND(K18,0),"%"))</f>
        <v>#N/A</v>
      </c>
      <c r="O18" s="1"/>
    </row>
    <row r="19" spans="1:15" s="80" customFormat="1" ht="15.5" x14ac:dyDescent="0.35">
      <c r="A19" s="83" t="str">
        <f>'Page de garde'!A27</f>
        <v xml:space="preserve"> </v>
      </c>
      <c r="B19" s="103"/>
      <c r="C19" s="83"/>
      <c r="D19" s="83"/>
      <c r="E19" s="85"/>
      <c r="F19" s="101" t="e">
        <f>HLOOKUP(A19,'pooled normalised values'!$B$74:$AK$83,10,FALSE)</f>
        <v>#N/A</v>
      </c>
      <c r="G19" s="132" t="e">
        <f t="shared" si="4"/>
        <v>#N/A</v>
      </c>
      <c r="H19" s="123" t="str">
        <f>IF(VLOOKUP(A19,liste_groupe[],4,FALSE)="%",VLOOKUP(A19,liste_groupe[],3,FALSE)/100,IF(ISBLANK(VLOOKUP(A19,liste_groupe[],4,FALSE)),"Non","Non"))</f>
        <v>Non</v>
      </c>
      <c r="I19" s="132" t="e">
        <f t="shared" si="1"/>
        <v>#N/A</v>
      </c>
      <c r="J19" s="133">
        <v>64</v>
      </c>
      <c r="K19" s="134" t="e">
        <f t="shared" si="2"/>
        <v>#N/A</v>
      </c>
      <c r="L19" s="129"/>
      <c r="M19" s="135" t="e">
        <f t="shared" si="3"/>
        <v>#N/A</v>
      </c>
      <c r="N19" s="96" t="e">
        <f>IF(H19="Non",CONCATENATE(VLOOKUP(A19,liste_groupe[],5,FALSE),"-",VLOOKUP(A19,liste_groupe[],3,FALSE),VLOOKUP(A19,liste_groupe[],4,FALSE)," : ",ROUND(K19,0),"%"),CONCATENATE(VLOOKUP(A19,liste_groupe[],5,FALSE)," : ",ROUND(K19,0),"%"))</f>
        <v>#N/A</v>
      </c>
      <c r="O19" s="1"/>
    </row>
    <row r="20" spans="1:15" s="80" customFormat="1" ht="15.5" x14ac:dyDescent="0.35">
      <c r="A20" s="83" t="str">
        <f>'Page de garde'!A28</f>
        <v xml:space="preserve"> </v>
      </c>
      <c r="B20" s="103"/>
      <c r="C20" s="83"/>
      <c r="D20" s="83"/>
      <c r="E20" s="85"/>
      <c r="F20" s="101" t="e">
        <f>HLOOKUP(A20,'pooled normalised values'!$B$74:$AK$83,10,FALSE)</f>
        <v>#N/A</v>
      </c>
      <c r="G20" s="132" t="e">
        <f t="shared" si="4"/>
        <v>#N/A</v>
      </c>
      <c r="H20" s="123" t="str">
        <f>IF(VLOOKUP(A20,liste_groupe[],4,FALSE)="%",VLOOKUP(A20,liste_groupe[],3,FALSE)/100,IF(ISBLANK(VLOOKUP(A20,liste_groupe[],4,FALSE)),"Non","Non"))</f>
        <v>Non</v>
      </c>
      <c r="I20" s="132" t="e">
        <f t="shared" si="1"/>
        <v>#N/A</v>
      </c>
      <c r="J20" s="133">
        <v>64</v>
      </c>
      <c r="K20" s="134" t="e">
        <f t="shared" si="2"/>
        <v>#N/A</v>
      </c>
      <c r="L20" s="129"/>
      <c r="M20" s="135" t="e">
        <f t="shared" si="3"/>
        <v>#N/A</v>
      </c>
      <c r="N20" s="96" t="e">
        <f>IF(H20="Non",CONCATENATE(VLOOKUP(A20,liste_groupe[],5,FALSE),"-",VLOOKUP(A20,liste_groupe[],3,FALSE),VLOOKUP(A20,liste_groupe[],4,FALSE)," : ",ROUND(K20,0),"%"),CONCATENATE(VLOOKUP(A20,liste_groupe[],5,FALSE)," : ",ROUND(K20,0),"%"))</f>
        <v>#N/A</v>
      </c>
      <c r="O20" s="1"/>
    </row>
    <row r="21" spans="1:15" s="80" customFormat="1" ht="15.5" x14ac:dyDescent="0.35">
      <c r="A21" s="83" t="str">
        <f>'Page de garde'!A29</f>
        <v xml:space="preserve"> </v>
      </c>
      <c r="B21" s="103"/>
      <c r="C21" s="83"/>
      <c r="D21" s="83"/>
      <c r="E21" s="85"/>
      <c r="F21" s="101" t="e">
        <f>HLOOKUP(A21,'pooled normalised values'!$B$74:$AK$83,10,FALSE)</f>
        <v>#N/A</v>
      </c>
      <c r="G21" s="132" t="e">
        <f t="shared" si="4"/>
        <v>#N/A</v>
      </c>
      <c r="H21" s="123" t="str">
        <f>IF(VLOOKUP(A21,liste_groupe[],4,FALSE)="%",VLOOKUP(A21,liste_groupe[],3,FALSE)/100,IF(ISBLANK(VLOOKUP(A21,liste_groupe[],4,FALSE)),"Non","Non"))</f>
        <v>Non</v>
      </c>
      <c r="I21" s="132" t="e">
        <f t="shared" si="1"/>
        <v>#N/A</v>
      </c>
      <c r="J21" s="133">
        <v>64</v>
      </c>
      <c r="K21" s="134" t="e">
        <f t="shared" si="2"/>
        <v>#N/A</v>
      </c>
      <c r="L21" s="129"/>
      <c r="M21" s="135" t="e">
        <f t="shared" si="3"/>
        <v>#N/A</v>
      </c>
      <c r="N21" s="96" t="e">
        <f>IF(H21="Non",CONCATENATE(VLOOKUP(A21,liste_groupe[],5,FALSE),"-",VLOOKUP(A21,liste_groupe[],3,FALSE),VLOOKUP(A21,liste_groupe[],4,FALSE)," : ",ROUND(K21,0),"%"),CONCATENATE(VLOOKUP(A21,liste_groupe[],5,FALSE)," : ",ROUND(K21,0),"%"))</f>
        <v>#N/A</v>
      </c>
      <c r="O21" s="1"/>
    </row>
    <row r="22" spans="1:15" s="80" customFormat="1" ht="15.5" x14ac:dyDescent="0.35">
      <c r="A22" s="83" t="str">
        <f>'Page de garde'!A30</f>
        <v xml:space="preserve"> </v>
      </c>
      <c r="B22" s="103"/>
      <c r="C22" s="83"/>
      <c r="D22" s="83"/>
      <c r="E22" s="85"/>
      <c r="F22" s="101" t="e">
        <f>HLOOKUP(A22,'pooled normalised values'!$B$74:$AK$83,10,FALSE)</f>
        <v>#N/A</v>
      </c>
      <c r="G22" s="132" t="e">
        <f t="shared" si="4"/>
        <v>#N/A</v>
      </c>
      <c r="H22" s="123" t="str">
        <f>IF(VLOOKUP(A22,liste_groupe[],4,FALSE)="%",VLOOKUP(A22,liste_groupe[],3,FALSE)/100,IF(ISBLANK(VLOOKUP(A22,liste_groupe[],4,FALSE)),"Non","Non"))</f>
        <v>Non</v>
      </c>
      <c r="I22" s="132" t="e">
        <f t="shared" si="1"/>
        <v>#N/A</v>
      </c>
      <c r="J22" s="133">
        <v>64</v>
      </c>
      <c r="K22" s="134" t="e">
        <f t="shared" si="2"/>
        <v>#N/A</v>
      </c>
      <c r="L22" s="129"/>
      <c r="M22" s="135" t="e">
        <f t="shared" si="3"/>
        <v>#N/A</v>
      </c>
      <c r="N22" s="96" t="e">
        <f>IF(H22="Non",CONCATENATE(VLOOKUP(A22,liste_groupe[],5,FALSE),"-",VLOOKUP(A22,liste_groupe[],3,FALSE),VLOOKUP(A22,liste_groupe[],4,FALSE)," : ",ROUND(K22,0),"%"),CONCATENATE(VLOOKUP(A22,liste_groupe[],5,FALSE)," : ",ROUND(K22,0),"%"))</f>
        <v>#N/A</v>
      </c>
      <c r="O22" s="1"/>
    </row>
    <row r="23" spans="1:15" s="80" customFormat="1" ht="15.5" x14ac:dyDescent="0.35">
      <c r="A23" s="83" t="str">
        <f>'Page de garde'!A31</f>
        <v xml:space="preserve"> </v>
      </c>
      <c r="B23" s="103"/>
      <c r="C23" s="83"/>
      <c r="D23" s="83"/>
      <c r="E23" s="85"/>
      <c r="F23" s="101" t="e">
        <f>HLOOKUP(A23,'pooled normalised values'!$B$74:$AK$83,10,FALSE)</f>
        <v>#N/A</v>
      </c>
      <c r="G23" s="132" t="e">
        <f t="shared" si="4"/>
        <v>#N/A</v>
      </c>
      <c r="H23" s="123" t="str">
        <f>IF(VLOOKUP(A23,liste_groupe[],4,FALSE)="%",VLOOKUP(A23,liste_groupe[],3,FALSE)/100,IF(ISBLANK(VLOOKUP(A23,liste_groupe[],4,FALSE)),"Non","Non"))</f>
        <v>Non</v>
      </c>
      <c r="I23" s="132" t="e">
        <f t="shared" si="1"/>
        <v>#N/A</v>
      </c>
      <c r="J23" s="133">
        <v>64</v>
      </c>
      <c r="K23" s="134" t="e">
        <f t="shared" si="2"/>
        <v>#N/A</v>
      </c>
      <c r="L23" s="129"/>
      <c r="M23" s="135" t="e">
        <f t="shared" si="3"/>
        <v>#N/A</v>
      </c>
      <c r="N23" s="96" t="e">
        <f>IF(H23="Non",CONCATENATE(VLOOKUP(A23,liste_groupe[],5,FALSE),"-",VLOOKUP(A23,liste_groupe[],3,FALSE),VLOOKUP(A23,liste_groupe[],4,FALSE)," : ",ROUND(K23,0),"%"),CONCATENATE(VLOOKUP(A23,liste_groupe[],5,FALSE)," : ",ROUND(K23,0),"%"))</f>
        <v>#N/A</v>
      </c>
      <c r="O23" s="1"/>
    </row>
    <row r="24" spans="1:15" s="80" customFormat="1" ht="15.5" x14ac:dyDescent="0.35">
      <c r="A24" s="83" t="str">
        <f>'Page de garde'!A32</f>
        <v xml:space="preserve"> </v>
      </c>
      <c r="B24" s="103"/>
      <c r="C24" s="83"/>
      <c r="D24" s="83"/>
      <c r="E24" s="85"/>
      <c r="F24" s="101" t="e">
        <f>HLOOKUP(A24,'pooled normalised values'!$B$74:$AK$83,10,FALSE)</f>
        <v>#N/A</v>
      </c>
      <c r="G24" s="132" t="e">
        <f t="shared" si="4"/>
        <v>#N/A</v>
      </c>
      <c r="H24" s="123" t="str">
        <f>IF(VLOOKUP(A24,liste_groupe[],4,FALSE)="%",VLOOKUP(A24,liste_groupe[],3,FALSE)/100,IF(ISBLANK(VLOOKUP(A24,liste_groupe[],4,FALSE)),"Non","Non"))</f>
        <v>Non</v>
      </c>
      <c r="I24" s="132" t="e">
        <f t="shared" si="1"/>
        <v>#N/A</v>
      </c>
      <c r="J24" s="133">
        <v>64</v>
      </c>
      <c r="K24" s="134" t="e">
        <f t="shared" si="2"/>
        <v>#N/A</v>
      </c>
      <c r="L24" s="129"/>
      <c r="M24" s="135" t="e">
        <f t="shared" si="3"/>
        <v>#N/A</v>
      </c>
      <c r="N24" s="96" t="e">
        <f>IF(H24="Non",CONCATENATE(VLOOKUP(A24,liste_groupe[],5,FALSE),"-",VLOOKUP(A24,liste_groupe[],3,FALSE),VLOOKUP(A24,liste_groupe[],4,FALSE)," : ",ROUND(K24,0),"%"),CONCATENATE(VLOOKUP(A24,liste_groupe[],5,FALSE)," : ",ROUND(K24,0),"%"))</f>
        <v>#N/A</v>
      </c>
      <c r="O24" s="1"/>
    </row>
    <row r="25" spans="1:15" s="80" customFormat="1" ht="15.5" x14ac:dyDescent="0.35">
      <c r="A25" s="83" t="str">
        <f>'Page de garde'!A33</f>
        <v xml:space="preserve"> </v>
      </c>
      <c r="B25" s="103"/>
      <c r="C25" s="83"/>
      <c r="D25" s="83"/>
      <c r="E25" s="85"/>
      <c r="F25" s="101" t="e">
        <f>HLOOKUP(A25,'pooled normalised values'!$B$74:$AK$83,10,FALSE)</f>
        <v>#N/A</v>
      </c>
      <c r="G25" s="132" t="e">
        <f t="shared" si="4"/>
        <v>#N/A</v>
      </c>
      <c r="H25" s="123" t="str">
        <f>IF(VLOOKUP(A25,liste_groupe[],4,FALSE)="%",VLOOKUP(A25,liste_groupe[],3,FALSE)/100,IF(ISBLANK(VLOOKUP(A25,liste_groupe[],4,FALSE)),"Non","Non"))</f>
        <v>Non</v>
      </c>
      <c r="I25" s="132" t="e">
        <f t="shared" si="1"/>
        <v>#N/A</v>
      </c>
      <c r="J25" s="133">
        <v>64</v>
      </c>
      <c r="K25" s="134" t="e">
        <f t="shared" si="2"/>
        <v>#N/A</v>
      </c>
      <c r="L25" s="129"/>
      <c r="M25" s="135" t="e">
        <f t="shared" si="3"/>
        <v>#N/A</v>
      </c>
      <c r="N25" s="96" t="e">
        <f>IF(H25="Non",CONCATENATE(VLOOKUP(A25,liste_groupe[],5,FALSE),"-",VLOOKUP(A25,liste_groupe[],3,FALSE),VLOOKUP(A25,liste_groupe[],4,FALSE)," : ",ROUND(K25,0),"%"),CONCATENATE(VLOOKUP(A25,liste_groupe[],5,FALSE)," : ",ROUND(K25,0),"%"))</f>
        <v>#N/A</v>
      </c>
      <c r="O25" s="1"/>
    </row>
    <row r="26" spans="1:15" s="80" customFormat="1" ht="15.5" x14ac:dyDescent="0.35">
      <c r="A26" s="83" t="str">
        <f>'Page de garde'!A34</f>
        <v xml:space="preserve"> </v>
      </c>
      <c r="B26" s="102"/>
      <c r="C26" s="89"/>
      <c r="D26" s="89"/>
      <c r="E26" s="85"/>
      <c r="F26" s="101" t="e">
        <f>HLOOKUP(A26,'pooled normalised values'!$B$74:$AK$83,10,FALSE)</f>
        <v>#N/A</v>
      </c>
      <c r="G26" s="132" t="e">
        <f t="shared" ref="G26" si="5">IF(F26="NS","NC",ROUND(B26,2-(1+INT(LOG10(ABS(B26))))))</f>
        <v>#N/A</v>
      </c>
      <c r="H26" s="123" t="str">
        <f>IF(VLOOKUP(A26,liste_groupe[],4,FALSE)="%",VLOOKUP(A26,liste_groupe[],3,FALSE)/100,IF(ISBLANK(VLOOKUP(A26,liste_groupe[],4,FALSE)),"Non","Non"))</f>
        <v>Non</v>
      </c>
      <c r="I26" s="132" t="e">
        <f t="shared" si="1"/>
        <v>#N/A</v>
      </c>
      <c r="J26" s="133">
        <v>64</v>
      </c>
      <c r="K26" s="134" t="e">
        <f t="shared" si="2"/>
        <v>#N/A</v>
      </c>
      <c r="L26" s="129"/>
      <c r="M26" s="135" t="e">
        <f t="shared" si="3"/>
        <v>#N/A</v>
      </c>
      <c r="N26" s="96" t="e">
        <f>IF(H26="Non",CONCATENATE(VLOOKUP(A26,liste_groupe[],5,FALSE),"-",VLOOKUP(A26,liste_groupe[],3,FALSE),VLOOKUP(A26,liste_groupe[],4,FALSE)," : ",ROUND(K26,0),"%"),CONCATENATE(VLOOKUP(A26,liste_groupe[],5,FALSE)," : ",ROUND(K26,0),"%"))</f>
        <v>#N/A</v>
      </c>
      <c r="O26"/>
    </row>
    <row r="27" spans="1:15" s="80" customFormat="1" ht="15.5" x14ac:dyDescent="0.35">
      <c r="A27"/>
      <c r="B27"/>
      <c r="C27"/>
      <c r="D27"/>
      <c r="E27"/>
      <c r="F27"/>
      <c r="G27"/>
      <c r="H27"/>
      <c r="I27"/>
      <c r="J27"/>
      <c r="K27"/>
      <c r="L27"/>
      <c r="M27"/>
      <c r="N27"/>
      <c r="O27" s="1"/>
    </row>
    <row r="28" spans="1:15" s="80" customFormat="1" ht="31.5" thickBot="1" x14ac:dyDescent="0.4">
      <c r="A28"/>
      <c r="B28" s="91" t="s">
        <v>25</v>
      </c>
      <c r="C28" s="91" t="s">
        <v>26</v>
      </c>
      <c r="D28" s="91" t="s">
        <v>27</v>
      </c>
      <c r="E28" s="92" t="s">
        <v>64</v>
      </c>
      <c r="F28" s="130" t="s">
        <v>80</v>
      </c>
      <c r="G28" s="98" t="s">
        <v>42</v>
      </c>
      <c r="H28" s="98" t="s">
        <v>65</v>
      </c>
      <c r="I28" s="98" t="s">
        <v>66</v>
      </c>
      <c r="J28" s="99" t="s">
        <v>77</v>
      </c>
      <c r="K28" s="99" t="s">
        <v>67</v>
      </c>
      <c r="L28" s="100" t="s">
        <v>76</v>
      </c>
      <c r="M28" s="100" t="s">
        <v>68</v>
      </c>
      <c r="N28" s="100" t="s">
        <v>69</v>
      </c>
      <c r="O28" s="1"/>
    </row>
    <row r="29" spans="1:15" s="80" customFormat="1" ht="15.5" x14ac:dyDescent="0.35">
      <c r="A29" s="87" t="s">
        <v>29</v>
      </c>
      <c r="B29" s="103"/>
      <c r="C29" s="83"/>
      <c r="D29" s="83"/>
      <c r="E29" s="85"/>
      <c r="F29" s="94"/>
      <c r="G29" s="137"/>
      <c r="H29" s="124"/>
      <c r="I29" s="124"/>
      <c r="J29" s="125"/>
      <c r="K29" s="126"/>
      <c r="L29" s="128"/>
      <c r="M29" s="125"/>
      <c r="N29" s="95"/>
      <c r="O29"/>
    </row>
    <row r="30" spans="1:15" s="80" customFormat="1" ht="15.5" x14ac:dyDescent="0.35">
      <c r="A30" s="87" t="s">
        <v>31</v>
      </c>
      <c r="B30" s="103"/>
      <c r="C30" s="83"/>
      <c r="D30" s="83"/>
      <c r="E30" s="85"/>
      <c r="F30" s="94"/>
      <c r="G30" s="136" t="e">
        <f>IF(F30="NS","NC",ROUND(B30-$B$29,2-(1+INT(LOG10(ABS(B30-$B$29))))))</f>
        <v>#NUM!</v>
      </c>
      <c r="H30" s="124"/>
      <c r="I30" s="137"/>
      <c r="J30" s="138"/>
      <c r="K30" s="139"/>
      <c r="L30" s="138"/>
      <c r="M30" s="138"/>
      <c r="N30" s="140"/>
      <c r="O30"/>
    </row>
    <row r="31" spans="1:15" s="80" customFormat="1" ht="15.5" x14ac:dyDescent="0.35">
      <c r="A31" s="87" t="s">
        <v>30</v>
      </c>
      <c r="B31" s="103"/>
      <c r="C31" s="83"/>
      <c r="D31" s="83"/>
      <c r="E31" s="85"/>
      <c r="F31" s="94"/>
      <c r="G31" s="136" t="e">
        <f t="shared" ref="G31:G51" si="6">IF(F31="NS","NC",ROUND(B31-$B$29,2-(1+INT(LOG10(ABS(B31-$B$29))))))</f>
        <v>#NUM!</v>
      </c>
      <c r="H31" s="124"/>
      <c r="I31" s="137"/>
      <c r="J31" s="138"/>
      <c r="K31" s="139"/>
      <c r="L31" s="138"/>
      <c r="M31" s="138"/>
      <c r="N31" s="140"/>
    </row>
    <row r="32" spans="1:15" s="80" customFormat="1" ht="15.5" x14ac:dyDescent="0.35">
      <c r="A32" s="131" t="str">
        <f>'Page de garde'!A39</f>
        <v>Anastrozole-0,032ug/L + Testostérone</v>
      </c>
      <c r="B32" s="103"/>
      <c r="C32" s="83"/>
      <c r="D32" s="83"/>
      <c r="E32" s="85"/>
      <c r="F32" s="97" t="str">
        <f>HLOOKUP(A32,'pooled normalised values'!$B$74:$AK$83,10,FALSE)</f>
        <v>NS</v>
      </c>
      <c r="G32" s="136" t="str">
        <f t="shared" si="6"/>
        <v>NC</v>
      </c>
      <c r="H32" s="127" t="str">
        <f>IF(VLOOKUP(A32,liste_groupe[],4,FALSE)="%",VLOOKUP(A32,liste_groupe[],3,FALSE)/100,IF(ISBLANK(VLOOKUP(A32,liste_groupe[],4,FALSE)),"Non","Non"))</f>
        <v>Non</v>
      </c>
      <c r="I32" s="136" t="str">
        <f>IF(F32="NS","NC",IF(H32="Non",G32,G32*(1/H32)))</f>
        <v>NC</v>
      </c>
      <c r="J32" s="141" t="e">
        <f>IF(G32&lt;0,$G$31,$G$30)</f>
        <v>#NUM!</v>
      </c>
      <c r="K32" s="142">
        <f>IF(F32="NS",0,IF(I32&lt;0,-ROUND(I32/J32*100,0),ROUND(I32/J32*100,0)))</f>
        <v>0</v>
      </c>
      <c r="L32" s="143">
        <v>1</v>
      </c>
      <c r="M32" s="135">
        <f>IF(I32&lt;0,IF(K32&lt;-100,-125,K32),IF(K32&gt;100,125,K32))</f>
        <v>0</v>
      </c>
      <c r="N32" s="144" t="str">
        <f>IF(H32="Non",CONCATENATE(VLOOKUP(A32,liste_groupe[],5,FALSE),"-",VLOOKUP(A32,liste_groupe[],3,FALSE),VLOOKUP(A32,liste_groupe[],4,FALSE)," : ",ROUND(K32,0),"%"),CONCATENATE(VLOOKUP(A32,liste_groupe[],5,FALSE)," : ",ROUND(K32,0),"%"))</f>
        <v>Anastrozole-0,032ug/L : 0%</v>
      </c>
    </row>
    <row r="33" spans="1:14" s="80" customFormat="1" ht="15.5" x14ac:dyDescent="0.35">
      <c r="A33" s="131" t="str">
        <f>'Page de garde'!A40</f>
        <v>Anastrozole-0,16ug/L + Testostérone</v>
      </c>
      <c r="B33" s="102"/>
      <c r="C33" s="90"/>
      <c r="D33" s="90"/>
      <c r="E33" s="85"/>
      <c r="F33" s="97" t="str">
        <f>HLOOKUP(A33,'pooled normalised values'!$B$74:$AK$83,10,FALSE)</f>
        <v>*</v>
      </c>
      <c r="G33" s="136" t="e">
        <f>IF(F33="NS","NC",ROUND(B33-$B$29,2-(1+INT(LOG10(ABS(B33-$B$29))))))</f>
        <v>#NUM!</v>
      </c>
      <c r="H33" s="127" t="str">
        <f>IF(VLOOKUP(A33,liste_groupe[],4,FALSE)="%",VLOOKUP(A33,liste_groupe[],3,FALSE)/100,IF(ISBLANK(VLOOKUP(A33,liste_groupe[],4,FALSE)),"Non","Non"))</f>
        <v>Non</v>
      </c>
      <c r="I33" s="136" t="e">
        <f t="shared" ref="I33:I51" si="7">IF(F33="NS","NC",IF(H33="Non",G33,G33*(1/H33)))</f>
        <v>#NUM!</v>
      </c>
      <c r="J33" s="141" t="e">
        <f t="shared" ref="J33:J51" si="8">IF(G33&lt;0,$G$31,$G$30)</f>
        <v>#NUM!</v>
      </c>
      <c r="K33" s="142" t="e">
        <f t="shared" ref="K33:K51" si="9">IF(F33="NS",0,IF(I33&lt;0,-ROUND(I33/J33*100,0),ROUND(I33/J33*100,0)))</f>
        <v>#NUM!</v>
      </c>
      <c r="L33" s="143"/>
      <c r="M33" s="135" t="e">
        <f t="shared" ref="M33:M51" si="10">IF(I33&lt;0,IF(K33&lt;-100,-125,K33),IF(K33&gt;100,125,K33))</f>
        <v>#NUM!</v>
      </c>
      <c r="N33" s="144" t="e">
        <f>IF(H33="Non",CONCATENATE(VLOOKUP(A33,liste_groupe[],5,FALSE),"-",VLOOKUP(A33,liste_groupe[],3,FALSE),VLOOKUP(A33,liste_groupe[],4,FALSE)," : ",ROUND(K33,0),"%"),CONCATENATE(VLOOKUP(A33,liste_groupe[],5,FALSE)," : ",ROUND(K33,0),"%"))</f>
        <v>#NUM!</v>
      </c>
    </row>
    <row r="34" spans="1:14" s="80" customFormat="1" ht="15.5" x14ac:dyDescent="0.35">
      <c r="A34" s="131" t="str">
        <f>'Page de garde'!A41</f>
        <v>Anastrozole-0,8ug/L + Testostérone</v>
      </c>
      <c r="B34" s="103"/>
      <c r="C34" s="83"/>
      <c r="D34" s="83"/>
      <c r="E34" s="85"/>
      <c r="F34" s="97" t="str">
        <f>HLOOKUP(A34,'pooled normalised values'!$B$74:$AK$83,10,FALSE)</f>
        <v>***</v>
      </c>
      <c r="G34" s="136" t="e">
        <f t="shared" si="6"/>
        <v>#NUM!</v>
      </c>
      <c r="H34" s="127" t="str">
        <f>IF(VLOOKUP(A34,liste_groupe[],4,FALSE)="%",VLOOKUP(A34,liste_groupe[],3,FALSE)/100,IF(ISBLANK(VLOOKUP(A34,liste_groupe[],4,FALSE)),"Non","Non"))</f>
        <v>Non</v>
      </c>
      <c r="I34" s="136" t="e">
        <f t="shared" si="7"/>
        <v>#NUM!</v>
      </c>
      <c r="J34" s="141" t="e">
        <f t="shared" si="8"/>
        <v>#NUM!</v>
      </c>
      <c r="K34" s="142" t="e">
        <f t="shared" si="9"/>
        <v>#NUM!</v>
      </c>
      <c r="L34" s="143"/>
      <c r="M34" s="135" t="e">
        <f t="shared" si="10"/>
        <v>#NUM!</v>
      </c>
      <c r="N34" s="144" t="e">
        <f>IF(H34="Non",CONCATENATE(VLOOKUP(A34,liste_groupe[],5,FALSE),"-",VLOOKUP(A34,liste_groupe[],3,FALSE),VLOOKUP(A34,liste_groupe[],4,FALSE)," : ",ROUND(K34,0),"%"),CONCATENATE(VLOOKUP(A34,liste_groupe[],5,FALSE)," : ",ROUND(K34,0),"%"))</f>
        <v>#NUM!</v>
      </c>
    </row>
    <row r="35" spans="1:14" s="80" customFormat="1" ht="15.5" x14ac:dyDescent="0.35">
      <c r="A35" s="131" t="str">
        <f>'Page de garde'!A42</f>
        <v>Anastrozole-4ug/L + Testostérone</v>
      </c>
      <c r="B35" s="102"/>
      <c r="C35" s="90"/>
      <c r="D35" s="90"/>
      <c r="E35" s="85"/>
      <c r="F35" s="97" t="str">
        <f>HLOOKUP(A35,'pooled normalised values'!$B$74:$AK$83,10,FALSE)</f>
        <v>***</v>
      </c>
      <c r="G35" s="136" t="e">
        <f t="shared" si="6"/>
        <v>#NUM!</v>
      </c>
      <c r="H35" s="127" t="str">
        <f>IF(VLOOKUP(A35,liste_groupe[],4,FALSE)="%",VLOOKUP(A35,liste_groupe[],3,FALSE)/100,IF(ISBLANK(VLOOKUP(A35,liste_groupe[],4,FALSE)),"Non","Non"))</f>
        <v>Non</v>
      </c>
      <c r="I35" s="136" t="e">
        <f t="shared" si="7"/>
        <v>#NUM!</v>
      </c>
      <c r="J35" s="141" t="e">
        <f t="shared" si="8"/>
        <v>#NUM!</v>
      </c>
      <c r="K35" s="142" t="e">
        <f t="shared" si="9"/>
        <v>#NUM!</v>
      </c>
      <c r="L35" s="143"/>
      <c r="M35" s="135" t="e">
        <f t="shared" si="10"/>
        <v>#NUM!</v>
      </c>
      <c r="N35" s="144" t="e">
        <f>IF(H35="Non",CONCATENATE(VLOOKUP(A35,liste_groupe[],5,FALSE),"-",VLOOKUP(A35,liste_groupe[],3,FALSE),VLOOKUP(A35,liste_groupe[],4,FALSE)," : ",ROUND(K35,0),"%"),CONCATENATE(VLOOKUP(A35,liste_groupe[],5,FALSE)," : ",ROUND(K35,0),"%"))</f>
        <v>#NUM!</v>
      </c>
    </row>
    <row r="36" spans="1:14" s="80" customFormat="1" ht="15.5" x14ac:dyDescent="0.35">
      <c r="A36" s="131" t="str">
        <f>'Page de garde'!A43</f>
        <v>Anastrozole-20ug/L + Testostérone</v>
      </c>
      <c r="B36" s="102"/>
      <c r="C36" s="90"/>
      <c r="D36" s="90"/>
      <c r="E36" s="85"/>
      <c r="F36" s="97" t="str">
        <f>HLOOKUP(A36,'pooled normalised values'!$B$74:$AK$83,10,FALSE)</f>
        <v>***</v>
      </c>
      <c r="G36" s="136" t="e">
        <f t="shared" si="6"/>
        <v>#NUM!</v>
      </c>
      <c r="H36" s="127" t="str">
        <f>IF(VLOOKUP(A36,liste_groupe[],4,FALSE)="%",VLOOKUP(A36,liste_groupe[],3,FALSE)/100,IF(ISBLANK(VLOOKUP(A36,liste_groupe[],4,FALSE)),"Non","Non"))</f>
        <v>Non</v>
      </c>
      <c r="I36" s="136" t="e">
        <f t="shared" si="7"/>
        <v>#NUM!</v>
      </c>
      <c r="J36" s="141" t="e">
        <f t="shared" si="8"/>
        <v>#NUM!</v>
      </c>
      <c r="K36" s="142" t="e">
        <f t="shared" si="9"/>
        <v>#NUM!</v>
      </c>
      <c r="L36" s="143"/>
      <c r="M36" s="135" t="e">
        <f t="shared" si="10"/>
        <v>#NUM!</v>
      </c>
      <c r="N36" s="144" t="e">
        <f>IF(H36="Non",CONCATENATE(VLOOKUP(A36,liste_groupe[],5,FALSE),"-",VLOOKUP(A36,liste_groupe[],3,FALSE),VLOOKUP(A36,liste_groupe[],4,FALSE)," : ",ROUND(K36,0),"%"),CONCATENATE(VLOOKUP(A36,liste_groupe[],5,FALSE)," : ",ROUND(K36,0),"%"))</f>
        <v>#NUM!</v>
      </c>
    </row>
    <row r="37" spans="1:14" s="80" customFormat="1" ht="15.5" x14ac:dyDescent="0.35">
      <c r="A37" s="131" t="str">
        <f>'Page de garde'!A44</f>
        <v>0-00 + Testostérone</v>
      </c>
      <c r="B37" s="102"/>
      <c r="C37" s="90"/>
      <c r="D37" s="90"/>
      <c r="E37" s="85"/>
      <c r="F37" s="97" t="e">
        <f ca="1">HLOOKUP(A37,'pooled normalised values'!$B$74:$AK$83,10,FALSE)</f>
        <v>#NAME?</v>
      </c>
      <c r="G37" s="136" t="e">
        <f t="shared" ca="1" si="6"/>
        <v>#NAME?</v>
      </c>
      <c r="H37" s="127" t="str">
        <f>IF(VLOOKUP(A37,liste_groupe[],4,FALSE)="%",VLOOKUP(A37,liste_groupe[],3,FALSE)/100,IF(ISBLANK(VLOOKUP(A37,liste_groupe[],4,FALSE)),"Non","Non"))</f>
        <v>Non</v>
      </c>
      <c r="I37" s="136" t="e">
        <f t="shared" ca="1" si="7"/>
        <v>#NAME?</v>
      </c>
      <c r="J37" s="141" t="e">
        <f t="shared" ca="1" si="8"/>
        <v>#NAME?</v>
      </c>
      <c r="K37" s="142" t="e">
        <f t="shared" ca="1" si="9"/>
        <v>#NAME?</v>
      </c>
      <c r="L37" s="143"/>
      <c r="M37" s="135" t="e">
        <f t="shared" ca="1" si="10"/>
        <v>#NAME?</v>
      </c>
      <c r="N37" s="144" t="e">
        <f ca="1">IF(H37="Non",CONCATENATE(VLOOKUP(A37,liste_groupe[],5,FALSE),"-",VLOOKUP(A37,liste_groupe[],3,FALSE),VLOOKUP(A37,liste_groupe[],4,FALSE)," : ",ROUND(K37,0),"%"),CONCATENATE(VLOOKUP(A37,liste_groupe[],5,FALSE)," : ",ROUND(K37,0),"%"))</f>
        <v>#NAME?</v>
      </c>
    </row>
    <row r="38" spans="1:14" s="80" customFormat="1" ht="15.5" x14ac:dyDescent="0.35">
      <c r="A38" s="131" t="str">
        <f>'Page de garde'!A45</f>
        <v>0-00 + Testostérone</v>
      </c>
      <c r="B38" s="102"/>
      <c r="C38" s="90"/>
      <c r="D38" s="90"/>
      <c r="E38" s="85"/>
      <c r="F38" s="97" t="e">
        <f ca="1">HLOOKUP(A38,'pooled normalised values'!$B$74:$AK$83,10,FALSE)</f>
        <v>#NAME?</v>
      </c>
      <c r="G38" s="136" t="e">
        <f t="shared" ca="1" si="6"/>
        <v>#NAME?</v>
      </c>
      <c r="H38" s="127" t="str">
        <f>IF(VLOOKUP(A38,liste_groupe[],4,FALSE)="%",VLOOKUP(A38,liste_groupe[],3,FALSE)/100,IF(ISBLANK(VLOOKUP(A38,liste_groupe[],4,FALSE)),"Non","Non"))</f>
        <v>Non</v>
      </c>
      <c r="I38" s="136" t="e">
        <f t="shared" ca="1" si="7"/>
        <v>#NAME?</v>
      </c>
      <c r="J38" s="141" t="e">
        <f t="shared" ca="1" si="8"/>
        <v>#NAME?</v>
      </c>
      <c r="K38" s="142" t="e">
        <f t="shared" ca="1" si="9"/>
        <v>#NAME?</v>
      </c>
      <c r="L38" s="143"/>
      <c r="M38" s="135" t="e">
        <f t="shared" ca="1" si="10"/>
        <v>#NAME?</v>
      </c>
      <c r="N38" s="144" t="e">
        <f ca="1">IF(H38="Non",CONCATENATE(VLOOKUP(A38,liste_groupe[],5,FALSE),"-",VLOOKUP(A38,liste_groupe[],3,FALSE),VLOOKUP(A38,liste_groupe[],4,FALSE)," : ",ROUND(K38,0),"%"),CONCATENATE(VLOOKUP(A38,liste_groupe[],5,FALSE)," : ",ROUND(K38,0),"%"))</f>
        <v>#NAME?</v>
      </c>
    </row>
    <row r="39" spans="1:14" s="80" customFormat="1" ht="15.5" x14ac:dyDescent="0.35">
      <c r="A39" s="131" t="str">
        <f>'Page de garde'!A46</f>
        <v>0-00 + Testostérone</v>
      </c>
      <c r="B39" s="102"/>
      <c r="C39" s="90"/>
      <c r="D39" s="90"/>
      <c r="E39" s="85"/>
      <c r="F39" s="97" t="e">
        <f ca="1">HLOOKUP(A39,'pooled normalised values'!$B$74:$AK$83,10,FALSE)</f>
        <v>#NAME?</v>
      </c>
      <c r="G39" s="136" t="e">
        <f t="shared" ref="G39:G50" ca="1" si="11">IF(F39="NS","NC",ROUND(B39-$B$29,2-(1+INT(LOG10(ABS(B39-$B$29))))))</f>
        <v>#NAME?</v>
      </c>
      <c r="H39" s="127" t="str">
        <f>IF(VLOOKUP(A39,liste_groupe[],4,FALSE)="%",VLOOKUP(A39,liste_groupe[],3,FALSE)/100,IF(ISBLANK(VLOOKUP(A39,liste_groupe[],4,FALSE)),"Non","Non"))</f>
        <v>Non</v>
      </c>
      <c r="I39" s="136" t="e">
        <f t="shared" ca="1" si="7"/>
        <v>#NAME?</v>
      </c>
      <c r="J39" s="141" t="e">
        <f t="shared" ref="J39:J50" ca="1" si="12">IF(G39&lt;0,$G$31,$G$30)</f>
        <v>#NAME?</v>
      </c>
      <c r="K39" s="142" t="e">
        <f t="shared" ca="1" si="9"/>
        <v>#NAME?</v>
      </c>
      <c r="L39" s="143"/>
      <c r="M39" s="135" t="e">
        <f t="shared" ca="1" si="10"/>
        <v>#NAME?</v>
      </c>
      <c r="N39" s="144" t="e">
        <f ca="1">IF(H39="Non",CONCATENATE(VLOOKUP(A39,liste_groupe[],5,FALSE),"-",VLOOKUP(A39,liste_groupe[],3,FALSE),VLOOKUP(A39,liste_groupe[],4,FALSE)," : ",ROUND(K39,0),"%"),CONCATENATE(VLOOKUP(A39,liste_groupe[],5,FALSE)," : ",ROUND(K39,0),"%"))</f>
        <v>#NAME?</v>
      </c>
    </row>
    <row r="40" spans="1:14" s="80" customFormat="1" ht="15.5" x14ac:dyDescent="0.35">
      <c r="A40" s="131" t="str">
        <f>'Page de garde'!A47</f>
        <v>0-00 + Testostérone</v>
      </c>
      <c r="B40" s="102"/>
      <c r="C40" s="90"/>
      <c r="D40" s="90"/>
      <c r="E40" s="85"/>
      <c r="F40" s="97" t="e">
        <f ca="1">HLOOKUP(A40,'pooled normalised values'!$B$74:$AK$83,10,FALSE)</f>
        <v>#NAME?</v>
      </c>
      <c r="G40" s="136" t="e">
        <f t="shared" ca="1" si="11"/>
        <v>#NAME?</v>
      </c>
      <c r="H40" s="127" t="str">
        <f>IF(VLOOKUP(A40,liste_groupe[],4,FALSE)="%",VLOOKUP(A40,liste_groupe[],3,FALSE)/100,IF(ISBLANK(VLOOKUP(A40,liste_groupe[],4,FALSE)),"Non","Non"))</f>
        <v>Non</v>
      </c>
      <c r="I40" s="136" t="e">
        <f t="shared" ca="1" si="7"/>
        <v>#NAME?</v>
      </c>
      <c r="J40" s="141" t="e">
        <f t="shared" ca="1" si="12"/>
        <v>#NAME?</v>
      </c>
      <c r="K40" s="142" t="e">
        <f t="shared" ca="1" si="9"/>
        <v>#NAME?</v>
      </c>
      <c r="L40" s="143"/>
      <c r="M40" s="135" t="e">
        <f t="shared" ca="1" si="10"/>
        <v>#NAME?</v>
      </c>
      <c r="N40" s="144" t="e">
        <f ca="1">IF(H40="Non",CONCATENATE(VLOOKUP(A40,liste_groupe[],5,FALSE),"-",VLOOKUP(A40,liste_groupe[],3,FALSE),VLOOKUP(A40,liste_groupe[],4,FALSE)," : ",ROUND(K40,0),"%"),CONCATENATE(VLOOKUP(A40,liste_groupe[],5,FALSE)," : ",ROUND(K40,0),"%"))</f>
        <v>#NAME?</v>
      </c>
    </row>
    <row r="41" spans="1:14" s="80" customFormat="1" ht="15.5" x14ac:dyDescent="0.35">
      <c r="A41" s="131" t="str">
        <f>'Page de garde'!A48</f>
        <v>0-00 + Testostérone</v>
      </c>
      <c r="B41" s="102"/>
      <c r="C41" s="90"/>
      <c r="D41" s="90"/>
      <c r="E41" s="85"/>
      <c r="F41" s="97" t="e">
        <f ca="1">HLOOKUP(A41,'pooled normalised values'!$B$74:$AK$83,10,FALSE)</f>
        <v>#NAME?</v>
      </c>
      <c r="G41" s="136" t="e">
        <f t="shared" ca="1" si="11"/>
        <v>#NAME?</v>
      </c>
      <c r="H41" s="127" t="str">
        <f>IF(VLOOKUP(A41,liste_groupe[],4,FALSE)="%",VLOOKUP(A41,liste_groupe[],3,FALSE)/100,IF(ISBLANK(VLOOKUP(A41,liste_groupe[],4,FALSE)),"Non","Non"))</f>
        <v>Non</v>
      </c>
      <c r="I41" s="136" t="e">
        <f t="shared" ca="1" si="7"/>
        <v>#NAME?</v>
      </c>
      <c r="J41" s="141" t="e">
        <f t="shared" ca="1" si="12"/>
        <v>#NAME?</v>
      </c>
      <c r="K41" s="142" t="e">
        <f t="shared" ca="1" si="9"/>
        <v>#NAME?</v>
      </c>
      <c r="L41" s="143"/>
      <c r="M41" s="135" t="e">
        <f t="shared" ca="1" si="10"/>
        <v>#NAME?</v>
      </c>
      <c r="N41" s="144" t="e">
        <f ca="1">IF(H41="Non",CONCATENATE(VLOOKUP(A41,liste_groupe[],5,FALSE),"-",VLOOKUP(A41,liste_groupe[],3,FALSE),VLOOKUP(A41,liste_groupe[],4,FALSE)," : ",ROUND(K41,0),"%"),CONCATENATE(VLOOKUP(A41,liste_groupe[],5,FALSE)," : ",ROUND(K41,0),"%"))</f>
        <v>#NAME?</v>
      </c>
    </row>
    <row r="42" spans="1:14" s="80" customFormat="1" ht="15.5" x14ac:dyDescent="0.35">
      <c r="A42" s="131" t="str">
        <f>'Page de garde'!A49</f>
        <v>0-00 + Testostérone</v>
      </c>
      <c r="B42" s="102"/>
      <c r="C42" s="90"/>
      <c r="D42" s="90"/>
      <c r="E42" s="85"/>
      <c r="F42" s="97" t="e">
        <f ca="1">HLOOKUP(A42,'pooled normalised values'!$B$74:$AK$83,10,FALSE)</f>
        <v>#NAME?</v>
      </c>
      <c r="G42" s="136" t="e">
        <f t="shared" ca="1" si="11"/>
        <v>#NAME?</v>
      </c>
      <c r="H42" s="127" t="str">
        <f>IF(VLOOKUP(A42,liste_groupe[],4,FALSE)="%",VLOOKUP(A42,liste_groupe[],3,FALSE)/100,IF(ISBLANK(VLOOKUP(A42,liste_groupe[],4,FALSE)),"Non","Non"))</f>
        <v>Non</v>
      </c>
      <c r="I42" s="136" t="e">
        <f t="shared" ca="1" si="7"/>
        <v>#NAME?</v>
      </c>
      <c r="J42" s="141" t="e">
        <f t="shared" ca="1" si="12"/>
        <v>#NAME?</v>
      </c>
      <c r="K42" s="142" t="e">
        <f t="shared" ca="1" si="9"/>
        <v>#NAME?</v>
      </c>
      <c r="L42" s="143"/>
      <c r="M42" s="135" t="e">
        <f t="shared" ca="1" si="10"/>
        <v>#NAME?</v>
      </c>
      <c r="N42" s="144" t="e">
        <f ca="1">IF(H42="Non",CONCATENATE(VLOOKUP(A42,liste_groupe[],5,FALSE),"-",VLOOKUP(A42,liste_groupe[],3,FALSE),VLOOKUP(A42,liste_groupe[],4,FALSE)," : ",ROUND(K42,0),"%"),CONCATENATE(VLOOKUP(A42,liste_groupe[],5,FALSE)," : ",ROUND(K42,0),"%"))</f>
        <v>#NAME?</v>
      </c>
    </row>
    <row r="43" spans="1:14" s="80" customFormat="1" ht="15.5" x14ac:dyDescent="0.35">
      <c r="A43" s="131" t="str">
        <f>'Page de garde'!A50</f>
        <v>0-00 + Testostérone</v>
      </c>
      <c r="B43" s="102"/>
      <c r="C43" s="90"/>
      <c r="D43" s="90"/>
      <c r="E43" s="85"/>
      <c r="F43" s="97" t="e">
        <f ca="1">HLOOKUP(A43,'pooled normalised values'!$B$74:$AK$83,10,FALSE)</f>
        <v>#NAME?</v>
      </c>
      <c r="G43" s="136" t="e">
        <f t="shared" ca="1" si="11"/>
        <v>#NAME?</v>
      </c>
      <c r="H43" s="127" t="str">
        <f>IF(VLOOKUP(A43,liste_groupe[],4,FALSE)="%",VLOOKUP(A43,liste_groupe[],3,FALSE)/100,IF(ISBLANK(VLOOKUP(A43,liste_groupe[],4,FALSE)),"Non","Non"))</f>
        <v>Non</v>
      </c>
      <c r="I43" s="136" t="e">
        <f t="shared" ca="1" si="7"/>
        <v>#NAME?</v>
      </c>
      <c r="J43" s="141" t="e">
        <f t="shared" ca="1" si="12"/>
        <v>#NAME?</v>
      </c>
      <c r="K43" s="142" t="e">
        <f t="shared" ca="1" si="9"/>
        <v>#NAME?</v>
      </c>
      <c r="L43" s="143"/>
      <c r="M43" s="135" t="e">
        <f t="shared" ca="1" si="10"/>
        <v>#NAME?</v>
      </c>
      <c r="N43" s="144" t="e">
        <f ca="1">IF(H43="Non",CONCATENATE(VLOOKUP(A43,liste_groupe[],5,FALSE),"-",VLOOKUP(A43,liste_groupe[],3,FALSE),VLOOKUP(A43,liste_groupe[],4,FALSE)," : ",ROUND(K43,0),"%"),CONCATENATE(VLOOKUP(A43,liste_groupe[],5,FALSE)," : ",ROUND(K43,0),"%"))</f>
        <v>#NAME?</v>
      </c>
    </row>
    <row r="44" spans="1:14" s="80" customFormat="1" ht="15.5" x14ac:dyDescent="0.35">
      <c r="A44" s="131" t="str">
        <f>'Page de garde'!A51</f>
        <v>0-00 + Testostérone</v>
      </c>
      <c r="B44" s="102"/>
      <c r="C44" s="90"/>
      <c r="D44" s="90"/>
      <c r="E44" s="85"/>
      <c r="F44" s="97" t="e">
        <f ca="1">HLOOKUP(A44,'pooled normalised values'!$B$74:$AK$83,10,FALSE)</f>
        <v>#NAME?</v>
      </c>
      <c r="G44" s="136" t="e">
        <f t="shared" ca="1" si="11"/>
        <v>#NAME?</v>
      </c>
      <c r="H44" s="127" t="str">
        <f>IF(VLOOKUP(A44,liste_groupe[],4,FALSE)="%",VLOOKUP(A44,liste_groupe[],3,FALSE)/100,IF(ISBLANK(VLOOKUP(A44,liste_groupe[],4,FALSE)),"Non","Non"))</f>
        <v>Non</v>
      </c>
      <c r="I44" s="136" t="e">
        <f t="shared" ca="1" si="7"/>
        <v>#NAME?</v>
      </c>
      <c r="J44" s="141" t="e">
        <f t="shared" ca="1" si="12"/>
        <v>#NAME?</v>
      </c>
      <c r="K44" s="142" t="e">
        <f t="shared" ca="1" si="9"/>
        <v>#NAME?</v>
      </c>
      <c r="L44" s="143"/>
      <c r="M44" s="135" t="e">
        <f t="shared" ca="1" si="10"/>
        <v>#NAME?</v>
      </c>
      <c r="N44" s="144" t="e">
        <f ca="1">IF(H44="Non",CONCATENATE(VLOOKUP(A44,liste_groupe[],5,FALSE),"-",VLOOKUP(A44,liste_groupe[],3,FALSE),VLOOKUP(A44,liste_groupe[],4,FALSE)," : ",ROUND(K44,0),"%"),CONCATENATE(VLOOKUP(A44,liste_groupe[],5,FALSE)," : ",ROUND(K44,0),"%"))</f>
        <v>#NAME?</v>
      </c>
    </row>
    <row r="45" spans="1:14" s="80" customFormat="1" ht="15.5" x14ac:dyDescent="0.35">
      <c r="A45" s="131" t="str">
        <f>'Page de garde'!A52</f>
        <v>0-00 + Testostérone</v>
      </c>
      <c r="B45" s="102"/>
      <c r="C45" s="90"/>
      <c r="D45" s="90"/>
      <c r="E45" s="85"/>
      <c r="F45" s="97" t="e">
        <f ca="1">HLOOKUP(A45,'pooled normalised values'!$B$74:$AK$83,10,FALSE)</f>
        <v>#NAME?</v>
      </c>
      <c r="G45" s="136" t="e">
        <f t="shared" ca="1" si="11"/>
        <v>#NAME?</v>
      </c>
      <c r="H45" s="127" t="str">
        <f>IF(VLOOKUP(A45,liste_groupe[],4,FALSE)="%",VLOOKUP(A45,liste_groupe[],3,FALSE)/100,IF(ISBLANK(VLOOKUP(A45,liste_groupe[],4,FALSE)),"Non","Non"))</f>
        <v>Non</v>
      </c>
      <c r="I45" s="136" t="e">
        <f t="shared" ca="1" si="7"/>
        <v>#NAME?</v>
      </c>
      <c r="J45" s="141" t="e">
        <f t="shared" ca="1" si="12"/>
        <v>#NAME?</v>
      </c>
      <c r="K45" s="142" t="e">
        <f t="shared" ca="1" si="9"/>
        <v>#NAME?</v>
      </c>
      <c r="L45" s="143"/>
      <c r="M45" s="135" t="e">
        <f t="shared" ca="1" si="10"/>
        <v>#NAME?</v>
      </c>
      <c r="N45" s="144" t="e">
        <f ca="1">IF(H45="Non",CONCATENATE(VLOOKUP(A45,liste_groupe[],5,FALSE),"-",VLOOKUP(A45,liste_groupe[],3,FALSE),VLOOKUP(A45,liste_groupe[],4,FALSE)," : ",ROUND(K45,0),"%"),CONCATENATE(VLOOKUP(A45,liste_groupe[],5,FALSE)," : ",ROUND(K45,0),"%"))</f>
        <v>#NAME?</v>
      </c>
    </row>
    <row r="46" spans="1:14" s="80" customFormat="1" ht="15.5" x14ac:dyDescent="0.35">
      <c r="A46" s="131" t="str">
        <f>'Page de garde'!A53</f>
        <v>0-00 + Testostérone</v>
      </c>
      <c r="B46" s="102"/>
      <c r="C46" s="90"/>
      <c r="D46" s="90"/>
      <c r="E46" s="85"/>
      <c r="F46" s="97" t="e">
        <f ca="1">HLOOKUP(A46,'pooled normalised values'!$B$74:$AK$83,10,FALSE)</f>
        <v>#NAME?</v>
      </c>
      <c r="G46" s="136" t="e">
        <f t="shared" ca="1" si="11"/>
        <v>#NAME?</v>
      </c>
      <c r="H46" s="127" t="str">
        <f>IF(VLOOKUP(A46,liste_groupe[],4,FALSE)="%",VLOOKUP(A46,liste_groupe[],3,FALSE)/100,IF(ISBLANK(VLOOKUP(A46,liste_groupe[],4,FALSE)),"Non","Non"))</f>
        <v>Non</v>
      </c>
      <c r="I46" s="136" t="e">
        <f t="shared" ca="1" si="7"/>
        <v>#NAME?</v>
      </c>
      <c r="J46" s="141" t="e">
        <f t="shared" ca="1" si="12"/>
        <v>#NAME?</v>
      </c>
      <c r="K46" s="142" t="e">
        <f t="shared" ca="1" si="9"/>
        <v>#NAME?</v>
      </c>
      <c r="L46" s="143"/>
      <c r="M46" s="135" t="e">
        <f t="shared" ca="1" si="10"/>
        <v>#NAME?</v>
      </c>
      <c r="N46" s="144" t="e">
        <f ca="1">IF(H46="Non",CONCATENATE(VLOOKUP(A46,liste_groupe[],5,FALSE),"-",VLOOKUP(A46,liste_groupe[],3,FALSE),VLOOKUP(A46,liste_groupe[],4,FALSE)," : ",ROUND(K46,0),"%"),CONCATENATE(VLOOKUP(A46,liste_groupe[],5,FALSE)," : ",ROUND(K46,0),"%"))</f>
        <v>#NAME?</v>
      </c>
    </row>
    <row r="47" spans="1:14" s="80" customFormat="1" ht="15.5" x14ac:dyDescent="0.35">
      <c r="A47" s="131" t="str">
        <f>'Page de garde'!A54</f>
        <v>0-00 + Testostérone</v>
      </c>
      <c r="B47" s="102"/>
      <c r="C47" s="90"/>
      <c r="D47" s="90"/>
      <c r="E47" s="85"/>
      <c r="F47" s="97" t="e">
        <f ca="1">HLOOKUP(A47,'pooled normalised values'!$B$74:$AK$83,10,FALSE)</f>
        <v>#NAME?</v>
      </c>
      <c r="G47" s="136" t="e">
        <f t="shared" ca="1" si="11"/>
        <v>#NAME?</v>
      </c>
      <c r="H47" s="127" t="str">
        <f>IF(VLOOKUP(A47,liste_groupe[],4,FALSE)="%",VLOOKUP(A47,liste_groupe[],3,FALSE)/100,IF(ISBLANK(VLOOKUP(A47,liste_groupe[],4,FALSE)),"Non","Non"))</f>
        <v>Non</v>
      </c>
      <c r="I47" s="136" t="e">
        <f t="shared" ca="1" si="7"/>
        <v>#NAME?</v>
      </c>
      <c r="J47" s="141" t="e">
        <f t="shared" ca="1" si="12"/>
        <v>#NAME?</v>
      </c>
      <c r="K47" s="142" t="e">
        <f t="shared" ca="1" si="9"/>
        <v>#NAME?</v>
      </c>
      <c r="L47" s="143"/>
      <c r="M47" s="135" t="e">
        <f t="shared" ca="1" si="10"/>
        <v>#NAME?</v>
      </c>
      <c r="N47" s="144" t="e">
        <f ca="1">IF(H47="Non",CONCATENATE(VLOOKUP(A47,liste_groupe[],5,FALSE),"-",VLOOKUP(A47,liste_groupe[],3,FALSE),VLOOKUP(A47,liste_groupe[],4,FALSE)," : ",ROUND(K47,0),"%"),CONCATENATE(VLOOKUP(A47,liste_groupe[],5,FALSE)," : ",ROUND(K47,0),"%"))</f>
        <v>#NAME?</v>
      </c>
    </row>
    <row r="48" spans="1:14" s="80" customFormat="1" ht="15.5" x14ac:dyDescent="0.35">
      <c r="A48" s="131" t="str">
        <f>'Page de garde'!A55</f>
        <v>0-00 + Testostérone</v>
      </c>
      <c r="B48" s="102"/>
      <c r="C48" s="90"/>
      <c r="D48" s="90"/>
      <c r="E48" s="85"/>
      <c r="F48" s="97" t="e">
        <f ca="1">HLOOKUP(A48,'pooled normalised values'!$B$74:$AK$83,10,FALSE)</f>
        <v>#NAME?</v>
      </c>
      <c r="G48" s="136" t="e">
        <f t="shared" ca="1" si="11"/>
        <v>#NAME?</v>
      </c>
      <c r="H48" s="127" t="str">
        <f>IF(VLOOKUP(A48,liste_groupe[],4,FALSE)="%",VLOOKUP(A48,liste_groupe[],3,FALSE)/100,IF(ISBLANK(VLOOKUP(A48,liste_groupe[],4,FALSE)),"Non","Non"))</f>
        <v>Non</v>
      </c>
      <c r="I48" s="136" t="e">
        <f t="shared" ca="1" si="7"/>
        <v>#NAME?</v>
      </c>
      <c r="J48" s="141" t="e">
        <f t="shared" ca="1" si="12"/>
        <v>#NAME?</v>
      </c>
      <c r="K48" s="142" t="e">
        <f t="shared" ca="1" si="9"/>
        <v>#NAME?</v>
      </c>
      <c r="L48" s="143"/>
      <c r="M48" s="135" t="e">
        <f t="shared" ca="1" si="10"/>
        <v>#NAME?</v>
      </c>
      <c r="N48" s="144" t="e">
        <f ca="1">IF(H48="Non",CONCATENATE(VLOOKUP(A48,liste_groupe[],5,FALSE),"-",VLOOKUP(A48,liste_groupe[],3,FALSE),VLOOKUP(A48,liste_groupe[],4,FALSE)," : ",ROUND(K48,0),"%"),CONCATENATE(VLOOKUP(A48,liste_groupe[],5,FALSE)," : ",ROUND(K48,0),"%"))</f>
        <v>#NAME?</v>
      </c>
    </row>
    <row r="49" spans="1:15" s="80" customFormat="1" ht="15.5" x14ac:dyDescent="0.35">
      <c r="A49" s="131" t="str">
        <f>'Page de garde'!A56</f>
        <v>0-00 + Testostérone</v>
      </c>
      <c r="B49" s="102"/>
      <c r="C49" s="90"/>
      <c r="D49" s="90"/>
      <c r="E49" s="85"/>
      <c r="F49" s="97" t="e">
        <f ca="1">HLOOKUP(A49,'pooled normalised values'!$B$74:$AK$83,10,FALSE)</f>
        <v>#NAME?</v>
      </c>
      <c r="G49" s="136" t="e">
        <f t="shared" ca="1" si="11"/>
        <v>#NAME?</v>
      </c>
      <c r="H49" s="127" t="str">
        <f>IF(VLOOKUP(A49,liste_groupe[],4,FALSE)="%",VLOOKUP(A49,liste_groupe[],3,FALSE)/100,IF(ISBLANK(VLOOKUP(A49,liste_groupe[],4,FALSE)),"Non","Non"))</f>
        <v>Non</v>
      </c>
      <c r="I49" s="136" t="e">
        <f t="shared" ca="1" si="7"/>
        <v>#NAME?</v>
      </c>
      <c r="J49" s="141" t="e">
        <f t="shared" ca="1" si="12"/>
        <v>#NAME?</v>
      </c>
      <c r="K49" s="142" t="e">
        <f t="shared" ca="1" si="9"/>
        <v>#NAME?</v>
      </c>
      <c r="L49" s="143"/>
      <c r="M49" s="135" t="e">
        <f t="shared" ca="1" si="10"/>
        <v>#NAME?</v>
      </c>
      <c r="N49" s="144" t="e">
        <f ca="1">IF(H49="Non",CONCATENATE(VLOOKUP(A49,liste_groupe[],5,FALSE),"-",VLOOKUP(A49,liste_groupe[],3,FALSE),VLOOKUP(A49,liste_groupe[],4,FALSE)," : ",ROUND(K49,0),"%"),CONCATENATE(VLOOKUP(A49,liste_groupe[],5,FALSE)," : ",ROUND(K49,0),"%"))</f>
        <v>#NAME?</v>
      </c>
    </row>
    <row r="50" spans="1:15" s="80" customFormat="1" ht="15.5" x14ac:dyDescent="0.35">
      <c r="A50" s="131" t="str">
        <f>'Page de garde'!A57</f>
        <v>0-00 + Testostérone</v>
      </c>
      <c r="B50" s="102"/>
      <c r="C50" s="90"/>
      <c r="D50" s="90"/>
      <c r="E50" s="85"/>
      <c r="F50" s="97" t="e">
        <f ca="1">HLOOKUP(A50,'pooled normalised values'!$B$74:$AK$83,10,FALSE)</f>
        <v>#NAME?</v>
      </c>
      <c r="G50" s="136" t="e">
        <f t="shared" ca="1" si="11"/>
        <v>#NAME?</v>
      </c>
      <c r="H50" s="127" t="str">
        <f>IF(VLOOKUP(A50,liste_groupe[],4,FALSE)="%",VLOOKUP(A50,liste_groupe[],3,FALSE)/100,IF(ISBLANK(VLOOKUP(A50,liste_groupe[],4,FALSE)),"Non","Non"))</f>
        <v>Non</v>
      </c>
      <c r="I50" s="136" t="e">
        <f t="shared" ca="1" si="7"/>
        <v>#NAME?</v>
      </c>
      <c r="J50" s="141" t="e">
        <f t="shared" ca="1" si="12"/>
        <v>#NAME?</v>
      </c>
      <c r="K50" s="142" t="e">
        <f t="shared" ca="1" si="9"/>
        <v>#NAME?</v>
      </c>
      <c r="L50" s="143"/>
      <c r="M50" s="135" t="e">
        <f t="shared" ca="1" si="10"/>
        <v>#NAME?</v>
      </c>
      <c r="N50" s="144" t="e">
        <f ca="1">IF(H50="Non",CONCATENATE(VLOOKUP(A50,liste_groupe[],5,FALSE),"-",VLOOKUP(A50,liste_groupe[],3,FALSE),VLOOKUP(A50,liste_groupe[],4,FALSE)," : ",ROUND(K50,0),"%"),CONCATENATE(VLOOKUP(A50,liste_groupe[],5,FALSE)," : ",ROUND(K50,0),"%"))</f>
        <v>#NAME?</v>
      </c>
    </row>
    <row r="51" spans="1:15" s="80" customFormat="1" ht="15.5" x14ac:dyDescent="0.35">
      <c r="A51" s="131" t="str">
        <f>'Page de garde'!A58</f>
        <v>0-00 + Testostérone</v>
      </c>
      <c r="B51" s="102"/>
      <c r="C51" s="90"/>
      <c r="D51" s="90"/>
      <c r="E51" s="85"/>
      <c r="F51" s="97" t="e">
        <f ca="1">HLOOKUP(A51,'pooled normalised values'!$B$74:$AK$83,10,FALSE)</f>
        <v>#NAME?</v>
      </c>
      <c r="G51" s="136" t="e">
        <f t="shared" ca="1" si="6"/>
        <v>#NAME?</v>
      </c>
      <c r="H51" s="127" t="str">
        <f>IF(VLOOKUP(A51,liste_groupe[],4,FALSE)="%",VLOOKUP(A51,liste_groupe[],3,FALSE)/100,IF(ISBLANK(VLOOKUP(A51,liste_groupe[],4,FALSE)),"Non","Non"))</f>
        <v>Non</v>
      </c>
      <c r="I51" s="136" t="e">
        <f t="shared" ca="1" si="7"/>
        <v>#NAME?</v>
      </c>
      <c r="J51" s="141" t="e">
        <f t="shared" ca="1" si="8"/>
        <v>#NAME?</v>
      </c>
      <c r="K51" s="142" t="e">
        <f t="shared" ca="1" si="9"/>
        <v>#NAME?</v>
      </c>
      <c r="L51" s="143"/>
      <c r="M51" s="135" t="e">
        <f t="shared" ca="1" si="10"/>
        <v>#NAME?</v>
      </c>
      <c r="N51" s="144" t="e">
        <f ca="1">IF(H51="Non",CONCATENATE(VLOOKUP(A51,liste_groupe[],5,FALSE),"-",VLOOKUP(A51,liste_groupe[],3,FALSE),VLOOKUP(A51,liste_groupe[],4,FALSE)," : ",ROUND(K51,0),"%"),CONCATENATE(VLOOKUP(A51,liste_groupe[],5,FALSE)," : ",ROUND(K51,0),"%"))</f>
        <v>#NAME?</v>
      </c>
    </row>
    <row r="52" spans="1:15" s="80" customFormat="1" ht="16" thickBot="1" x14ac:dyDescent="0.4">
      <c r="E52" s="81"/>
      <c r="F52" s="81"/>
      <c r="G52" s="81"/>
      <c r="H52" s="81"/>
      <c r="I52" s="81"/>
      <c r="J52" s="81"/>
      <c r="K52" s="81"/>
      <c r="L52" s="81"/>
      <c r="M52" s="81"/>
      <c r="N52" s="81"/>
    </row>
    <row r="53" spans="1:15" s="49" customFormat="1" ht="26.5" thickBot="1" x14ac:dyDescent="0.4">
      <c r="A53" s="240" t="s">
        <v>60</v>
      </c>
      <c r="B53" s="241"/>
      <c r="C53" s="241"/>
      <c r="D53" s="241"/>
      <c r="E53" s="241"/>
      <c r="F53" s="241"/>
      <c r="G53" s="241"/>
      <c r="H53" s="241"/>
      <c r="I53" s="241"/>
      <c r="J53" s="241"/>
      <c r="K53" s="241"/>
      <c r="L53" s="241"/>
      <c r="M53" s="241"/>
      <c r="N53" s="241"/>
      <c r="O53" s="242"/>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5" customWidth="1"/>
    <col min="2" max="2" width="46.26953125" style="185" customWidth="1"/>
    <col min="3" max="3" width="15.26953125" style="185" customWidth="1"/>
    <col min="4" max="4" width="24.7265625" style="185" customWidth="1"/>
    <col min="5" max="5" width="24.453125" style="185" customWidth="1"/>
    <col min="6" max="6" width="23.1796875" style="185" customWidth="1"/>
    <col min="7" max="7" width="21.26953125" style="185" customWidth="1"/>
    <col min="8" max="16384" width="11.453125" style="185"/>
  </cols>
  <sheetData>
    <row r="1" spans="1:7" ht="29.5" thickBot="1" x14ac:dyDescent="0.4">
      <c r="A1" s="190" t="s">
        <v>132</v>
      </c>
      <c r="B1" s="191" t="s">
        <v>133</v>
      </c>
      <c r="C1" s="191" t="s">
        <v>139</v>
      </c>
      <c r="D1" s="191" t="s">
        <v>138</v>
      </c>
      <c r="E1" s="191" t="s">
        <v>140</v>
      </c>
      <c r="F1" s="192" t="s">
        <v>141</v>
      </c>
      <c r="G1" s="193" t="s">
        <v>142</v>
      </c>
    </row>
    <row r="2" spans="1:7" ht="58" x14ac:dyDescent="0.35">
      <c r="A2" s="186" t="s">
        <v>134</v>
      </c>
      <c r="B2" s="187" t="s">
        <v>135</v>
      </c>
      <c r="C2" s="187" t="s">
        <v>136</v>
      </c>
      <c r="D2" s="187" t="s">
        <v>143</v>
      </c>
      <c r="E2" s="187" t="s">
        <v>137</v>
      </c>
      <c r="F2" s="188" t="s">
        <v>136</v>
      </c>
      <c r="G2" s="189"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6">
        <f>'pooled normalised values'!B75</f>
        <v>7.6653964865881011E-2</v>
      </c>
      <c r="D2" s="17" t="s">
        <v>9</v>
      </c>
      <c r="E2" s="18"/>
      <c r="F2" s="19" t="str">
        <f>'pooled normalised values'!J74</f>
        <v>Anastrozole 0,16 ug/L</v>
      </c>
      <c r="G2" s="19" t="str">
        <f>'pooled normalised values'!K74</f>
        <v>Anastrozole 0,8 ug/L</v>
      </c>
      <c r="H2" s="19" t="str">
        <f>'pooled normalised values'!L74</f>
        <v>Anastrozole 4 ug/L</v>
      </c>
      <c r="I2" s="19" t="str">
        <f>'pooled normalised values'!M74</f>
        <v>Anastrozole 20 ug/L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Anastrozole-0,032ug/L + Testostérone</v>
      </c>
      <c r="W2" s="19" t="str">
        <f>'pooled normalised values'!S74</f>
        <v>Anastrozole-0,16ug/L + Testostérone</v>
      </c>
      <c r="X2" s="19" t="str">
        <f>'pooled normalised values'!T74</f>
        <v>Anastrozole-0,8ug/L + Testostérone</v>
      </c>
      <c r="Y2" s="19" t="str">
        <f>'pooled normalised values'!U74</f>
        <v>Anastrozole-4ug/L + Testostérone</v>
      </c>
      <c r="Z2" s="19" t="str">
        <f>'pooled normalised values'!V74</f>
        <v>Anastrozole-20ug/L + Testostérone</v>
      </c>
      <c r="AA2" s="19" t="str">
        <f>'pooled normalised values'!W74</f>
        <v>0-00 + Testostérone</v>
      </c>
      <c r="AB2" s="19" t="str">
        <f>'pooled normalised values'!X74</f>
        <v>0-00 + Testostérone</v>
      </c>
      <c r="AC2" s="19" t="str">
        <f>'pooled normalised values'!Y74</f>
        <v>0-00 + Testostérone</v>
      </c>
      <c r="AD2" s="19" t="str">
        <f>'pooled normalised values'!Z74</f>
        <v>0-00 + Testostérone</v>
      </c>
      <c r="AE2" s="19" t="str">
        <f>'pooled normalised values'!AA74</f>
        <v>0-00 + Testostérone</v>
      </c>
      <c r="AF2" s="19" t="str">
        <f>'pooled normalised values'!AB74</f>
        <v>0-00 + Testostérone</v>
      </c>
      <c r="AG2" s="19" t="str">
        <f>'pooled normalised values'!AC74</f>
        <v>0-00 + Testostérone</v>
      </c>
      <c r="AH2" s="19" t="str">
        <f>'pooled normalised values'!AD74</f>
        <v>0-00 + Testostérone</v>
      </c>
      <c r="AI2" s="19" t="str">
        <f>'pooled normalised values'!AK74</f>
        <v>0-00 + Testostérone</v>
      </c>
      <c r="AJ2" s="20"/>
      <c r="AK2" s="17" t="s">
        <v>9</v>
      </c>
    </row>
    <row r="3" spans="1:37" x14ac:dyDescent="0.25">
      <c r="A3" s="17" t="s">
        <v>71</v>
      </c>
      <c r="B3" s="66">
        <f>'summary results'!E6</f>
        <v>0</v>
      </c>
      <c r="D3" s="21" t="s">
        <v>10</v>
      </c>
      <c r="E3" s="22"/>
      <c r="F3" s="19">
        <f>HLOOKUP(F2,'pooled normalised values'!B74:AK83,2,FALSE)</f>
        <v>8.5623641613368481E-2</v>
      </c>
      <c r="G3" s="19">
        <f>HLOOKUP(G2,'pooled normalised values'!C74:AL83,2,FALSE)</f>
        <v>0.10928532978426031</v>
      </c>
      <c r="H3" s="19">
        <f>HLOOKUP(H2,'pooled normalised values'!C74:AM83,2,FALSE)</f>
        <v>7.5198074270760182E-2</v>
      </c>
      <c r="I3" s="19">
        <f>HLOOKUP(I2,'pooled normalised values'!D74:AN83,2,FALSE)</f>
        <v>0.13141937346820257</v>
      </c>
      <c r="J3" s="19" t="e">
        <f>HLOOKUP(J2,'pooled normalised values'!E74:AO83,2,FALSE)</f>
        <v>#REF!</v>
      </c>
      <c r="K3" s="19" t="e">
        <f>HLOOKUP(K2,'pooled normalised values'!F74:AP83,2,FALSE)</f>
        <v>#REF!</v>
      </c>
      <c r="L3" s="19" t="e">
        <f>HLOOKUP(L2,'pooled normalised values'!G74:AQ83,2,FALSE)</f>
        <v>#REF!</v>
      </c>
      <c r="M3" s="19" t="e">
        <f>HLOOKUP(M2,'pooled normalised values'!H74:AR83,2,FALSE)</f>
        <v>#REF!</v>
      </c>
      <c r="N3" s="19" t="e">
        <f>HLOOKUP(N2,'pooled normalised values'!I74:AS83,2,FALSE)</f>
        <v>#REF!</v>
      </c>
      <c r="O3" s="19" t="e">
        <f>HLOOKUP(O2,'pooled normalised values'!J74:AT83,2,FALSE)</f>
        <v>#REF!</v>
      </c>
      <c r="P3" s="19" t="e">
        <f>HLOOKUP(P2,'pooled normalised values'!K74:AU83,2,FALSE)</f>
        <v>#REF!</v>
      </c>
      <c r="Q3" s="19" t="e">
        <f>HLOOKUP(Q2,'pooled normalised values'!L74:AV83,2,FALSE)</f>
        <v>#REF!</v>
      </c>
      <c r="R3" s="19" t="e">
        <f>HLOOKUP(R2,'pooled normalised values'!M74:AW83,2,FALSE)</f>
        <v>#REF!</v>
      </c>
      <c r="S3" s="19" t="e">
        <f>HLOOKUP(S2,'pooled normalised values'!N74:AX83,2,FALSE)</f>
        <v>#REF!</v>
      </c>
      <c r="T3" s="22"/>
      <c r="U3" s="20"/>
      <c r="V3" s="19">
        <f>HLOOKUP(V2,'pooled normalised values'!N74:BA83,2,FALSE)</f>
        <v>0.76682460887786197</v>
      </c>
      <c r="W3" s="19">
        <f>HLOOKUP(W2,'pooled normalised values'!N74:BB83,2,FALSE)</f>
        <v>0.47498217465427256</v>
      </c>
      <c r="X3" s="19">
        <f>HLOOKUP(X2,'pooled normalised values'!N74:BC83,2,FALSE)</f>
        <v>9.9037053561087746E-2</v>
      </c>
      <c r="Y3" s="19">
        <f>HLOOKUP(Y2,'pooled normalised values'!N74:BD83,2,FALSE)</f>
        <v>9.1961749471850457E-2</v>
      </c>
      <c r="Z3" s="19">
        <f>HLOOKUP(Z2,'pooled normalised values'!N74:BE83,2,FALSE)</f>
        <v>0.10640107205144513</v>
      </c>
      <c r="AA3" s="19" t="e">
        <f>HLOOKUP(AA2,'pooled normalised values'!N74:BF83,2,FALSE)</f>
        <v>#DIV/0!</v>
      </c>
      <c r="AB3" s="19" t="e">
        <f>HLOOKUP(AB2,'pooled normalised values'!N74:BG83,2,FALSE)</f>
        <v>#DIV/0!</v>
      </c>
      <c r="AC3" s="19" t="e">
        <f>HLOOKUP(AC2,'pooled normalised values'!N74:BH83,2,FALSE)</f>
        <v>#DIV/0!</v>
      </c>
      <c r="AD3" s="19" t="e">
        <f>HLOOKUP(AD2,'pooled normalised values'!N74:BI83,2,FALSE)</f>
        <v>#DIV/0!</v>
      </c>
      <c r="AE3" s="19" t="e">
        <f>HLOOKUP(AE2,'pooled normalised values'!N74:BJ83,2,FALSE)</f>
        <v>#DIV/0!</v>
      </c>
      <c r="AF3" s="19" t="e">
        <f>HLOOKUP(AF2,'pooled normalised values'!N74:BK83,2,FALSE)</f>
        <v>#DIV/0!</v>
      </c>
      <c r="AG3" s="19" t="e">
        <f>HLOOKUP(AG2,'pooled normalised values'!N74:BL83,2,FALSE)</f>
        <v>#DIV/0!</v>
      </c>
      <c r="AH3" s="19" t="e">
        <f>HLOOKUP(AH2,'pooled normalised values'!N74:BM83,2,FALSE)</f>
        <v>#DIV/0!</v>
      </c>
      <c r="AI3" s="19" t="e">
        <f>HLOOKUP(AI2,'pooled normalised values'!N74:BN83,2,FALSE)</f>
        <v>#DIV/0!</v>
      </c>
      <c r="AJ3" s="20"/>
      <c r="AK3" s="21" t="s">
        <v>10</v>
      </c>
    </row>
    <row r="4" spans="1:37" x14ac:dyDescent="0.25">
      <c r="A4" s="17" t="s">
        <v>72</v>
      </c>
      <c r="B4" s="66">
        <f>'pooled normalised values'!O75</f>
        <v>0.99999999999999967</v>
      </c>
      <c r="D4" s="21" t="s">
        <v>2</v>
      </c>
      <c r="E4" s="22"/>
      <c r="F4" s="19">
        <f>HLOOKUP(F2,'pooled normalised values'!B74:AK83,3,FALSE)</f>
        <v>1.3876690767118042E-2</v>
      </c>
      <c r="G4" s="19">
        <f>HLOOKUP(G2,'pooled normalised values'!C74:AL83,3,FALSE)</f>
        <v>1.7685554064054178E-2</v>
      </c>
      <c r="H4" s="19">
        <f>HLOOKUP(H2,'pooled normalised values'!C74:AM83,3,FALSE)</f>
        <v>1.8889212022809625E-2</v>
      </c>
      <c r="I4" s="19">
        <f>HLOOKUP(I2,'pooled normalised values'!D74:AN83,3,FALSE)</f>
        <v>3.3315542372522995E-2</v>
      </c>
      <c r="J4" s="19" t="e">
        <f>HLOOKUP(J2,'pooled normalised values'!E74:AO83,3,FALSE)</f>
        <v>#REF!</v>
      </c>
      <c r="K4" s="19" t="e">
        <f>HLOOKUP(K2,'pooled normalised values'!F74:AP83,3,FALSE)</f>
        <v>#REF!</v>
      </c>
      <c r="L4" s="19" t="e">
        <f>HLOOKUP(L2,'pooled normalised values'!G74:AQ83,3,FALSE)</f>
        <v>#REF!</v>
      </c>
      <c r="M4" s="19" t="e">
        <f>HLOOKUP(M2,'pooled normalised values'!H74:AR83,3,FALSE)</f>
        <v>#REF!</v>
      </c>
      <c r="N4" s="19" t="e">
        <f>HLOOKUP(N2,'pooled normalised values'!I74:AS83,3,FALSE)</f>
        <v>#REF!</v>
      </c>
      <c r="O4" s="19" t="e">
        <f>HLOOKUP(O2,'pooled normalised values'!J74:AT83,3,FALSE)</f>
        <v>#REF!</v>
      </c>
      <c r="P4" s="19" t="e">
        <f>HLOOKUP(P2,'pooled normalised values'!K74:AU83,3,FALSE)</f>
        <v>#REF!</v>
      </c>
      <c r="Q4" s="19" t="e">
        <f>HLOOKUP(Q2,'pooled normalised values'!L74:AV83,3,FALSE)</f>
        <v>#REF!</v>
      </c>
      <c r="R4" s="19" t="e">
        <f>HLOOKUP(R2,'pooled normalised values'!M74:AW83,3,FALSE)</f>
        <v>#REF!</v>
      </c>
      <c r="S4" s="19" t="e">
        <f>HLOOKUP(S2,'pooled normalised values'!N74:AX83,3,FALSE)</f>
        <v>#REF!</v>
      </c>
      <c r="T4" s="22"/>
      <c r="U4" s="20"/>
      <c r="V4" s="19">
        <f>HLOOKUP(V2,'pooled normalised values'!N74:BA83,3,FALSE)</f>
        <v>0.11419223118114009</v>
      </c>
      <c r="W4" s="19">
        <f>HLOOKUP(W2,'pooled normalised values'!N74:BB83,3,FALSE)</f>
        <v>7.7370997987415799E-2</v>
      </c>
      <c r="X4" s="19">
        <f>HLOOKUP(X2,'pooled normalised values'!N74:BC83,3,FALSE)</f>
        <v>2.1370838305290477E-2</v>
      </c>
      <c r="Y4" s="19">
        <f>HLOOKUP(Y2,'pooled normalised values'!N74:BD83,3,FALSE)</f>
        <v>1.6192725966909037E-2</v>
      </c>
      <c r="Z4" s="19">
        <f>HLOOKUP(Z2,'pooled normalised values'!N74:BE83,3,FALSE)</f>
        <v>2.6072298233234953E-2</v>
      </c>
      <c r="AA4" s="19" t="e">
        <f>HLOOKUP(AA2,'pooled normalised values'!N74:BF83,3,FALSE)</f>
        <v>#DIV/0!</v>
      </c>
      <c r="AB4" s="19" t="e">
        <f>HLOOKUP(AB2,'pooled normalised values'!N74:BG83,3,FALSE)</f>
        <v>#DIV/0!</v>
      </c>
      <c r="AC4" s="19" t="e">
        <f>HLOOKUP(AC2,'pooled normalised values'!N74:BH83,3,FALSE)</f>
        <v>#DIV/0!</v>
      </c>
      <c r="AD4" s="19" t="e">
        <f>HLOOKUP(AD2,'pooled normalised values'!N74:BI83,3,FALSE)</f>
        <v>#DIV/0!</v>
      </c>
      <c r="AE4" s="19" t="e">
        <f>HLOOKUP(AE2,'pooled normalised values'!N74:BJ83,3,FALSE)</f>
        <v>#DIV/0!</v>
      </c>
      <c r="AF4" s="19" t="e">
        <f>HLOOKUP(AF2,'pooled normalised values'!N74:BK83,3,FALSE)</f>
        <v>#DIV/0!</v>
      </c>
      <c r="AG4" s="19" t="e">
        <f>HLOOKUP(AG2,'pooled normalised values'!N74:BL83,3,FALSE)</f>
        <v>#DIV/0!</v>
      </c>
      <c r="AH4" s="19" t="e">
        <f>HLOOKUP(AH2,'pooled normalised values'!N74:BM83,3,FALSE)</f>
        <v>#DIV/0!</v>
      </c>
      <c r="AI4" s="19" t="e">
        <f>HLOOKUP(AI2,'pooled normalised values'!N74:BN83,3,FALSE)</f>
        <v>#DIV/0!</v>
      </c>
      <c r="AJ4" s="20"/>
      <c r="AK4" s="21" t="s">
        <v>2</v>
      </c>
    </row>
    <row r="5" spans="1:37" x14ac:dyDescent="0.25">
      <c r="A5" s="17" t="s">
        <v>73</v>
      </c>
      <c r="B5" s="66">
        <f>'pooled normalised values'!P75</f>
        <v>1.4575563765153647</v>
      </c>
      <c r="D5" s="23" t="s">
        <v>11</v>
      </c>
      <c r="E5" s="22"/>
      <c r="F5" s="19" t="str">
        <f>HLOOKUP(F2,'pooled normalised values'!B74:AK83,10,FALSE)</f>
        <v>NS</v>
      </c>
      <c r="G5" s="19" t="str">
        <f>HLOOKUP(G2,'pooled normalised values'!C74:AL83,10,FALSE)</f>
        <v>NS</v>
      </c>
      <c r="H5" s="19" t="str">
        <f>HLOOKUP(H2,'pooled normalised values'!C74:AM83,10,FALSE)</f>
        <v>NS</v>
      </c>
      <c r="I5" s="19" t="str">
        <f>HLOOKUP(I2,'pooled normalised values'!D74:AN83,10,FALSE)</f>
        <v>NS</v>
      </c>
      <c r="J5" s="19" t="e">
        <f>HLOOKUP(J2,'pooled normalised values'!E74:AO83,10,FALSE)</f>
        <v>#REF!</v>
      </c>
      <c r="K5" s="19" t="e">
        <f>HLOOKUP(K2,'pooled normalised values'!F74:AP83,10,FALSE)</f>
        <v>#REF!</v>
      </c>
      <c r="L5" s="19" t="e">
        <f>HLOOKUP(L2,'pooled normalised values'!G74:AQ83,10,FALSE)</f>
        <v>#REF!</v>
      </c>
      <c r="M5" s="19" t="e">
        <f>HLOOKUP(M2,'pooled normalised values'!H74:AR83,10,FALSE)</f>
        <v>#REF!</v>
      </c>
      <c r="N5" s="19" t="e">
        <f>HLOOKUP(N2,'pooled normalised values'!I74:AS83,10,FALSE)</f>
        <v>#REF!</v>
      </c>
      <c r="O5" s="19" t="e">
        <f>HLOOKUP(O2,'pooled normalised values'!J74:AT83,10,FALSE)</f>
        <v>#REF!</v>
      </c>
      <c r="P5" s="19" t="e">
        <f>HLOOKUP(P2,'pooled normalised values'!K74:AU83,10,FALSE)</f>
        <v>#REF!</v>
      </c>
      <c r="Q5" s="19" t="e">
        <f>HLOOKUP(Q2,'pooled normalised values'!L74:AV83,10,FALSE)</f>
        <v>#REF!</v>
      </c>
      <c r="R5" s="19" t="e">
        <f>HLOOKUP(R2,'pooled normalised values'!M74:AW83,10,FALSE)</f>
        <v>#REF!</v>
      </c>
      <c r="S5" s="19" t="e">
        <f>HLOOKUP(S2,'pooled normalised values'!N74:AX83,10,FALSE)</f>
        <v>#REF!</v>
      </c>
      <c r="T5" s="22"/>
      <c r="U5" s="20"/>
      <c r="V5" s="19" t="str">
        <f>HLOOKUP(V2,'pooled normalised values'!N74:BA83,10,FALSE)</f>
        <v>NS</v>
      </c>
      <c r="W5" s="19" t="str">
        <f>HLOOKUP(W2,'pooled normalised values'!N74:BB83,10,FALSE)</f>
        <v>*</v>
      </c>
      <c r="X5" s="19" t="str">
        <f>HLOOKUP(X2,'pooled normalised values'!N74:BC83,10,FALSE)</f>
        <v>***</v>
      </c>
      <c r="Y5" s="19" t="str">
        <f>HLOOKUP(Y2,'pooled normalised values'!N74:BD83,10,FALSE)</f>
        <v>***</v>
      </c>
      <c r="Z5" s="19" t="str">
        <f>HLOOKUP(Z2,'pooled normalised values'!N74:BE83,10,FALSE)</f>
        <v>***</v>
      </c>
      <c r="AA5" s="19" t="e">
        <f ca="1">HLOOKUP(AA2,'pooled normalised values'!N74:BF83,10,FALSE)</f>
        <v>#NAME?</v>
      </c>
      <c r="AB5" s="19" t="e">
        <f ca="1">HLOOKUP(AB2,'pooled normalised values'!N74:BG83,10,FALSE)</f>
        <v>#NAME?</v>
      </c>
      <c r="AC5" s="19" t="e">
        <f ca="1">HLOOKUP(AC2,'pooled normalised values'!N74:BH83,10,FALSE)</f>
        <v>#NAME?</v>
      </c>
      <c r="AD5" s="19" t="e">
        <f ca="1">HLOOKUP(AD2,'pooled normalised values'!N74:BI83,10,FALSE)</f>
        <v>#NAME?</v>
      </c>
      <c r="AE5" s="19" t="e">
        <f ca="1">HLOOKUP(AE2,'pooled normalised values'!N74:BJ83,10,FALSE)</f>
        <v>#NAME?</v>
      </c>
      <c r="AF5" s="19" t="e">
        <f ca="1">HLOOKUP(AF2,'pooled normalised values'!N74:BK83,10,FALSE)</f>
        <v>#NAME?</v>
      </c>
      <c r="AG5" s="19" t="e">
        <f ca="1">HLOOKUP(AG2,'pooled normalised values'!N74:BL83,10,FALSE)</f>
        <v>#NAME?</v>
      </c>
      <c r="AH5" s="19" t="e">
        <f ca="1">HLOOKUP(AH2,'pooled normalised values'!N74:BM83,10,FALSE)</f>
        <v>#NAME?</v>
      </c>
      <c r="AI5" s="19" t="e">
        <f ca="1">HLOOKUP(AI2,'pooled normalised values'!N74:BN83,10,FALSE)</f>
        <v>#NAME?</v>
      </c>
      <c r="AJ5" s="20"/>
      <c r="AK5" s="23" t="s">
        <v>11</v>
      </c>
    </row>
    <row r="6" spans="1:37" x14ac:dyDescent="0.25">
      <c r="A6" s="17" t="s">
        <v>74</v>
      </c>
      <c r="B6" s="66">
        <f>'pooled normalised values'!Q75</f>
        <v>8.7289232838518527E-2</v>
      </c>
      <c r="D6" s="21" t="s">
        <v>12</v>
      </c>
      <c r="E6" s="24">
        <f>$B$2</f>
        <v>7.6653964865881011E-2</v>
      </c>
      <c r="F6" s="24">
        <f>$B$2</f>
        <v>7.6653964865881011E-2</v>
      </c>
      <c r="G6" s="24">
        <f t="shared" ref="G6:R6" si="0">$B$2</f>
        <v>7.6653964865881011E-2</v>
      </c>
      <c r="H6" s="24">
        <f t="shared" si="0"/>
        <v>7.6653964865881011E-2</v>
      </c>
      <c r="I6" s="24">
        <f t="shared" si="0"/>
        <v>7.6653964865881011E-2</v>
      </c>
      <c r="J6" s="24">
        <f t="shared" si="0"/>
        <v>7.6653964865881011E-2</v>
      </c>
      <c r="K6" s="24">
        <f t="shared" si="0"/>
        <v>7.6653964865881011E-2</v>
      </c>
      <c r="L6" s="24">
        <f t="shared" si="0"/>
        <v>7.6653964865881011E-2</v>
      </c>
      <c r="M6" s="24">
        <f t="shared" si="0"/>
        <v>7.6653964865881011E-2</v>
      </c>
      <c r="N6" s="24">
        <f t="shared" si="0"/>
        <v>7.6653964865881011E-2</v>
      </c>
      <c r="O6" s="24">
        <f t="shared" si="0"/>
        <v>7.6653964865881011E-2</v>
      </c>
      <c r="P6" s="24">
        <f t="shared" si="0"/>
        <v>7.6653964865881011E-2</v>
      </c>
      <c r="Q6" s="24">
        <f t="shared" si="0"/>
        <v>7.6653964865881011E-2</v>
      </c>
      <c r="R6" s="24">
        <f t="shared" si="0"/>
        <v>7.6653964865881011E-2</v>
      </c>
      <c r="S6" s="24">
        <f>$B$2</f>
        <v>7.6653964865881011E-2</v>
      </c>
      <c r="T6" s="24">
        <f>$B$2</f>
        <v>7.6653964865881011E-2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8.7289232838518527E-2</v>
      </c>
      <c r="V8" s="25">
        <f t="shared" ref="V8:AJ8" si="2">$B$6</f>
        <v>8.7289232838518527E-2</v>
      </c>
      <c r="W8" s="25">
        <f t="shared" si="2"/>
        <v>8.7289232838518527E-2</v>
      </c>
      <c r="X8" s="25">
        <f t="shared" si="2"/>
        <v>8.7289232838518527E-2</v>
      </c>
      <c r="Y8" s="25">
        <f t="shared" si="2"/>
        <v>8.7289232838518527E-2</v>
      </c>
      <c r="Z8" s="25">
        <f t="shared" si="2"/>
        <v>8.7289232838518527E-2</v>
      </c>
      <c r="AA8" s="25">
        <f t="shared" si="2"/>
        <v>8.7289232838518527E-2</v>
      </c>
      <c r="AB8" s="25">
        <f t="shared" si="2"/>
        <v>8.7289232838518527E-2</v>
      </c>
      <c r="AC8" s="25">
        <f t="shared" si="2"/>
        <v>8.7289232838518527E-2</v>
      </c>
      <c r="AD8" s="25">
        <f t="shared" si="2"/>
        <v>8.7289232838518527E-2</v>
      </c>
      <c r="AE8" s="25">
        <f t="shared" si="2"/>
        <v>8.7289232838518527E-2</v>
      </c>
      <c r="AF8" s="25">
        <f t="shared" si="2"/>
        <v>8.7289232838518527E-2</v>
      </c>
      <c r="AG8" s="25">
        <f t="shared" si="2"/>
        <v>8.7289232838518527E-2</v>
      </c>
      <c r="AH8" s="25">
        <f t="shared" si="2"/>
        <v>8.7289232838518527E-2</v>
      </c>
      <c r="AI8" s="25">
        <f t="shared" si="2"/>
        <v>8.7289232838518527E-2</v>
      </c>
      <c r="AJ8" s="25">
        <f t="shared" si="2"/>
        <v>8.7289232838518527E-2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1.3702671436768461</v>
      </c>
      <c r="V9" s="25">
        <f>$B$5-V8</f>
        <v>1.3702671436768461</v>
      </c>
      <c r="W9" s="25">
        <f t="shared" ref="W9:AH9" si="4">$B$5-W8</f>
        <v>1.3702671436768461</v>
      </c>
      <c r="X9" s="25">
        <f t="shared" si="4"/>
        <v>1.3702671436768461</v>
      </c>
      <c r="Y9" s="25">
        <f t="shared" si="4"/>
        <v>1.3702671436768461</v>
      </c>
      <c r="Z9" s="25">
        <f t="shared" si="4"/>
        <v>1.3702671436768461</v>
      </c>
      <c r="AA9" s="25">
        <f t="shared" si="4"/>
        <v>1.3702671436768461</v>
      </c>
      <c r="AB9" s="25">
        <f t="shared" si="4"/>
        <v>1.3702671436768461</v>
      </c>
      <c r="AC9" s="25">
        <f t="shared" si="4"/>
        <v>1.3702671436768461</v>
      </c>
      <c r="AD9" s="25">
        <f t="shared" si="4"/>
        <v>1.3702671436768461</v>
      </c>
      <c r="AE9" s="25">
        <f t="shared" si="4"/>
        <v>1.3702671436768461</v>
      </c>
      <c r="AF9" s="25">
        <f t="shared" si="4"/>
        <v>1.3702671436768461</v>
      </c>
      <c r="AG9" s="25">
        <f t="shared" si="4"/>
        <v>1.3702671436768461</v>
      </c>
      <c r="AH9" s="25">
        <f t="shared" si="4"/>
        <v>1.3702671436768461</v>
      </c>
      <c r="AI9" s="25">
        <f>$B$5-AI8</f>
        <v>1.3702671436768461</v>
      </c>
      <c r="AJ9" s="25">
        <f>$B$5-AJ8</f>
        <v>1.3702671436768461</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1.1297328563231539</v>
      </c>
      <c r="V10" s="25">
        <f>2.5-V9</f>
        <v>1.1297328563231539</v>
      </c>
      <c r="W10" s="25">
        <f t="shared" ref="W10:AH10" si="6">2.5-W9</f>
        <v>1.1297328563231539</v>
      </c>
      <c r="X10" s="25">
        <f t="shared" si="6"/>
        <v>1.1297328563231539</v>
      </c>
      <c r="Y10" s="25">
        <f t="shared" si="6"/>
        <v>1.1297328563231539</v>
      </c>
      <c r="Z10" s="25">
        <f t="shared" si="6"/>
        <v>1.1297328563231539</v>
      </c>
      <c r="AA10" s="25">
        <f t="shared" si="6"/>
        <v>1.1297328563231539</v>
      </c>
      <c r="AB10" s="25">
        <f t="shared" si="6"/>
        <v>1.1297328563231539</v>
      </c>
      <c r="AC10" s="25">
        <f t="shared" si="6"/>
        <v>1.1297328563231539</v>
      </c>
      <c r="AD10" s="25">
        <f t="shared" si="6"/>
        <v>1.1297328563231539</v>
      </c>
      <c r="AE10" s="25">
        <f t="shared" si="6"/>
        <v>1.1297328563231539</v>
      </c>
      <c r="AF10" s="25">
        <f t="shared" si="6"/>
        <v>1.1297328563231539</v>
      </c>
      <c r="AG10" s="25">
        <f t="shared" si="6"/>
        <v>1.1297328563231539</v>
      </c>
      <c r="AH10" s="25">
        <f t="shared" si="6"/>
        <v>1.1297328563231539</v>
      </c>
      <c r="AI10" s="25">
        <f>2.5-AI9</f>
        <v>1.1297328563231539</v>
      </c>
      <c r="AJ10" s="25">
        <f>2.5-AJ9</f>
        <v>1.1297328563231539</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6">
        <f>'pooled normalised values'!B75</f>
        <v>7.6653964865881011E-2</v>
      </c>
      <c r="D2" s="17" t="s">
        <v>9</v>
      </c>
      <c r="E2" s="18"/>
      <c r="F2" s="19" t="str">
        <f>'pooled normalised values'!J74</f>
        <v>Anastrozole 0,16 ug/L</v>
      </c>
      <c r="G2" s="18"/>
      <c r="H2" s="20"/>
      <c r="I2" s="19" t="str">
        <f>'pooled normalised values'!R74</f>
        <v>Anastrozole-0,032ug/L + Testostérone</v>
      </c>
      <c r="J2" s="20"/>
      <c r="K2" s="17" t="s">
        <v>9</v>
      </c>
    </row>
    <row r="3" spans="1:11" x14ac:dyDescent="0.25">
      <c r="A3" s="17" t="s">
        <v>71</v>
      </c>
      <c r="B3" s="66">
        <f>'summary results'!E6</f>
        <v>0</v>
      </c>
      <c r="D3" s="21" t="s">
        <v>10</v>
      </c>
      <c r="E3" s="22"/>
      <c r="F3" s="19">
        <f>HLOOKUP(F2,'pooled normalised values'!B74:AK83,2,FALSE)</f>
        <v>8.5623641613368481E-2</v>
      </c>
      <c r="G3" s="22"/>
      <c r="H3" s="20"/>
      <c r="I3" s="19">
        <f>HLOOKUP(I2,'pooled normalised values'!N74:BA83,2,FALSE)</f>
        <v>0.76682460887786197</v>
      </c>
      <c r="J3" s="20"/>
      <c r="K3" s="21" t="s">
        <v>10</v>
      </c>
    </row>
    <row r="4" spans="1:11" x14ac:dyDescent="0.25">
      <c r="A4" s="17" t="s">
        <v>72</v>
      </c>
      <c r="B4" s="66">
        <f>'pooled normalised values'!O75</f>
        <v>0.99999999999999967</v>
      </c>
      <c r="D4" s="21" t="s">
        <v>2</v>
      </c>
      <c r="E4" s="22"/>
      <c r="F4" s="19">
        <f>HLOOKUP(F2,'pooled normalised values'!B74:AK83,3,FALSE)</f>
        <v>1.3876690767118042E-2</v>
      </c>
      <c r="G4" s="22"/>
      <c r="H4" s="20"/>
      <c r="I4" s="19">
        <f>HLOOKUP(I2,'pooled normalised values'!N74:BA83,3,FALSE)</f>
        <v>0.11419223118114009</v>
      </c>
      <c r="J4" s="20"/>
      <c r="K4" s="21" t="s">
        <v>2</v>
      </c>
    </row>
    <row r="5" spans="1:11" x14ac:dyDescent="0.25">
      <c r="A5" s="17" t="s">
        <v>73</v>
      </c>
      <c r="B5" s="66">
        <f>'pooled normalised values'!P75</f>
        <v>1.4575563765153647</v>
      </c>
      <c r="D5" s="23" t="s">
        <v>11</v>
      </c>
      <c r="E5" s="22"/>
      <c r="F5" s="19" t="str">
        <f>HLOOKUP(F2,'pooled normalised values'!B74:AK83,10,FALSE)</f>
        <v>NS</v>
      </c>
      <c r="G5" s="22"/>
      <c r="H5" s="20"/>
      <c r="I5" s="19" t="str">
        <f>HLOOKUP(I2,'pooled normalised values'!N74:BA83,10,FALSE)</f>
        <v>NS</v>
      </c>
      <c r="J5" s="20"/>
      <c r="K5" s="23" t="s">
        <v>11</v>
      </c>
    </row>
    <row r="6" spans="1:11" x14ac:dyDescent="0.25">
      <c r="A6" s="17" t="s">
        <v>74</v>
      </c>
      <c r="B6" s="66">
        <f>'pooled normalised values'!Q75</f>
        <v>8.7289232838518527E-2</v>
      </c>
      <c r="D6" s="21" t="s">
        <v>12</v>
      </c>
      <c r="E6" s="24">
        <f>$B$2</f>
        <v>7.6653964865881011E-2</v>
      </c>
      <c r="F6" s="24">
        <f>$B$2</f>
        <v>7.6653964865881011E-2</v>
      </c>
      <c r="G6" s="24">
        <f>$B$2</f>
        <v>7.6653964865881011E-2</v>
      </c>
      <c r="H6" s="25"/>
      <c r="I6" s="25"/>
      <c r="J6" s="25"/>
      <c r="K6" s="21" t="s">
        <v>12</v>
      </c>
    </row>
    <row r="7" spans="1:11" x14ac:dyDescent="0.25">
      <c r="B7" s="26"/>
      <c r="D7" s="26" t="s">
        <v>13</v>
      </c>
      <c r="E7" s="24"/>
      <c r="F7" s="24"/>
      <c r="G7" s="27"/>
      <c r="H7" s="25">
        <f t="shared" ref="H7:J7" si="0">$B$4</f>
        <v>0.99999999999999967</v>
      </c>
      <c r="I7" s="25">
        <f t="shared" si="0"/>
        <v>0.99999999999999967</v>
      </c>
      <c r="J7" s="25">
        <f t="shared" si="0"/>
        <v>0.99999999999999967</v>
      </c>
      <c r="K7" s="26" t="s">
        <v>13</v>
      </c>
    </row>
    <row r="8" spans="1:11" x14ac:dyDescent="0.25">
      <c r="D8" s="28" t="s">
        <v>14</v>
      </c>
      <c r="E8" s="24">
        <v>0</v>
      </c>
      <c r="F8" s="24">
        <v>0</v>
      </c>
      <c r="G8" s="27">
        <v>0</v>
      </c>
      <c r="H8" s="25">
        <f>$B$6</f>
        <v>8.7289232838518527E-2</v>
      </c>
      <c r="I8" s="25">
        <f t="shared" ref="I8:J8" si="1">$B$6</f>
        <v>8.7289232838518527E-2</v>
      </c>
      <c r="J8" s="25">
        <f t="shared" si="1"/>
        <v>8.7289232838518527E-2</v>
      </c>
      <c r="K8" s="28" t="s">
        <v>14</v>
      </c>
    </row>
    <row r="9" spans="1:11" x14ac:dyDescent="0.25">
      <c r="D9" s="28" t="s">
        <v>15</v>
      </c>
      <c r="E9" s="29">
        <f>$B$3-E8</f>
        <v>0</v>
      </c>
      <c r="F9" s="29">
        <f>$B$3-F8</f>
        <v>0</v>
      </c>
      <c r="G9" s="29">
        <f>$B$3-G8</f>
        <v>0</v>
      </c>
      <c r="H9" s="25">
        <f>$B$5-H8</f>
        <v>1.3702671436768461</v>
      </c>
      <c r="I9" s="25">
        <f>$B$5-I8</f>
        <v>1.3702671436768461</v>
      </c>
      <c r="J9" s="25">
        <f>$B$5-J8</f>
        <v>1.3702671436768461</v>
      </c>
      <c r="K9" s="28" t="s">
        <v>15</v>
      </c>
    </row>
    <row r="10" spans="1:11" x14ac:dyDescent="0.25">
      <c r="D10" s="28" t="s">
        <v>16</v>
      </c>
      <c r="E10" s="27">
        <f t="shared" ref="E10:J10" si="2">2.5-E9</f>
        <v>2.5</v>
      </c>
      <c r="F10" s="27">
        <f t="shared" si="2"/>
        <v>2.5</v>
      </c>
      <c r="G10" s="27">
        <f t="shared" si="2"/>
        <v>2.5</v>
      </c>
      <c r="H10" s="25">
        <f t="shared" si="2"/>
        <v>1.1297328563231539</v>
      </c>
      <c r="I10" s="25">
        <f t="shared" si="2"/>
        <v>1.1297328563231539</v>
      </c>
      <c r="J10" s="25">
        <f t="shared" si="2"/>
        <v>1.1297328563231539</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values'!$R$74:$AK$74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50" t="s">
        <v>102</v>
      </c>
      <c r="B1" s="150" t="s">
        <v>103</v>
      </c>
      <c r="C1" s="147" t="s">
        <v>86</v>
      </c>
      <c r="D1" s="147" t="s">
        <v>87</v>
      </c>
      <c r="E1" s="148" t="s">
        <v>88</v>
      </c>
      <c r="F1" s="148" t="s">
        <v>89</v>
      </c>
      <c r="G1" s="147" t="s">
        <v>90</v>
      </c>
      <c r="H1" s="147" t="s">
        <v>91</v>
      </c>
      <c r="I1" s="147" t="s">
        <v>92</v>
      </c>
      <c r="J1" s="147" t="s">
        <v>93</v>
      </c>
      <c r="K1" s="147" t="s">
        <v>94</v>
      </c>
      <c r="L1" s="147" t="s">
        <v>95</v>
      </c>
      <c r="M1" s="147" t="s">
        <v>96</v>
      </c>
      <c r="N1" s="147" t="s">
        <v>97</v>
      </c>
      <c r="Q1" s="243" t="s">
        <v>99</v>
      </c>
      <c r="R1" s="243"/>
      <c r="S1" s="243"/>
      <c r="U1" s="243" t="s">
        <v>98</v>
      </c>
      <c r="V1" s="243"/>
      <c r="W1" s="243"/>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values'!$B$74:$AK$83,4,FALSE)</f>
        <v>#N/A</v>
      </c>
      <c r="F2" s="1" t="e">
        <f>HLOOKUP(Tableau3[[#This Row],[Nom ND]],'pooled normalised values'!$B$74:$AK$83,8,FALSE)</f>
        <v>#N/A</v>
      </c>
      <c r="G2" t="e">
        <f>VLOOKUP(Tableau3[[#This Row],[Nom ND]],'summary results'!$A$6:$N$26,9,FALSE)</f>
        <v>#N/A</v>
      </c>
      <c r="H2" s="1" t="e">
        <f>VLOOKUP(Tableau3[[#This Row],[Nom ND]],'summary results'!$A$6:$N$26,11,FALSE)</f>
        <v>#N/A</v>
      </c>
      <c r="I2" s="1" t="e">
        <f>HLOOKUP(Tableau3[[#This Row],[Nom D]],'pooled normalised values'!$B$74:$AK$83,4,FALSE)</f>
        <v>#DIV/0!</v>
      </c>
      <c r="J2" s="1" t="e">
        <f ca="1">HLOOKUP(Tableau3[[#This Row],[Nom D]],'pooled normalised values'!$B$74:$AK$83,8,FALSE)</f>
        <v>#NAME?</v>
      </c>
      <c r="K2" s="1" t="e">
        <f ca="1">VLOOKUP(Tableau3[[#This Row],[Nom D]],'summary results'!$A$29:$N$51,9,FALSE)</f>
        <v>#NAME?</v>
      </c>
      <c r="L2" s="1" t="e">
        <f ca="1">VLOOKUP(Tableau3[[#This Row],[Nom D]],'summary results'!$A$29:$N$51,11,FALSE)</f>
        <v>#NAME?</v>
      </c>
      <c r="M2" t="e">
        <f>'summary results'!$G$30</f>
        <v>#NUM!</v>
      </c>
      <c r="N2" t="e">
        <f>'summary results'!$G$31</f>
        <v>#NUM!</v>
      </c>
      <c r="Q2" s="122" t="s">
        <v>7</v>
      </c>
      <c r="R2" s="1" t="s">
        <v>131</v>
      </c>
      <c r="U2" s="122"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values'!$B$74:$AK$83,4,FALSE)</f>
        <v>#N/A</v>
      </c>
      <c r="F3" t="e">
        <f>HLOOKUP(Tableau3[[#This Row],[Nom ND]],'pooled normalised values'!$B$74:$AK$83,8,FALSE)</f>
        <v>#N/A</v>
      </c>
      <c r="G3" t="e">
        <f>VLOOKUP(Tableau3[[#This Row],[Nom ND]],'summary results'!$A$6:$N$26,9,FALSE)</f>
        <v>#N/A</v>
      </c>
      <c r="H3" t="e">
        <f>VLOOKUP(Tableau3[[#This Row],[Nom ND]],'summary results'!$A$6:$N$26,11,FALSE)</f>
        <v>#N/A</v>
      </c>
      <c r="I3" t="e">
        <f>HLOOKUP(Tableau3[[#This Row],[Nom D]],'pooled normalised values'!$B$74:$AK$83,4,FALSE)</f>
        <v>#N/A</v>
      </c>
      <c r="J3" t="e">
        <f>HLOOKUP(Tableau3[[#This Row],[Nom D]],'pooled normalised values'!$B$74:$AK$83,8,FALSE)</f>
        <v>#N/A</v>
      </c>
      <c r="K3" t="e">
        <f>VLOOKUP(Tableau3[[#This Row],[Nom D]],'summary results'!$A$29:$N$51,9,FALSE)</f>
        <v>#N/A</v>
      </c>
      <c r="L3" t="e">
        <f>VLOOKUP(Tableau3[[#This Row],[Nom D]],'summary results'!$A$29:$N$51,11,FALSE)</f>
        <v>#N/A</v>
      </c>
      <c r="M3" s="1" t="e">
        <f>'summary results'!$G$30</f>
        <v>#NUM!</v>
      </c>
      <c r="N3" s="1" t="e">
        <f>'summary results'!$G$31</f>
        <v>#NUM!</v>
      </c>
      <c r="Q3" s="122" t="s">
        <v>78</v>
      </c>
      <c r="R3" s="1" t="s">
        <v>106</v>
      </c>
      <c r="U3" s="122"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values'!$B$74:$AK$83,4,FALSE)</f>
        <v>#N/A</v>
      </c>
      <c r="F4" s="44" t="e">
        <f>HLOOKUP(Tableau3[[#This Row],[Nom ND]],'pooled normalised values'!$B$74:$AK$83,8,FALSE)</f>
        <v>#N/A</v>
      </c>
      <c r="G4" s="44" t="e">
        <f>VLOOKUP(Tableau3[[#This Row],[Nom ND]],'summary results'!$A$6:$N$26,9,FALSE)</f>
        <v>#N/A</v>
      </c>
      <c r="H4" s="44" t="e">
        <f>VLOOKUP(Tableau3[[#This Row],[Nom ND]],'summary results'!$A$6:$N$26,11,FALSE)</f>
        <v>#N/A</v>
      </c>
      <c r="I4" s="44" t="e">
        <f>HLOOKUP(Tableau3[[#This Row],[Nom D]],'pooled normalised values'!$B$74:$AK$83,4,FALSE)</f>
        <v>#N/A</v>
      </c>
      <c r="J4" s="44" t="e">
        <f>HLOOKUP(Tableau3[[#This Row],[Nom D]],'pooled normalised values'!$B$74:$AK$83,8,FALSE)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values'!$B$74:$AK$83,4,FALSE)</f>
        <v>#N/A</v>
      </c>
      <c r="F5" s="44" t="e">
        <f>HLOOKUP(Tableau3[[#This Row],[Nom ND]],'pooled normalised values'!$B$74:$AK$83,8,FALSE)</f>
        <v>#N/A</v>
      </c>
      <c r="G5" s="44" t="e">
        <f>VLOOKUP(Tableau3[[#This Row],[Nom ND]],'summary results'!$A$6:$N$26,9,FALSE)</f>
        <v>#N/A</v>
      </c>
      <c r="H5" s="44" t="e">
        <f>VLOOKUP(Tableau3[[#This Row],[Nom ND]],'summary results'!$A$6:$N$26,11,FALSE)</f>
        <v>#N/A</v>
      </c>
      <c r="I5" s="44" t="e">
        <f>HLOOKUP(Tableau3[[#This Row],[Nom D]],'pooled normalised values'!$B$74:$AK$83,4,FALSE)</f>
        <v>#N/A</v>
      </c>
      <c r="J5" s="44" t="e">
        <f>HLOOKUP(Tableau3[[#This Row],[Nom D]],'pooled normalised values'!$B$74:$AK$83,8,FALSE)</f>
        <v>#N/A</v>
      </c>
      <c r="K5" s="44" t="e">
        <f>VLOOKUP(Tableau3[[#This Row],[Nom D]],'summary results'!$A$29:$N$51,9,FALSE)</f>
        <v>#N/A</v>
      </c>
      <c r="L5" s="44" t="e">
        <f>VLOOKUP(Tableau3[[#This Row],[Nom D]],'summary results'!$A$29:$N$51,11,FALSE)</f>
        <v>#N/A</v>
      </c>
      <c r="M5" t="e">
        <f>'summary results'!$G$30</f>
        <v>#NUM!</v>
      </c>
      <c r="N5" t="e">
        <f>'summary results'!$G$31</f>
        <v>#NUM!</v>
      </c>
      <c r="Q5" s="122" t="s">
        <v>100</v>
      </c>
      <c r="U5" s="122"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values'!$B$74:$AK$83,4,FALSE)</f>
        <v>#N/A</v>
      </c>
      <c r="F6" s="44" t="e">
        <f>HLOOKUP(Tableau3[[#This Row],[Nom ND]],'pooled normalised values'!$B$74:$AK$83,8,FALSE)</f>
        <v>#N/A</v>
      </c>
      <c r="G6" s="44" t="e">
        <f>VLOOKUP(Tableau3[[#This Row],[Nom ND]],'summary results'!$A$6:$N$26,9,FALSE)</f>
        <v>#N/A</v>
      </c>
      <c r="H6" s="44" t="e">
        <f>VLOOKUP(Tableau3[[#This Row],[Nom ND]],'summary results'!$A$6:$N$26,11,FALSE)</f>
        <v>#N/A</v>
      </c>
      <c r="I6" s="44" t="e">
        <f>HLOOKUP(Tableau3[[#This Row],[Nom D]],'pooled normalised values'!$B$74:$AK$83,4,FALSE)</f>
        <v>#N/A</v>
      </c>
      <c r="J6" s="44" t="e">
        <f>HLOOKUP(Tableau3[[#This Row],[Nom D]],'pooled normalised values'!$B$74:$AK$83,8,FALSE)</f>
        <v>#N/A</v>
      </c>
      <c r="K6" s="44" t="e">
        <f>VLOOKUP(Tableau3[[#This Row],[Nom D]],'summary results'!$A$29:$N$51,9,FALSE)</f>
        <v>#N/A</v>
      </c>
      <c r="L6" s="44" t="e">
        <f>VLOOKUP(Tableau3[[#This Row],[Nom D]],'summary results'!$A$29:$N$51,11,FALSE)</f>
        <v>#N/A</v>
      </c>
      <c r="M6" t="e">
        <f>'summary results'!$G$30</f>
        <v>#NUM!</v>
      </c>
      <c r="N6" t="e">
        <f>'summary results'!$G$31</f>
        <v>#NUM!</v>
      </c>
      <c r="Q6" s="149" t="s">
        <v>112</v>
      </c>
      <c r="U6" s="149"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values'!$B$74:$AK$83,4,FALSE)</f>
        <v>#N/A</v>
      </c>
      <c r="F7" s="44" t="e">
        <f>HLOOKUP(Tableau3[[#This Row],[Nom ND]],'pooled normalised values'!$B$74:$AK$83,8,FALSE)</f>
        <v>#N/A</v>
      </c>
      <c r="G7" s="44" t="e">
        <f>VLOOKUP(Tableau3[[#This Row],[Nom ND]],'summary results'!$A$6:$N$26,9,FALSE)</f>
        <v>#N/A</v>
      </c>
      <c r="H7" s="44" t="e">
        <f>VLOOKUP(Tableau3[[#This Row],[Nom ND]],'summary results'!$A$6:$N$26,11,FALSE)</f>
        <v>#N/A</v>
      </c>
      <c r="I7" s="44" t="e">
        <f>HLOOKUP(Tableau3[[#This Row],[Nom D]],'pooled normalised values'!$B$74:$AK$83,4,FALSE)</f>
        <v>#N/A</v>
      </c>
      <c r="J7" s="44" t="e">
        <f>HLOOKUP(Tableau3[[#This Row],[Nom D]],'pooled normalised values'!$B$74:$AK$83,8,FALSE)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51" t="e">
        <f>HLOOKUP(Tableau3[[#This Row],[Nom ND]],'pooled normalised values'!$B$74:$AK$83,4,FALSE)</f>
        <v>#N/A</v>
      </c>
      <c r="F8" s="44" t="e">
        <f>HLOOKUP(Tableau3[[#This Row],[Nom ND]],'pooled normalised values'!$B$74:$AK$83,8,FALSE)</f>
        <v>#N/A</v>
      </c>
      <c r="G8" s="44" t="e">
        <f>VLOOKUP(Tableau3[[#This Row],[Nom ND]],'summary results'!$A$6:$N$26,9,FALSE)</f>
        <v>#N/A</v>
      </c>
      <c r="H8" s="44" t="e">
        <f>VLOOKUP(Tableau3[[#This Row],[Nom ND]],'summary results'!$A$6:$N$26,11,FALSE)</f>
        <v>#N/A</v>
      </c>
      <c r="I8" s="44" t="e">
        <f>HLOOKUP(Tableau3[[#This Row],[Nom D]],'pooled normalised values'!$B$74:$AK$83,4,FALSE)</f>
        <v>#N/A</v>
      </c>
      <c r="J8" s="44" t="e">
        <f>HLOOKUP(Tableau3[[#This Row],[Nom D]],'pooled normalised values'!$B$74:$AK$83,8,FALSE)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values'!$B$74:$AK$83,4,FALSE)</f>
        <v>#N/A</v>
      </c>
      <c r="F9" s="44" t="e">
        <f>HLOOKUP(Tableau3[[#This Row],[Nom ND]],'pooled normalised values'!$B$74:$AK$83,8,FALSE)</f>
        <v>#N/A</v>
      </c>
      <c r="G9" s="44" t="e">
        <f>VLOOKUP(Tableau3[[#This Row],[Nom ND]],'summary results'!$A$6:$N$26,9,FALSE)</f>
        <v>#N/A</v>
      </c>
      <c r="H9" s="44" t="e">
        <f>VLOOKUP(Tableau3[[#This Row],[Nom ND]],'summary results'!$A$6:$N$26,11,FALSE)</f>
        <v>#N/A</v>
      </c>
      <c r="I9" s="44" t="e">
        <f>HLOOKUP(Tableau3[[#This Row],[Nom D]],'pooled normalised values'!$B$74:$AK$83,4,FALSE)</f>
        <v>#N/A</v>
      </c>
      <c r="J9" s="44" t="e">
        <f>HLOOKUP(Tableau3[[#This Row],[Nom D]],'pooled normalised values'!$B$74:$AK$83,8,FALSE)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values'!$B$74:$AK$83,4,FALSE)</f>
        <v>#N/A</v>
      </c>
      <c r="F10" s="44" t="e">
        <f>HLOOKUP(Tableau3[[#This Row],[Nom ND]],'pooled normalised values'!$B$74:$AK$83,8,FALSE)</f>
        <v>#N/A</v>
      </c>
      <c r="G10" s="44" t="e">
        <f>VLOOKUP(Tableau3[[#This Row],[Nom ND]],'summary results'!$A$6:$N$26,9,FALSE)</f>
        <v>#N/A</v>
      </c>
      <c r="H10" s="44" t="e">
        <f>VLOOKUP(Tableau3[[#This Row],[Nom ND]],'summary results'!$A$6:$N$26,11,FALSE)</f>
        <v>#N/A</v>
      </c>
      <c r="I10" s="44" t="e">
        <f>HLOOKUP(Tableau3[[#This Row],[Nom D]],'pooled normalised values'!$B$74:$AK$83,4,FALSE)</f>
        <v>#N/A</v>
      </c>
      <c r="J10" s="44" t="e">
        <f>HLOOKUP(Tableau3[[#This Row],[Nom D]],'pooled normalised values'!$B$74:$AK$83,8,FALSE)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values'!$B$74:$AK$83,4,FALSE)</f>
        <v>#N/A</v>
      </c>
      <c r="F11" s="44" t="e">
        <f>HLOOKUP(Tableau3[[#This Row],[Nom ND]],'pooled normalised values'!$B$74:$AK$83,8,FALSE)</f>
        <v>#N/A</v>
      </c>
      <c r="G11" s="44" t="e">
        <f>VLOOKUP(Tableau3[[#This Row],[Nom ND]],'summary results'!$A$6:$N$26,9,FALSE)</f>
        <v>#N/A</v>
      </c>
      <c r="H11" s="44" t="e">
        <f>VLOOKUP(Tableau3[[#This Row],[Nom ND]],'summary results'!$A$6:$N$26,11,FALSE)</f>
        <v>#N/A</v>
      </c>
      <c r="I11" s="44" t="e">
        <f>HLOOKUP(Tableau3[[#This Row],[Nom D]],'pooled normalised values'!$B$74:$AK$83,4,FALSE)</f>
        <v>#N/A</v>
      </c>
      <c r="J11" s="44" t="e">
        <f>HLOOKUP(Tableau3[[#This Row],[Nom D]],'pooled normalised values'!$B$74:$AK$83,8,FALSE)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values'!$B$74:$AK$83,4,FALSE)</f>
        <v>#N/A</v>
      </c>
      <c r="F12" s="44" t="e">
        <f>HLOOKUP(Tableau3[[#This Row],[Nom ND]],'pooled normalised values'!$B$74:$AK$83,8,FALSE)</f>
        <v>#N/A</v>
      </c>
      <c r="G12" s="44" t="e">
        <f>VLOOKUP(Tableau3[[#This Row],[Nom ND]],'summary results'!$A$6:$N$26,9,FALSE)</f>
        <v>#N/A</v>
      </c>
      <c r="H12" s="44" t="e">
        <f>VLOOKUP(Tableau3[[#This Row],[Nom ND]],'summary results'!$A$6:$N$26,11,FALSE)</f>
        <v>#N/A</v>
      </c>
      <c r="I12" s="44" t="e">
        <f>HLOOKUP(Tableau3[[#This Row],[Nom D]],'pooled normalised values'!$B$74:$AK$83,4,FALSE)</f>
        <v>#N/A</v>
      </c>
      <c r="J12" s="44" t="e">
        <f>HLOOKUP(Tableau3[[#This Row],[Nom D]],'pooled normalised values'!$B$74:$AK$83,8,FALSE)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values'!$B$74:$AK$83,4,FALSE)</f>
        <v>#N/A</v>
      </c>
      <c r="F13" s="44" t="e">
        <f>HLOOKUP(Tableau3[[#This Row],[Nom ND]],'pooled normalised values'!$B$74:$AK$83,8,FALSE)</f>
        <v>#N/A</v>
      </c>
      <c r="G13" s="44" t="e">
        <f>VLOOKUP(Tableau3[[#This Row],[Nom ND]],'summary results'!$A$6:$N$26,9,FALSE)</f>
        <v>#N/A</v>
      </c>
      <c r="H13" s="44" t="e">
        <f>VLOOKUP(Tableau3[[#This Row],[Nom ND]],'summary results'!$A$6:$N$26,11,FALSE)</f>
        <v>#N/A</v>
      </c>
      <c r="I13" s="44" t="e">
        <f>HLOOKUP(Tableau3[[#This Row],[Nom D]],'pooled normalised values'!$B$74:$AK$83,4,FALSE)</f>
        <v>#N/A</v>
      </c>
      <c r="J13" s="44" t="e">
        <f>HLOOKUP(Tableau3[[#This Row],[Nom D]],'pooled normalised values'!$B$74:$AK$83,8,FALSE)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values'!$B$74:$AK$83,4,FALSE)</f>
        <v>#N/A</v>
      </c>
      <c r="F14" s="44" t="e">
        <f>HLOOKUP(Tableau3[[#This Row],[Nom ND]],'pooled normalised values'!$B$74:$AK$83,8,FALSE)</f>
        <v>#N/A</v>
      </c>
      <c r="G14" s="44" t="e">
        <f>VLOOKUP(Tableau3[[#This Row],[Nom ND]],'summary results'!$A$6:$N$26,9,FALSE)</f>
        <v>#N/A</v>
      </c>
      <c r="H14" s="44" t="e">
        <f>VLOOKUP(Tableau3[[#This Row],[Nom ND]],'summary results'!$A$6:$N$26,11,FALSE)</f>
        <v>#N/A</v>
      </c>
      <c r="I14" s="44" t="e">
        <f>HLOOKUP(Tableau3[[#This Row],[Nom D]],'pooled normalised values'!$B$74:$AK$83,4,FALSE)</f>
        <v>#N/A</v>
      </c>
      <c r="J14" s="44" t="e">
        <f>HLOOKUP(Tableau3[[#This Row],[Nom D]],'pooled normalised values'!$B$74:$AK$83,8,FALSE)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values'!$B$74:$AK$83,4,FALSE)</f>
        <v>#N/A</v>
      </c>
      <c r="F15" s="44" t="e">
        <f>HLOOKUP(Tableau3[[#This Row],[Nom ND]],'pooled normalised values'!$B$74:$AK$83,8,FALSE)</f>
        <v>#N/A</v>
      </c>
      <c r="G15" s="44" t="e">
        <f>VLOOKUP(Tableau3[[#This Row],[Nom ND]],'summary results'!$A$6:$N$26,9,FALSE)</f>
        <v>#N/A</v>
      </c>
      <c r="H15" s="44" t="e">
        <f>VLOOKUP(Tableau3[[#This Row],[Nom ND]],'summary results'!$A$6:$N$26,11,FALSE)</f>
        <v>#N/A</v>
      </c>
      <c r="I15" s="44" t="e">
        <f>HLOOKUP(Tableau3[[#This Row],[Nom D]],'pooled normalised values'!$B$74:$AK$83,4,FALSE)</f>
        <v>#N/A</v>
      </c>
      <c r="J15" s="44" t="e">
        <f>HLOOKUP(Tableau3[[#This Row],[Nom D]],'pooled normalised values'!$B$74:$AK$83,8,FALSE)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52DA26-5B73-4A2F-A9D9-F247F83F966F}"/>
</file>

<file path=customXml/itemProps2.xml><?xml version="1.0" encoding="utf-8"?>
<ds:datastoreItem xmlns:ds="http://schemas.openxmlformats.org/officeDocument/2006/customXml" ds:itemID="{A863FA7A-D3D6-4FDF-8C12-0D309272B0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2022-10-05T14:30:40Z</dcterms:modified>
</cp:coreProperties>
</file>