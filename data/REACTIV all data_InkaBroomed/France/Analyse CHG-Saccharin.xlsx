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filterPrivacy="1" hidePivotFieldList="1" defaultThemeVersion="124226"/>
  <xr:revisionPtr revIDLastSave="0" documentId="13_ncr:1_{A5EE3FC2-3048-4152-B0D6-E0BBFAFDCBC9}" xr6:coauthVersionLast="47" xr6:coauthVersionMax="47" xr10:uidLastSave="{00000000-0000-0000-0000-000000000000}"/>
  <bookViews>
    <workbookView xWindow="-110" yWindow="-110" windowWidth="19420" windowHeight="10420" tabRatio="855" firstSheet="5"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garde'!$A$1:$I$42</definedName>
  </definedNames>
  <calcPr calcId="181029"/>
  <pivotCaches>
    <pivotCache cacheId="40" r:id="rId21"/>
    <pivotCache cacheId="41" r:id="rId22"/>
    <pivotCache cacheId="42" r:id="rId23"/>
    <pivotCache cacheId="43" r:id="rId24"/>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V94" i="4" l="1"/>
  <c r="U94" i="4"/>
  <c r="T94" i="4"/>
  <c r="S94" i="4"/>
  <c r="R94" i="4"/>
  <c r="Q94" i="4"/>
  <c r="P94" i="4"/>
  <c r="O94" i="4"/>
  <c r="N94" i="4"/>
  <c r="M94" i="4"/>
  <c r="L94" i="4"/>
  <c r="K94" i="4"/>
  <c r="J94" i="4"/>
  <c r="I94" i="4"/>
  <c r="H94" i="4"/>
  <c r="G94" i="4"/>
  <c r="F94" i="4"/>
  <c r="E94" i="4"/>
  <c r="D94" i="4"/>
  <c r="C94" i="4"/>
  <c r="B94" i="4"/>
  <c r="A2" i="36" l="1"/>
  <c r="B2" i="36"/>
  <c r="A3" i="36"/>
  <c r="B3" i="36"/>
  <c r="A4" i="36"/>
  <c r="B4" i="36"/>
  <c r="A5" i="36"/>
  <c r="B5" i="36"/>
  <c r="A6" i="36"/>
  <c r="B6" i="36"/>
  <c r="A7" i="36"/>
  <c r="B7" i="36"/>
  <c r="A8" i="36"/>
  <c r="B8" i="36"/>
  <c r="A9" i="36"/>
  <c r="B9" i="36"/>
  <c r="A10" i="36"/>
  <c r="B10" i="36"/>
  <c r="A11" i="36"/>
  <c r="B11" i="36"/>
  <c r="A12" i="36"/>
  <c r="B12" i="36"/>
  <c r="A13" i="36"/>
  <c r="B13" i="36"/>
  <c r="A14" i="36"/>
  <c r="B14" i="36"/>
  <c r="A15" i="36"/>
  <c r="B15" i="36"/>
  <c r="A16" i="36"/>
  <c r="B16" i="36"/>
  <c r="A17" i="36"/>
  <c r="B17" i="36"/>
  <c r="A18" i="36"/>
  <c r="B18" i="36"/>
  <c r="A19" i="36"/>
  <c r="B19" i="36"/>
  <c r="A20" i="36"/>
  <c r="B20" i="36"/>
  <c r="A21" i="36"/>
  <c r="B21" i="36"/>
  <c r="A22" i="36"/>
  <c r="B22" i="36"/>
  <c r="A23" i="36"/>
  <c r="B23" i="36"/>
  <c r="A24" i="36"/>
  <c r="B24" i="36"/>
  <c r="A25" i="36"/>
  <c r="B25" i="36"/>
  <c r="A26" i="36"/>
  <c r="B26" i="36"/>
  <c r="A27" i="36"/>
  <c r="B27" i="36"/>
  <c r="A28" i="36"/>
  <c r="B28" i="36"/>
  <c r="A29" i="36"/>
  <c r="B29" i="36"/>
  <c r="A30" i="36"/>
  <c r="B30" i="36"/>
  <c r="A31" i="36"/>
  <c r="B31" i="36"/>
  <c r="A32" i="36"/>
  <c r="B32" i="36"/>
  <c r="A33" i="36"/>
  <c r="B33" i="36"/>
  <c r="A34" i="36"/>
  <c r="B34" i="36"/>
  <c r="A35" i="36"/>
  <c r="B35" i="36"/>
  <c r="A36" i="36"/>
  <c r="B36" i="36"/>
  <c r="A37" i="36"/>
  <c r="B37" i="36"/>
  <c r="A38" i="36"/>
  <c r="B38" i="36"/>
  <c r="A39" i="36"/>
  <c r="B39" i="36"/>
  <c r="A40" i="36"/>
  <c r="B40" i="36"/>
  <c r="A41" i="36"/>
  <c r="B41" i="36"/>
  <c r="A42" i="36"/>
  <c r="B42" i="36"/>
  <c r="A43" i="36"/>
  <c r="B43" i="36"/>
  <c r="A44" i="36"/>
  <c r="B44" i="36"/>
  <c r="A45" i="36"/>
  <c r="B45" i="36"/>
  <c r="A46" i="36"/>
  <c r="B46" i="36"/>
  <c r="A47" i="36"/>
  <c r="B47" i="36"/>
  <c r="A48" i="36"/>
  <c r="B48" i="36"/>
  <c r="A49" i="36"/>
  <c r="B49" i="36"/>
  <c r="A50" i="36"/>
  <c r="B50" i="36"/>
  <c r="A51" i="36"/>
  <c r="B51" i="36"/>
  <c r="A52" i="36"/>
  <c r="B52" i="36"/>
  <c r="A53" i="36"/>
  <c r="B53" i="36"/>
  <c r="A54" i="36"/>
  <c r="B54" i="36"/>
  <c r="A55" i="36"/>
  <c r="B55" i="36"/>
  <c r="A56" i="36"/>
  <c r="B56" i="36"/>
  <c r="A57" i="36"/>
  <c r="B57" i="36"/>
  <c r="A58" i="36"/>
  <c r="B58" i="36"/>
  <c r="A59" i="36"/>
  <c r="B59" i="36"/>
  <c r="A60" i="36"/>
  <c r="B60" i="36"/>
  <c r="A61" i="36"/>
  <c r="B61" i="36"/>
  <c r="A62" i="36"/>
  <c r="B62" i="36"/>
  <c r="A63" i="36"/>
  <c r="B63" i="36"/>
  <c r="A64" i="36"/>
  <c r="B64" i="36"/>
  <c r="A65" i="36"/>
  <c r="B65" i="36"/>
  <c r="A66" i="36"/>
  <c r="B66" i="36"/>
  <c r="A67" i="36"/>
  <c r="B67" i="36"/>
  <c r="A68" i="36"/>
  <c r="B68" i="36"/>
  <c r="A69" i="36"/>
  <c r="B69" i="36"/>
  <c r="A70" i="36"/>
  <c r="B70" i="36"/>
  <c r="A71" i="36"/>
  <c r="B71" i="36"/>
  <c r="A72" i="36"/>
  <c r="B72" i="36"/>
  <c r="A73" i="36"/>
  <c r="B73" i="36"/>
  <c r="A74" i="36"/>
  <c r="B74" i="36"/>
  <c r="A75" i="36"/>
  <c r="B75" i="36"/>
  <c r="A76" i="36"/>
  <c r="B76" i="36"/>
  <c r="A77" i="36"/>
  <c r="B77" i="36"/>
  <c r="A78" i="36"/>
  <c r="B78" i="36"/>
  <c r="A79" i="36"/>
  <c r="B79" i="36"/>
  <c r="A80" i="36"/>
  <c r="B80" i="36"/>
  <c r="A81" i="36"/>
  <c r="B81" i="36"/>
  <c r="A82" i="36"/>
  <c r="B82" i="36"/>
  <c r="A83" i="36"/>
  <c r="B83" i="36"/>
  <c r="A84" i="36"/>
  <c r="B84" i="36"/>
  <c r="A85" i="36"/>
  <c r="B85" i="36"/>
  <c r="A86" i="36"/>
  <c r="B86" i="36"/>
  <c r="A87" i="36"/>
  <c r="B87" i="36"/>
  <c r="A88" i="36"/>
  <c r="B88" i="36"/>
  <c r="A89" i="36"/>
  <c r="B89" i="36"/>
  <c r="A90" i="36"/>
  <c r="B90" i="36"/>
  <c r="A91" i="36"/>
  <c r="B91" i="36"/>
  <c r="A92" i="36"/>
  <c r="B92" i="36"/>
  <c r="A93" i="36"/>
  <c r="B93" i="36"/>
  <c r="A94" i="36"/>
  <c r="B94" i="36"/>
  <c r="A95" i="36"/>
  <c r="B95" i="36"/>
  <c r="A96" i="36"/>
  <c r="B96" i="36"/>
  <c r="A97" i="36"/>
  <c r="B97" i="36"/>
  <c r="A98" i="36"/>
  <c r="B98" i="36"/>
  <c r="A99" i="36"/>
  <c r="B99" i="36"/>
  <c r="A100" i="36"/>
  <c r="B100" i="36"/>
  <c r="A101" i="36"/>
  <c r="B101" i="36"/>
  <c r="A102" i="36"/>
  <c r="B102" i="36"/>
  <c r="A103" i="36"/>
  <c r="B103" i="36"/>
  <c r="A104" i="36"/>
  <c r="B104" i="36"/>
  <c r="A105" i="36"/>
  <c r="B105" i="36"/>
  <c r="A106" i="36"/>
  <c r="B106" i="36"/>
  <c r="A107" i="36"/>
  <c r="B107" i="36"/>
  <c r="A108" i="36"/>
  <c r="B108" i="36"/>
  <c r="A109" i="36"/>
  <c r="B109" i="36"/>
  <c r="A110" i="36"/>
  <c r="B110" i="36"/>
  <c r="A111" i="36"/>
  <c r="B111" i="36"/>
  <c r="A112" i="36"/>
  <c r="B112" i="36"/>
  <c r="A113" i="36"/>
  <c r="B113" i="36"/>
  <c r="A114" i="36"/>
  <c r="B114" i="36"/>
  <c r="A115" i="36"/>
  <c r="B115" i="36"/>
  <c r="A116" i="36"/>
  <c r="B116" i="36"/>
  <c r="A117" i="36"/>
  <c r="B117" i="36"/>
  <c r="A118" i="36"/>
  <c r="B118" i="36"/>
  <c r="A119" i="36"/>
  <c r="B119" i="36"/>
  <c r="A120" i="36"/>
  <c r="B120" i="36"/>
  <c r="A121" i="36"/>
  <c r="B121" i="36"/>
  <c r="A122" i="36"/>
  <c r="B122" i="36"/>
  <c r="A123" i="36"/>
  <c r="B123" i="36"/>
  <c r="A124" i="36"/>
  <c r="B124" i="36"/>
  <c r="A125" i="36"/>
  <c r="B125" i="36"/>
  <c r="A126" i="36"/>
  <c r="B126" i="36"/>
  <c r="A127" i="36"/>
  <c r="B127" i="36"/>
  <c r="A128" i="36"/>
  <c r="B128" i="36"/>
  <c r="A129" i="36"/>
  <c r="B129" i="36"/>
  <c r="A130" i="36"/>
  <c r="B130" i="36"/>
  <c r="A131" i="36"/>
  <c r="B131" i="36"/>
  <c r="A132" i="36"/>
  <c r="B132" i="36"/>
  <c r="A133" i="36"/>
  <c r="B133" i="36"/>
  <c r="A134" i="36"/>
  <c r="B134" i="36"/>
  <c r="A135" i="36"/>
  <c r="B135" i="36"/>
  <c r="A136" i="36"/>
  <c r="B136" i="36"/>
  <c r="A137" i="36"/>
  <c r="B137" i="36"/>
  <c r="A138" i="36"/>
  <c r="B138" i="36"/>
  <c r="A139" i="36"/>
  <c r="B139" i="36"/>
  <c r="A140" i="36"/>
  <c r="B140" i="36"/>
  <c r="A141" i="36"/>
  <c r="B141" i="36"/>
  <c r="A142" i="36"/>
  <c r="B142" i="36"/>
  <c r="A143" i="36"/>
  <c r="B143" i="36"/>
  <c r="A144" i="36"/>
  <c r="B144" i="36"/>
  <c r="A145" i="36"/>
  <c r="B145" i="36"/>
  <c r="A146" i="36"/>
  <c r="B146" i="36"/>
  <c r="A147" i="36"/>
  <c r="B147" i="36"/>
  <c r="A148" i="36"/>
  <c r="B148" i="36"/>
  <c r="A149" i="36"/>
  <c r="B149" i="36"/>
  <c r="A150" i="36"/>
  <c r="B150" i="36"/>
  <c r="A151" i="36"/>
  <c r="B151" i="36"/>
  <c r="A152" i="36"/>
  <c r="B152" i="36"/>
  <c r="A153" i="36"/>
  <c r="B153" i="36"/>
  <c r="A154" i="36"/>
  <c r="B154" i="36"/>
  <c r="A155" i="36"/>
  <c r="B155" i="36"/>
  <c r="A156" i="36"/>
  <c r="B156" i="36"/>
  <c r="A157" i="36"/>
  <c r="B157" i="36"/>
  <c r="A158" i="36"/>
  <c r="B158" i="36"/>
  <c r="A159" i="36"/>
  <c r="B159" i="36"/>
  <c r="A160" i="36"/>
  <c r="B160" i="36"/>
  <c r="A161" i="36"/>
  <c r="B161" i="36"/>
  <c r="A162" i="36"/>
  <c r="B162" i="36"/>
  <c r="A163" i="36"/>
  <c r="B163" i="36"/>
  <c r="A164" i="36"/>
  <c r="B164" i="36"/>
  <c r="A165" i="36"/>
  <c r="B165" i="36"/>
  <c r="A166" i="36"/>
  <c r="B166" i="36"/>
  <c r="A167" i="36"/>
  <c r="B167" i="36"/>
  <c r="A168" i="36"/>
  <c r="B168" i="36"/>
  <c r="A169" i="36"/>
  <c r="B169" i="36"/>
  <c r="A170" i="36"/>
  <c r="B170" i="36"/>
  <c r="A171" i="36"/>
  <c r="B171" i="36"/>
  <c r="A172" i="36"/>
  <c r="B172" i="36"/>
  <c r="A173" i="36"/>
  <c r="B173" i="36"/>
  <c r="A174" i="36"/>
  <c r="B174" i="36"/>
  <c r="A175" i="36"/>
  <c r="B175" i="36"/>
  <c r="A176" i="36"/>
  <c r="B176" i="36"/>
  <c r="A177" i="36"/>
  <c r="B177" i="36"/>
  <c r="A178" i="36"/>
  <c r="B178" i="36"/>
  <c r="A179" i="36"/>
  <c r="B179" i="36"/>
  <c r="A180" i="36"/>
  <c r="B180" i="36"/>
  <c r="A181" i="36"/>
  <c r="B181" i="36"/>
  <c r="A182" i="36"/>
  <c r="B182" i="36"/>
  <c r="A183" i="36"/>
  <c r="B183" i="36"/>
  <c r="A184" i="36"/>
  <c r="B184" i="36"/>
  <c r="A185" i="36"/>
  <c r="B185" i="36"/>
  <c r="A186" i="36"/>
  <c r="B186" i="36"/>
  <c r="A187" i="36"/>
  <c r="B187" i="36"/>
  <c r="A188" i="36"/>
  <c r="B188" i="36"/>
  <c r="A189" i="36"/>
  <c r="B189" i="36"/>
  <c r="A190" i="36"/>
  <c r="B190" i="36"/>
  <c r="A191" i="36"/>
  <c r="B191" i="36"/>
  <c r="A192" i="36"/>
  <c r="B192" i="36"/>
  <c r="A193" i="36"/>
  <c r="B193" i="36"/>
  <c r="A194" i="36"/>
  <c r="B194" i="36"/>
  <c r="A195" i="36"/>
  <c r="B195" i="36"/>
  <c r="A196" i="36"/>
  <c r="B196" i="36"/>
  <c r="A197" i="36"/>
  <c r="B197" i="36"/>
  <c r="A198" i="36"/>
  <c r="B198" i="36"/>
  <c r="A199" i="36"/>
  <c r="B199" i="36"/>
  <c r="A200" i="36"/>
  <c r="B200" i="36"/>
  <c r="A201" i="36"/>
  <c r="B201" i="36"/>
  <c r="A202" i="36"/>
  <c r="B202" i="36"/>
  <c r="A203" i="36"/>
  <c r="B203" i="36"/>
  <c r="A204" i="36"/>
  <c r="B204" i="36"/>
  <c r="A205" i="36"/>
  <c r="B205" i="36"/>
  <c r="A206" i="36"/>
  <c r="B206" i="36"/>
  <c r="A207" i="36"/>
  <c r="B207" i="36"/>
  <c r="A208" i="36"/>
  <c r="B208" i="36"/>
  <c r="A209" i="36"/>
  <c r="B209" i="36"/>
  <c r="A210" i="36"/>
  <c r="B210" i="36"/>
  <c r="A211" i="36"/>
  <c r="B211" i="36"/>
  <c r="A212" i="36"/>
  <c r="B212" i="36"/>
  <c r="A213" i="36"/>
  <c r="B213" i="36"/>
  <c r="A214" i="36"/>
  <c r="B214" i="36"/>
  <c r="A215" i="36"/>
  <c r="B215" i="36"/>
  <c r="A216" i="36"/>
  <c r="B216" i="36"/>
  <c r="A217" i="36"/>
  <c r="B217" i="36"/>
  <c r="A218" i="36"/>
  <c r="B218" i="36"/>
  <c r="A219" i="36"/>
  <c r="B219" i="36"/>
  <c r="A220" i="36"/>
  <c r="B220" i="36"/>
  <c r="A221" i="36"/>
  <c r="B221" i="36"/>
  <c r="A222" i="36"/>
  <c r="B222" i="36"/>
  <c r="A223" i="36"/>
  <c r="B223" i="36"/>
  <c r="A224" i="36"/>
  <c r="B224" i="36"/>
  <c r="A225" i="36"/>
  <c r="B225" i="36"/>
  <c r="A226" i="36"/>
  <c r="B226" i="36"/>
  <c r="A227" i="36"/>
  <c r="B227" i="36"/>
  <c r="A228" i="36"/>
  <c r="B228" i="36"/>
  <c r="A229" i="36"/>
  <c r="B229" i="36"/>
  <c r="A230" i="36"/>
  <c r="B230" i="36"/>
  <c r="A231" i="36"/>
  <c r="B231" i="36"/>
  <c r="A232" i="36"/>
  <c r="B232" i="36"/>
  <c r="A233" i="36"/>
  <c r="B233" i="36"/>
  <c r="A234" i="36"/>
  <c r="B234" i="36"/>
  <c r="A235" i="36"/>
  <c r="B235" i="36"/>
  <c r="A236" i="36"/>
  <c r="B236" i="36"/>
  <c r="A237" i="36"/>
  <c r="B237" i="36"/>
  <c r="A238" i="36"/>
  <c r="B238" i="36"/>
  <c r="A239" i="36"/>
  <c r="B239" i="36"/>
  <c r="A240" i="36"/>
  <c r="B240" i="36"/>
  <c r="A241" i="36"/>
  <c r="B241" i="36"/>
  <c r="A242" i="36"/>
  <c r="B242" i="36"/>
  <c r="A243" i="36"/>
  <c r="B243" i="36"/>
  <c r="A244" i="36"/>
  <c r="B244" i="36"/>
  <c r="A245" i="36"/>
  <c r="B245" i="36"/>
  <c r="A246" i="36"/>
  <c r="B246" i="36"/>
  <c r="A247" i="36"/>
  <c r="B247" i="36"/>
  <c r="A248" i="36"/>
  <c r="B248" i="36"/>
  <c r="A249" i="36"/>
  <c r="B249" i="36"/>
  <c r="A250" i="36"/>
  <c r="B250" i="36"/>
  <c r="A251" i="36"/>
  <c r="B251" i="36"/>
  <c r="A252" i="36"/>
  <c r="B252" i="36"/>
  <c r="A253" i="36"/>
  <c r="B253" i="36"/>
  <c r="A254" i="36"/>
  <c r="B254" i="36"/>
  <c r="A255" i="36"/>
  <c r="B255" i="36"/>
  <c r="A256" i="36"/>
  <c r="B256" i="36"/>
  <c r="A257" i="36"/>
  <c r="B257" i="36"/>
  <c r="A258" i="36"/>
  <c r="B258" i="36"/>
  <c r="A259" i="36"/>
  <c r="B259" i="36"/>
  <c r="A260" i="36"/>
  <c r="B260" i="36"/>
  <c r="A261" i="36"/>
  <c r="B261" i="36"/>
  <c r="A262" i="36"/>
  <c r="B262" i="36"/>
  <c r="A263" i="36"/>
  <c r="B263" i="36"/>
  <c r="A264" i="36"/>
  <c r="B264" i="36"/>
  <c r="A265" i="36"/>
  <c r="B265" i="36"/>
  <c r="A266" i="36"/>
  <c r="B266" i="36"/>
  <c r="A267" i="36"/>
  <c r="B267" i="36"/>
  <c r="A268" i="36"/>
  <c r="B268" i="36"/>
  <c r="A269" i="36"/>
  <c r="B269" i="36"/>
  <c r="A270" i="36"/>
  <c r="B270" i="36"/>
  <c r="A271" i="36"/>
  <c r="B271" i="36"/>
  <c r="A272" i="36"/>
  <c r="B272" i="36"/>
  <c r="A273" i="36"/>
  <c r="B273" i="36"/>
  <c r="A274" i="36"/>
  <c r="B274" i="36"/>
  <c r="A275" i="36"/>
  <c r="B275" i="36"/>
  <c r="A276" i="36"/>
  <c r="B276" i="36"/>
  <c r="A277" i="36"/>
  <c r="B277" i="36"/>
  <c r="A278" i="36"/>
  <c r="B278" i="36"/>
  <c r="A279" i="36"/>
  <c r="B279" i="36"/>
  <c r="A280" i="36"/>
  <c r="B280" i="36"/>
  <c r="A281" i="36"/>
  <c r="B281" i="36"/>
  <c r="A282" i="36"/>
  <c r="B282" i="36"/>
  <c r="A283" i="36"/>
  <c r="B283" i="36"/>
  <c r="A284" i="36"/>
  <c r="B284" i="36"/>
  <c r="A285" i="36"/>
  <c r="B285" i="36"/>
  <c r="A286" i="36"/>
  <c r="B286" i="36"/>
  <c r="A287" i="36"/>
  <c r="B287" i="36"/>
  <c r="A288" i="36"/>
  <c r="B288" i="36"/>
  <c r="A289" i="36"/>
  <c r="B289" i="36"/>
  <c r="A290" i="36"/>
  <c r="B290" i="36"/>
  <c r="A291" i="36"/>
  <c r="B291" i="36"/>
  <c r="A292" i="36"/>
  <c r="B292" i="36"/>
  <c r="A293" i="36"/>
  <c r="B293" i="36"/>
  <c r="A294" i="36"/>
  <c r="B294" i="36"/>
  <c r="A295" i="36"/>
  <c r="B295" i="36"/>
  <c r="A296" i="36"/>
  <c r="B296" i="36"/>
  <c r="A297" i="36"/>
  <c r="B297" i="36"/>
  <c r="A298" i="36"/>
  <c r="B298" i="36"/>
  <c r="A299" i="36"/>
  <c r="B299" i="36"/>
  <c r="A300" i="36"/>
  <c r="B300" i="36"/>
  <c r="A301" i="36"/>
  <c r="B301" i="36"/>
  <c r="A302" i="36"/>
  <c r="B302" i="36"/>
  <c r="A303" i="36"/>
  <c r="B303" i="36"/>
  <c r="A304" i="36"/>
  <c r="B304" i="36"/>
  <c r="A305" i="36"/>
  <c r="B305" i="36"/>
  <c r="A306" i="36"/>
  <c r="B306" i="36"/>
  <c r="A307" i="36"/>
  <c r="B307" i="36"/>
  <c r="A308" i="36"/>
  <c r="B308" i="36"/>
  <c r="A309" i="36"/>
  <c r="B309" i="36"/>
  <c r="A310" i="36"/>
  <c r="B310" i="36"/>
  <c r="A311" i="36"/>
  <c r="B311" i="36"/>
  <c r="A312" i="36"/>
  <c r="B312" i="36"/>
  <c r="A313" i="36"/>
  <c r="B313" i="36"/>
  <c r="A314" i="36"/>
  <c r="B314" i="36"/>
  <c r="A315" i="36"/>
  <c r="B315" i="36"/>
  <c r="A316" i="36"/>
  <c r="B316" i="36"/>
  <c r="A317" i="36"/>
  <c r="B317" i="36"/>
  <c r="A318" i="36"/>
  <c r="B318" i="36"/>
  <c r="A319" i="36"/>
  <c r="B319" i="36"/>
  <c r="A320" i="36"/>
  <c r="B320" i="36"/>
  <c r="A321" i="36"/>
  <c r="B321" i="36"/>
  <c r="A322" i="36"/>
  <c r="B322" i="36"/>
  <c r="A323" i="36"/>
  <c r="B323" i="36"/>
  <c r="A324" i="36"/>
  <c r="B324" i="36"/>
  <c r="A325" i="36"/>
  <c r="B325" i="36"/>
  <c r="A326" i="36"/>
  <c r="B326" i="36"/>
  <c r="A327" i="36"/>
  <c r="B327" i="36"/>
  <c r="A328" i="36"/>
  <c r="B328" i="36"/>
  <c r="A329" i="36"/>
  <c r="B329" i="36"/>
  <c r="A330" i="36"/>
  <c r="B330" i="36"/>
  <c r="A331" i="36"/>
  <c r="B331" i="36"/>
  <c r="A332" i="36"/>
  <c r="B332" i="36"/>
  <c r="A333" i="36"/>
  <c r="B333" i="36"/>
  <c r="A334" i="36"/>
  <c r="B334" i="36"/>
  <c r="A335" i="36"/>
  <c r="B335" i="36"/>
  <c r="A336" i="36"/>
  <c r="B336" i="36"/>
  <c r="A337" i="36"/>
  <c r="B337" i="36"/>
  <c r="A338" i="36"/>
  <c r="B338" i="36"/>
  <c r="A339" i="36"/>
  <c r="B339" i="36"/>
  <c r="A340" i="36"/>
  <c r="B340" i="36"/>
  <c r="A341" i="36"/>
  <c r="B341" i="36"/>
  <c r="A342" i="36"/>
  <c r="B342" i="36"/>
  <c r="A343" i="36"/>
  <c r="B343" i="36"/>
  <c r="A344" i="36"/>
  <c r="B344" i="36"/>
  <c r="A345" i="36"/>
  <c r="B345" i="36"/>
  <c r="A346" i="36"/>
  <c r="B346" i="36"/>
  <c r="A347" i="36"/>
  <c r="B347" i="36"/>
  <c r="A348" i="36"/>
  <c r="B348" i="36"/>
  <c r="A349" i="36"/>
  <c r="B349" i="36"/>
  <c r="A350" i="36"/>
  <c r="B350" i="36"/>
  <c r="A351" i="36"/>
  <c r="B351" i="36"/>
  <c r="A352" i="36"/>
  <c r="B352" i="36"/>
  <c r="A353" i="36"/>
  <c r="B353" i="36"/>
  <c r="A354" i="36"/>
  <c r="B354" i="36"/>
  <c r="A355" i="36"/>
  <c r="B355" i="36"/>
  <c r="A356" i="36"/>
  <c r="B356" i="36"/>
  <c r="A357" i="36"/>
  <c r="B357" i="36"/>
  <c r="A358" i="36"/>
  <c r="B358" i="36"/>
  <c r="A359" i="36"/>
  <c r="B359" i="36"/>
  <c r="A360" i="36"/>
  <c r="B360" i="36"/>
  <c r="A361" i="36"/>
  <c r="B361" i="36"/>
  <c r="A362" i="36"/>
  <c r="B362" i="36"/>
  <c r="A363" i="36"/>
  <c r="B363" i="36"/>
  <c r="A364" i="36"/>
  <c r="B364" i="36"/>
  <c r="A365" i="36"/>
  <c r="B365" i="36"/>
  <c r="A366" i="36"/>
  <c r="B366" i="36"/>
  <c r="A367" i="36"/>
  <c r="B367" i="36"/>
  <c r="A368" i="36"/>
  <c r="B368" i="36"/>
  <c r="A369" i="36"/>
  <c r="B369" i="36"/>
  <c r="A370" i="36"/>
  <c r="B370" i="36"/>
  <c r="A371" i="36"/>
  <c r="B371" i="36"/>
  <c r="A372" i="36"/>
  <c r="B372" i="36"/>
  <c r="A373" i="36"/>
  <c r="B373" i="36"/>
  <c r="A374" i="36"/>
  <c r="B374" i="36"/>
  <c r="A375" i="36"/>
  <c r="B375" i="36"/>
  <c r="A376" i="36"/>
  <c r="B376" i="36"/>
  <c r="A377" i="36"/>
  <c r="B377" i="36"/>
  <c r="A378" i="36"/>
  <c r="B378" i="36"/>
  <c r="A379" i="36"/>
  <c r="B379" i="36"/>
  <c r="A380" i="36"/>
  <c r="B380" i="36"/>
  <c r="A381" i="36"/>
  <c r="B381" i="36"/>
  <c r="A382" i="36"/>
  <c r="B382" i="36"/>
  <c r="A383" i="36"/>
  <c r="B383" i="36"/>
  <c r="A384" i="36"/>
  <c r="B384" i="36"/>
  <c r="A385" i="36"/>
  <c r="B385" i="36"/>
  <c r="A386" i="36"/>
  <c r="B386" i="36"/>
  <c r="A387" i="36"/>
  <c r="B387" i="36"/>
  <c r="A388" i="36"/>
  <c r="B388" i="36"/>
  <c r="A389" i="36"/>
  <c r="B389" i="36"/>
  <c r="A390" i="36"/>
  <c r="B390" i="36"/>
  <c r="A391" i="36"/>
  <c r="B391" i="36"/>
  <c r="A392" i="36"/>
  <c r="B392" i="36"/>
  <c r="A393" i="36"/>
  <c r="B393" i="36"/>
  <c r="A394" i="36"/>
  <c r="B394" i="36"/>
  <c r="A395" i="36"/>
  <c r="B395" i="36"/>
  <c r="A396" i="36"/>
  <c r="B396" i="36"/>
  <c r="A397" i="36"/>
  <c r="B397" i="36"/>
  <c r="A398" i="36"/>
  <c r="B398" i="36"/>
  <c r="A399" i="36"/>
  <c r="B399" i="36"/>
  <c r="A400" i="36"/>
  <c r="B400" i="36"/>
  <c r="A401" i="36"/>
  <c r="B401" i="36"/>
  <c r="A402" i="36"/>
  <c r="B402" i="36"/>
  <c r="A403" i="36"/>
  <c r="B403" i="36"/>
  <c r="A404" i="36"/>
  <c r="B404" i="36"/>
  <c r="A405" i="36"/>
  <c r="B405" i="36"/>
  <c r="A406" i="36"/>
  <c r="B406" i="36"/>
  <c r="A407" i="36"/>
  <c r="B407" i="36"/>
  <c r="A408" i="36"/>
  <c r="B408" i="36"/>
  <c r="A409" i="36"/>
  <c r="B409" i="36"/>
  <c r="A410" i="36"/>
  <c r="B410" i="36"/>
  <c r="A411" i="36"/>
  <c r="B411" i="36"/>
  <c r="A412" i="36"/>
  <c r="B412" i="36"/>
  <c r="A413" i="36"/>
  <c r="B413" i="36"/>
  <c r="A414" i="36"/>
  <c r="B414" i="36"/>
  <c r="A415" i="36"/>
  <c r="B415" i="36"/>
  <c r="A416" i="36"/>
  <c r="B416" i="36"/>
  <c r="A417" i="36"/>
  <c r="B417" i="36"/>
  <c r="A418" i="36"/>
  <c r="B418" i="36"/>
  <c r="A419" i="36"/>
  <c r="B419" i="36"/>
  <c r="A420" i="36"/>
  <c r="B420" i="36"/>
  <c r="A421" i="36"/>
  <c r="B421" i="36"/>
  <c r="A422" i="36"/>
  <c r="B422" i="36"/>
  <c r="A423" i="36"/>
  <c r="B423" i="36"/>
  <c r="A424" i="36"/>
  <c r="B424" i="36"/>
  <c r="A425" i="36"/>
  <c r="B425" i="36"/>
  <c r="A426" i="36"/>
  <c r="B426" i="36"/>
  <c r="A427" i="36"/>
  <c r="B427" i="36"/>
  <c r="A428" i="36"/>
  <c r="B428" i="36"/>
  <c r="A429" i="36"/>
  <c r="B429" i="36"/>
  <c r="A430" i="36"/>
  <c r="B430" i="36"/>
  <c r="A431" i="36"/>
  <c r="B431" i="36"/>
  <c r="A432" i="36"/>
  <c r="B432" i="36"/>
  <c r="A433" i="36"/>
  <c r="B433" i="36"/>
  <c r="A434" i="36"/>
  <c r="B434" i="36"/>
  <c r="A435" i="36"/>
  <c r="B435" i="36"/>
  <c r="A436" i="36"/>
  <c r="B436" i="36"/>
  <c r="A437" i="36"/>
  <c r="B437" i="36"/>
  <c r="A438" i="36"/>
  <c r="B438" i="36"/>
  <c r="A439" i="36"/>
  <c r="B439" i="36"/>
  <c r="A440" i="36"/>
  <c r="B440" i="36"/>
  <c r="A441" i="36"/>
  <c r="B441" i="36"/>
  <c r="A442" i="36"/>
  <c r="B442" i="36"/>
  <c r="A443" i="36"/>
  <c r="B443" i="36"/>
  <c r="A444" i="36"/>
  <c r="B444" i="36"/>
  <c r="A445" i="36"/>
  <c r="B445" i="36"/>
  <c r="A446" i="36"/>
  <c r="B446" i="36"/>
  <c r="A447" i="36"/>
  <c r="B447" i="36"/>
  <c r="A448" i="36"/>
  <c r="B448" i="36"/>
  <c r="A449" i="36"/>
  <c r="B449" i="36"/>
  <c r="A450" i="36"/>
  <c r="B450" i="36"/>
  <c r="A451" i="36"/>
  <c r="B451" i="36"/>
  <c r="A452" i="36"/>
  <c r="B452" i="36"/>
  <c r="A453" i="36"/>
  <c r="B453" i="36"/>
  <c r="A454" i="36"/>
  <c r="B454" i="36"/>
  <c r="A455" i="36"/>
  <c r="B455" i="36"/>
  <c r="A456" i="36"/>
  <c r="B456" i="36"/>
  <c r="A457" i="36"/>
  <c r="B457" i="36"/>
  <c r="A458" i="36"/>
  <c r="B458" i="36"/>
  <c r="A459" i="36"/>
  <c r="B459" i="36"/>
  <c r="A460" i="36"/>
  <c r="B460" i="36"/>
  <c r="A461" i="36"/>
  <c r="B461" i="36"/>
  <c r="A462" i="36"/>
  <c r="B462" i="36"/>
  <c r="A463" i="36"/>
  <c r="B463" i="36"/>
  <c r="A464" i="36"/>
  <c r="B464" i="36"/>
  <c r="A465" i="36"/>
  <c r="B465" i="36"/>
  <c r="A466" i="36"/>
  <c r="B466" i="36"/>
  <c r="A467" i="36"/>
  <c r="B467" i="36"/>
  <c r="A468" i="36"/>
  <c r="B468" i="36"/>
  <c r="A469" i="36"/>
  <c r="B469" i="36"/>
  <c r="A470" i="36"/>
  <c r="B470" i="36"/>
  <c r="A471" i="36"/>
  <c r="B471" i="36"/>
  <c r="A472" i="36"/>
  <c r="B472" i="36"/>
  <c r="A473" i="36"/>
  <c r="B473" i="36"/>
  <c r="A474" i="36"/>
  <c r="B474" i="36"/>
  <c r="A475" i="36"/>
  <c r="B475" i="36"/>
  <c r="A476" i="36"/>
  <c r="B476" i="36"/>
  <c r="A477" i="36"/>
  <c r="B477" i="36"/>
  <c r="A478" i="36"/>
  <c r="B478" i="36"/>
  <c r="A479" i="36"/>
  <c r="B479" i="36"/>
  <c r="A480" i="36"/>
  <c r="B480" i="36"/>
  <c r="A481" i="36"/>
  <c r="B481" i="36"/>
  <c r="A482" i="36"/>
  <c r="B482" i="36"/>
  <c r="A483" i="36"/>
  <c r="B483" i="36"/>
  <c r="A484" i="36"/>
  <c r="B484" i="36"/>
  <c r="A485" i="36"/>
  <c r="B485" i="36"/>
  <c r="A486" i="36"/>
  <c r="B486" i="36"/>
  <c r="A487" i="36"/>
  <c r="B487" i="36"/>
  <c r="A488" i="36"/>
  <c r="B488" i="36"/>
  <c r="A489" i="36"/>
  <c r="B489" i="36"/>
  <c r="A490" i="36"/>
  <c r="B490" i="36"/>
  <c r="A491" i="36"/>
  <c r="B491" i="36"/>
  <c r="A492" i="36"/>
  <c r="B492" i="36"/>
  <c r="A493" i="36"/>
  <c r="B493" i="36"/>
  <c r="A494" i="36"/>
  <c r="B494" i="36"/>
  <c r="A495" i="36"/>
  <c r="B495" i="36"/>
  <c r="A496" i="36"/>
  <c r="B496" i="36"/>
  <c r="A497" i="36"/>
  <c r="B497" i="36"/>
  <c r="A498" i="36"/>
  <c r="B498" i="36"/>
  <c r="A499" i="36"/>
  <c r="B499" i="36"/>
  <c r="A500" i="36"/>
  <c r="B500" i="36"/>
  <c r="A501" i="36"/>
  <c r="B501" i="36"/>
  <c r="A502" i="36"/>
  <c r="B502" i="36"/>
  <c r="A503" i="36"/>
  <c r="B503" i="36"/>
  <c r="A504" i="36"/>
  <c r="B504" i="36"/>
  <c r="A505" i="36"/>
  <c r="B505" i="36"/>
  <c r="A506" i="36"/>
  <c r="B506" i="36"/>
  <c r="A507" i="36"/>
  <c r="B507" i="36"/>
  <c r="A508" i="36"/>
  <c r="B508" i="36"/>
  <c r="A509" i="36"/>
  <c r="B509" i="36"/>
  <c r="A510" i="36"/>
  <c r="B510" i="36"/>
  <c r="A511" i="36"/>
  <c r="B511" i="36"/>
  <c r="A512" i="36"/>
  <c r="B512" i="36"/>
  <c r="A513" i="36"/>
  <c r="B513" i="36"/>
  <c r="A514" i="36"/>
  <c r="B514" i="36"/>
  <c r="A515" i="36"/>
  <c r="B515" i="36"/>
  <c r="A516" i="36"/>
  <c r="B516" i="36"/>
  <c r="A517" i="36"/>
  <c r="B517" i="36"/>
  <c r="A518" i="36"/>
  <c r="B518" i="36"/>
  <c r="A519" i="36"/>
  <c r="B519" i="36"/>
  <c r="A520" i="36"/>
  <c r="B520" i="36"/>
  <c r="A521" i="36"/>
  <c r="B521" i="36"/>
  <c r="A522" i="36"/>
  <c r="B522" i="36"/>
  <c r="A523" i="36"/>
  <c r="B523" i="36"/>
  <c r="A524" i="36"/>
  <c r="B524" i="36"/>
  <c r="A525" i="36"/>
  <c r="B525" i="36"/>
  <c r="A526" i="36"/>
  <c r="B526" i="36"/>
  <c r="A527" i="36"/>
  <c r="B527" i="36"/>
  <c r="A528" i="36"/>
  <c r="B528" i="36"/>
  <c r="A529" i="36"/>
  <c r="B529" i="36"/>
  <c r="A530" i="36"/>
  <c r="B530" i="36"/>
  <c r="A531" i="36"/>
  <c r="B531" i="36"/>
  <c r="A532" i="36"/>
  <c r="B532" i="36"/>
  <c r="A533" i="36"/>
  <c r="B533" i="36"/>
  <c r="A534" i="36"/>
  <c r="B534" i="36"/>
  <c r="A535" i="36"/>
  <c r="B535" i="36"/>
  <c r="A536" i="36"/>
  <c r="B536" i="36"/>
  <c r="A537" i="36"/>
  <c r="B537" i="36"/>
  <c r="A538" i="36"/>
  <c r="B538" i="36"/>
  <c r="A539" i="36"/>
  <c r="B539" i="36"/>
  <c r="A540" i="36"/>
  <c r="B540" i="36"/>
  <c r="A541" i="36"/>
  <c r="B541" i="36"/>
  <c r="A542" i="36"/>
  <c r="B542" i="36"/>
  <c r="A543" i="36"/>
  <c r="B543" i="36"/>
  <c r="A544" i="36"/>
  <c r="B544" i="36"/>
  <c r="A545" i="36"/>
  <c r="B545" i="36"/>
  <c r="A546" i="36"/>
  <c r="B546" i="36"/>
  <c r="A547" i="36"/>
  <c r="B547" i="36"/>
  <c r="A548" i="36"/>
  <c r="B548" i="36"/>
  <c r="A549" i="36"/>
  <c r="B549" i="36"/>
  <c r="A550" i="36"/>
  <c r="B550" i="36"/>
  <c r="A551" i="36"/>
  <c r="B551" i="36"/>
  <c r="A552" i="36"/>
  <c r="B552" i="36"/>
  <c r="A553" i="36"/>
  <c r="B553" i="36"/>
  <c r="A554" i="36"/>
  <c r="B554" i="36"/>
  <c r="A555" i="36"/>
  <c r="B555" i="36"/>
  <c r="A556" i="36"/>
  <c r="B556" i="36"/>
  <c r="A557" i="36"/>
  <c r="B557" i="36"/>
  <c r="A558" i="36"/>
  <c r="B558" i="36"/>
  <c r="A559" i="36"/>
  <c r="B559" i="36"/>
  <c r="A560" i="36"/>
  <c r="B560" i="36"/>
  <c r="A561" i="36"/>
  <c r="B561" i="36"/>
  <c r="A562" i="36"/>
  <c r="B562" i="36"/>
  <c r="A563" i="36"/>
  <c r="B563" i="36"/>
  <c r="A564" i="36"/>
  <c r="B564" i="36"/>
  <c r="A565" i="36"/>
  <c r="B565" i="36"/>
  <c r="A566" i="36"/>
  <c r="B566" i="36"/>
  <c r="A567" i="36"/>
  <c r="B567" i="36"/>
  <c r="A568" i="36"/>
  <c r="B568" i="36"/>
  <c r="A569" i="36"/>
  <c r="B569" i="36"/>
  <c r="A570" i="36"/>
  <c r="B570" i="36"/>
  <c r="A571" i="36"/>
  <c r="B571" i="36"/>
  <c r="A572" i="36"/>
  <c r="B572" i="36"/>
  <c r="A573" i="36"/>
  <c r="B573" i="36"/>
  <c r="A574" i="36"/>
  <c r="B574" i="36"/>
  <c r="A575" i="36"/>
  <c r="B575" i="36"/>
  <c r="A576" i="36"/>
  <c r="B576" i="36"/>
  <c r="A577" i="36"/>
  <c r="B577" i="36"/>
  <c r="A578" i="36"/>
  <c r="B578" i="36"/>
  <c r="A579" i="36"/>
  <c r="B579" i="36"/>
  <c r="A580" i="36"/>
  <c r="B580" i="36"/>
  <c r="A581" i="36"/>
  <c r="B581" i="36"/>
  <c r="A582" i="36"/>
  <c r="B582" i="36"/>
  <c r="A583" i="36"/>
  <c r="B583" i="36"/>
  <c r="A584" i="36"/>
  <c r="B584" i="36"/>
  <c r="A585" i="36"/>
  <c r="B585" i="36"/>
  <c r="A586" i="36"/>
  <c r="B586" i="36"/>
  <c r="A587" i="36"/>
  <c r="B587" i="36"/>
  <c r="A588" i="36"/>
  <c r="B588" i="36"/>
  <c r="A589" i="36"/>
  <c r="B589" i="36"/>
  <c r="A590" i="36"/>
  <c r="B590" i="36"/>
  <c r="A591" i="36"/>
  <c r="B591" i="36"/>
  <c r="A592" i="36"/>
  <c r="B592" i="36"/>
  <c r="A593" i="36"/>
  <c r="B593" i="36"/>
  <c r="A594" i="36"/>
  <c r="B594" i="36"/>
  <c r="A595" i="36"/>
  <c r="B595" i="36"/>
  <c r="A596" i="36"/>
  <c r="B596" i="36"/>
  <c r="A597" i="36"/>
  <c r="B597" i="36"/>
  <c r="A598" i="36"/>
  <c r="B598" i="36"/>
  <c r="A599" i="36"/>
  <c r="B599" i="36"/>
  <c r="A600" i="36"/>
  <c r="B600" i="36"/>
  <c r="A601" i="36"/>
  <c r="B601" i="36"/>
  <c r="A602" i="36"/>
  <c r="B602" i="36"/>
  <c r="A603" i="36"/>
  <c r="B603" i="36"/>
  <c r="A604" i="36"/>
  <c r="B604" i="36"/>
  <c r="A605" i="36"/>
  <c r="B605" i="36"/>
  <c r="A606" i="36"/>
  <c r="B606" i="36"/>
  <c r="A607" i="36"/>
  <c r="B607" i="36"/>
  <c r="A608" i="36"/>
  <c r="B608" i="36"/>
  <c r="A609" i="36"/>
  <c r="B609" i="36"/>
  <c r="A610" i="36"/>
  <c r="B610" i="36"/>
  <c r="A611" i="36"/>
  <c r="B611" i="36"/>
  <c r="A612" i="36"/>
  <c r="B612" i="36"/>
  <c r="A613" i="36"/>
  <c r="B613" i="36"/>
  <c r="A614" i="36"/>
  <c r="B614" i="36"/>
  <c r="A615" i="36"/>
  <c r="B615" i="36"/>
  <c r="A616" i="36"/>
  <c r="B616" i="36"/>
  <c r="A617" i="36"/>
  <c r="B617" i="36"/>
  <c r="A618" i="36"/>
  <c r="B618" i="36"/>
  <c r="A619" i="36"/>
  <c r="B619" i="36"/>
  <c r="A620" i="36"/>
  <c r="B620" i="36"/>
  <c r="A621" i="36"/>
  <c r="B621" i="36"/>
  <c r="A622" i="36"/>
  <c r="B622" i="36"/>
  <c r="A623" i="36"/>
  <c r="B623" i="36"/>
  <c r="A624" i="36"/>
  <c r="B624" i="36"/>
  <c r="A625" i="36"/>
  <c r="B625" i="36"/>
  <c r="A626" i="36"/>
  <c r="B626" i="36"/>
  <c r="A627" i="36"/>
  <c r="B627" i="36"/>
  <c r="A628" i="36"/>
  <c r="B628" i="36"/>
  <c r="A629" i="36"/>
  <c r="B629" i="36"/>
  <c r="A630" i="36"/>
  <c r="B630" i="36"/>
  <c r="A631" i="36"/>
  <c r="B631" i="36"/>
  <c r="A632" i="36"/>
  <c r="B632" i="36"/>
  <c r="A633" i="36"/>
  <c r="B633" i="36"/>
  <c r="A634" i="36"/>
  <c r="B634" i="36"/>
  <c r="A635" i="36"/>
  <c r="B635" i="36"/>
  <c r="A636" i="36"/>
  <c r="B636" i="36"/>
  <c r="A637" i="36"/>
  <c r="B637" i="36"/>
  <c r="A638" i="36"/>
  <c r="B638" i="36"/>
  <c r="A639" i="36"/>
  <c r="B639" i="36"/>
  <c r="A640" i="36"/>
  <c r="B640" i="36"/>
  <c r="A641" i="36"/>
  <c r="B641" i="36"/>
  <c r="A642" i="36"/>
  <c r="B642" i="36"/>
  <c r="A643" i="36"/>
  <c r="B643" i="36"/>
  <c r="A644" i="36"/>
  <c r="B644" i="36"/>
  <c r="A645" i="36"/>
  <c r="B645" i="36"/>
  <c r="A646" i="36"/>
  <c r="B646" i="36"/>
  <c r="A647" i="36"/>
  <c r="B647" i="36"/>
  <c r="A648" i="36"/>
  <c r="B648" i="36"/>
  <c r="A649" i="36"/>
  <c r="B649" i="36"/>
  <c r="A650" i="36"/>
  <c r="B650" i="36"/>
  <c r="A651" i="36"/>
  <c r="B651" i="36"/>
  <c r="A652" i="36"/>
  <c r="B652" i="36"/>
  <c r="A653" i="36"/>
  <c r="B653" i="36"/>
  <c r="A654" i="36"/>
  <c r="B654" i="36"/>
  <c r="A655" i="36"/>
  <c r="B655" i="36"/>
  <c r="A656" i="36"/>
  <c r="B656" i="36"/>
  <c r="A657" i="36"/>
  <c r="B657" i="36"/>
  <c r="A658" i="36"/>
  <c r="B658" i="36"/>
  <c r="A659" i="36"/>
  <c r="B659" i="36"/>
  <c r="A660" i="36"/>
  <c r="B660" i="36"/>
  <c r="A661" i="36"/>
  <c r="B661" i="36"/>
  <c r="A662" i="36"/>
  <c r="B662" i="36"/>
  <c r="A663" i="36"/>
  <c r="B663" i="36"/>
  <c r="A664" i="36"/>
  <c r="B664" i="36"/>
  <c r="A665" i="36"/>
  <c r="B665" i="36"/>
  <c r="A666" i="36"/>
  <c r="B666" i="36"/>
  <c r="A667" i="36"/>
  <c r="B667" i="36"/>
  <c r="A668" i="36"/>
  <c r="B668" i="36"/>
  <c r="A669" i="36"/>
  <c r="B669" i="36"/>
  <c r="A670" i="36"/>
  <c r="B670" i="36"/>
  <c r="A671" i="36"/>
  <c r="B671" i="36"/>
  <c r="A672" i="36"/>
  <c r="B672" i="36"/>
  <c r="A673" i="36"/>
  <c r="B673" i="36"/>
  <c r="A674" i="36"/>
  <c r="B674" i="36"/>
  <c r="A675" i="36"/>
  <c r="B675" i="36"/>
  <c r="A676" i="36"/>
  <c r="B676" i="36"/>
  <c r="A677" i="36"/>
  <c r="B677" i="36"/>
  <c r="A678" i="36"/>
  <c r="B678" i="36"/>
  <c r="A679" i="36"/>
  <c r="B679" i="36"/>
  <c r="A680" i="36"/>
  <c r="B680" i="36"/>
  <c r="A681" i="36"/>
  <c r="B681" i="36"/>
  <c r="A682" i="36"/>
  <c r="B682" i="36"/>
  <c r="A683" i="36"/>
  <c r="B683" i="36"/>
  <c r="A684" i="36"/>
  <c r="B684" i="36"/>
  <c r="A685" i="36"/>
  <c r="B685" i="36"/>
  <c r="A686" i="36"/>
  <c r="B686" i="36"/>
  <c r="A687" i="36"/>
  <c r="B687" i="36"/>
  <c r="A688" i="36"/>
  <c r="B688" i="36"/>
  <c r="A689" i="36"/>
  <c r="B689" i="36"/>
  <c r="A690" i="36"/>
  <c r="B690" i="36"/>
  <c r="A691" i="36"/>
  <c r="B691" i="36"/>
  <c r="A692" i="36"/>
  <c r="B692" i="36"/>
  <c r="A693" i="36"/>
  <c r="B693" i="36"/>
  <c r="A694" i="36"/>
  <c r="B694" i="36"/>
  <c r="A695" i="36"/>
  <c r="B695" i="36"/>
  <c r="A696" i="36"/>
  <c r="B696" i="36"/>
  <c r="A697" i="36"/>
  <c r="B697" i="36"/>
  <c r="A698" i="36"/>
  <c r="B698" i="36"/>
  <c r="A699" i="36"/>
  <c r="B699" i="36"/>
  <c r="A700" i="36"/>
  <c r="B700" i="36"/>
  <c r="A701" i="36"/>
  <c r="B701" i="36"/>
  <c r="A702" i="36"/>
  <c r="B702" i="36"/>
  <c r="A703" i="36"/>
  <c r="B703" i="36"/>
  <c r="A704" i="36"/>
  <c r="B704" i="36"/>
  <c r="A705" i="36"/>
  <c r="B705" i="36"/>
  <c r="A706" i="36"/>
  <c r="B706" i="36"/>
  <c r="A707" i="36"/>
  <c r="B707" i="36"/>
  <c r="A708" i="36"/>
  <c r="B708" i="36"/>
  <c r="A709" i="36"/>
  <c r="B709" i="36"/>
  <c r="A710" i="36"/>
  <c r="B710" i="36"/>
  <c r="A711" i="36"/>
  <c r="B711" i="36"/>
  <c r="A712" i="36"/>
  <c r="B712" i="36"/>
  <c r="A713" i="36"/>
  <c r="B713" i="36"/>
  <c r="A714" i="36"/>
  <c r="B714" i="36"/>
  <c r="A715" i="36"/>
  <c r="B715" i="36"/>
  <c r="A716" i="36"/>
  <c r="B716" i="36"/>
  <c r="A717" i="36"/>
  <c r="B717" i="36"/>
  <c r="A718" i="36"/>
  <c r="B718" i="36"/>
  <c r="A719" i="36"/>
  <c r="B719" i="36"/>
  <c r="A720" i="36"/>
  <c r="B720" i="36"/>
  <c r="A721" i="36"/>
  <c r="B721" i="36"/>
  <c r="A722" i="36"/>
  <c r="B722" i="36"/>
  <c r="A723" i="36"/>
  <c r="B723" i="36"/>
  <c r="A724" i="36"/>
  <c r="B724" i="36"/>
  <c r="A725" i="36"/>
  <c r="B725" i="36"/>
  <c r="A726" i="36"/>
  <c r="B726" i="36"/>
  <c r="A727" i="36"/>
  <c r="B727" i="36"/>
  <c r="A728" i="36"/>
  <c r="B728" i="36"/>
  <c r="A729" i="36"/>
  <c r="B729" i="36"/>
  <c r="A730" i="36"/>
  <c r="B730" i="36"/>
  <c r="A731" i="36"/>
  <c r="B731" i="36"/>
  <c r="A732" i="36"/>
  <c r="B732" i="36"/>
  <c r="A733" i="36"/>
  <c r="B733" i="36"/>
  <c r="A734" i="36"/>
  <c r="B734" i="36"/>
  <c r="A735" i="36"/>
  <c r="B735" i="36"/>
  <c r="A736" i="36"/>
  <c r="B736" i="36"/>
  <c r="A737" i="36"/>
  <c r="B737" i="36"/>
  <c r="A738" i="36"/>
  <c r="B738" i="36"/>
  <c r="A739" i="36"/>
  <c r="B739" i="36"/>
  <c r="A740" i="36"/>
  <c r="B740" i="36"/>
  <c r="A741" i="36"/>
  <c r="B741" i="36"/>
  <c r="A742" i="36"/>
  <c r="B742" i="36"/>
  <c r="A743" i="36"/>
  <c r="B743" i="36"/>
  <c r="A744" i="36"/>
  <c r="B744" i="36"/>
  <c r="A745" i="36"/>
  <c r="B745" i="36"/>
  <c r="A746" i="36"/>
  <c r="B746" i="36"/>
  <c r="A747" i="36"/>
  <c r="B747" i="36"/>
  <c r="A748" i="36"/>
  <c r="B748" i="36"/>
  <c r="A749" i="36"/>
  <c r="B749" i="36"/>
  <c r="A750" i="36"/>
  <c r="B750" i="36"/>
  <c r="A751" i="36"/>
  <c r="B751" i="36"/>
  <c r="A752" i="36"/>
  <c r="B752" i="36"/>
  <c r="A753" i="36"/>
  <c r="B753" i="36"/>
  <c r="A754" i="36"/>
  <c r="B754" i="36"/>
  <c r="A755" i="36"/>
  <c r="B755" i="36"/>
  <c r="A756" i="36"/>
  <c r="B756" i="36"/>
  <c r="A757" i="36"/>
  <c r="B757" i="36"/>
  <c r="A758" i="36"/>
  <c r="B758" i="36"/>
  <c r="A759" i="36"/>
  <c r="B759" i="36"/>
  <c r="A760" i="36"/>
  <c r="B760" i="36"/>
  <c r="A761" i="36"/>
  <c r="B761" i="36"/>
  <c r="A762" i="36"/>
  <c r="B762" i="36"/>
  <c r="A763" i="36"/>
  <c r="B763" i="36"/>
  <c r="A764" i="36"/>
  <c r="B764" i="36"/>
  <c r="A765" i="36"/>
  <c r="B765" i="36"/>
  <c r="A766" i="36"/>
  <c r="B766" i="36"/>
  <c r="A767" i="36"/>
  <c r="B767" i="36"/>
  <c r="A768" i="36"/>
  <c r="B768" i="36"/>
  <c r="A769" i="36"/>
  <c r="B769" i="36"/>
  <c r="A770" i="36"/>
  <c r="B770" i="36"/>
  <c r="A771" i="36"/>
  <c r="B771" i="36"/>
  <c r="A772" i="36"/>
  <c r="B772" i="36"/>
  <c r="A773" i="36"/>
  <c r="B773" i="36"/>
  <c r="A774" i="36"/>
  <c r="B774" i="36"/>
  <c r="A775" i="36"/>
  <c r="B775" i="36"/>
  <c r="A776" i="36"/>
  <c r="B776" i="36"/>
  <c r="A777" i="36"/>
  <c r="B777" i="36"/>
  <c r="A778" i="36"/>
  <c r="B778" i="36"/>
  <c r="A779" i="36"/>
  <c r="B779" i="36"/>
  <c r="A780" i="36"/>
  <c r="B780" i="36"/>
  <c r="A781" i="36"/>
  <c r="B781" i="36"/>
  <c r="A782" i="36"/>
  <c r="B782" i="36"/>
  <c r="A783" i="36"/>
  <c r="B783" i="36"/>
  <c r="A784" i="36"/>
  <c r="B784" i="36"/>
  <c r="A785" i="36"/>
  <c r="B785" i="36"/>
  <c r="A786" i="36"/>
  <c r="B786" i="36"/>
  <c r="A787" i="36"/>
  <c r="B787" i="36"/>
  <c r="A788" i="36"/>
  <c r="B788" i="36"/>
  <c r="A789" i="36"/>
  <c r="B789" i="36"/>
  <c r="A790" i="36"/>
  <c r="B790" i="36"/>
  <c r="A791" i="36"/>
  <c r="B791" i="36"/>
  <c r="A792" i="36"/>
  <c r="B792" i="36"/>
  <c r="A793" i="36"/>
  <c r="B793" i="36"/>
  <c r="A794" i="36"/>
  <c r="B794" i="36"/>
  <c r="A795" i="36"/>
  <c r="B795" i="36"/>
  <c r="A796" i="36"/>
  <c r="B796" i="36"/>
  <c r="A797" i="36"/>
  <c r="B797" i="36"/>
  <c r="A798" i="36"/>
  <c r="B798" i="36"/>
  <c r="A799" i="36"/>
  <c r="B799" i="36"/>
  <c r="A800" i="36"/>
  <c r="B800" i="36"/>
  <c r="A801" i="36"/>
  <c r="B801" i="36"/>
  <c r="A802" i="36"/>
  <c r="B802" i="36"/>
  <c r="A803" i="36"/>
  <c r="B803" i="36"/>
  <c r="A804" i="36"/>
  <c r="B804" i="36"/>
  <c r="A805" i="36"/>
  <c r="B805" i="36"/>
  <c r="A806" i="36"/>
  <c r="B806" i="36"/>
  <c r="A807" i="36"/>
  <c r="B807" i="36"/>
  <c r="A808" i="36"/>
  <c r="B808" i="36"/>
  <c r="A809" i="36"/>
  <c r="B809" i="36"/>
  <c r="A810" i="36"/>
  <c r="B810" i="36"/>
  <c r="A811" i="36"/>
  <c r="B811" i="36"/>
  <c r="A812" i="36"/>
  <c r="B812" i="36"/>
  <c r="A813" i="36"/>
  <c r="B813" i="36"/>
  <c r="A814" i="36"/>
  <c r="B814" i="36"/>
  <c r="A815" i="36"/>
  <c r="B815" i="36"/>
  <c r="A816" i="36"/>
  <c r="B816" i="36"/>
  <c r="A817" i="36"/>
  <c r="B817" i="36"/>
  <c r="A818" i="36"/>
  <c r="B818" i="36"/>
  <c r="A819" i="36"/>
  <c r="B819" i="36"/>
  <c r="A820" i="36"/>
  <c r="B820" i="36"/>
  <c r="A821" i="36"/>
  <c r="B821" i="36"/>
  <c r="A822" i="36"/>
  <c r="B822" i="36"/>
  <c r="A823" i="36"/>
  <c r="B823" i="36"/>
  <c r="A824" i="36"/>
  <c r="B824" i="36"/>
  <c r="A825" i="36"/>
  <c r="B825" i="36"/>
  <c r="A826" i="36"/>
  <c r="B826" i="36"/>
  <c r="A827" i="36"/>
  <c r="B827" i="36"/>
  <c r="A828" i="36"/>
  <c r="B828" i="36"/>
  <c r="A829" i="36"/>
  <c r="B829" i="36"/>
  <c r="A830" i="36"/>
  <c r="B830" i="36"/>
  <c r="A831" i="36"/>
  <c r="B831" i="36"/>
  <c r="A832" i="36"/>
  <c r="B832" i="36"/>
  <c r="A833" i="36"/>
  <c r="B833" i="36"/>
  <c r="A834" i="36"/>
  <c r="B834" i="36"/>
  <c r="A835" i="36"/>
  <c r="B835" i="36"/>
  <c r="A836" i="36"/>
  <c r="B836" i="36"/>
  <c r="A837" i="36"/>
  <c r="B837" i="36"/>
  <c r="A838" i="36"/>
  <c r="B838" i="36"/>
  <c r="A839" i="36"/>
  <c r="B839" i="36"/>
  <c r="A1011" i="37"/>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39" i="10" l="1"/>
  <c r="C39" i="10"/>
  <c r="D39" i="10"/>
  <c r="E39" i="10"/>
  <c r="B40" i="10"/>
  <c r="C40" i="10"/>
  <c r="D40" i="10"/>
  <c r="E40" i="10"/>
  <c r="B41" i="10"/>
  <c r="C41" i="10"/>
  <c r="D41" i="10"/>
  <c r="E41" i="10"/>
  <c r="B42" i="10"/>
  <c r="C42" i="10"/>
  <c r="D42" i="10"/>
  <c r="E42" i="10"/>
  <c r="C38" i="10"/>
  <c r="D38" i="10"/>
  <c r="E38" i="10"/>
  <c r="B38" i="10"/>
  <c r="A7" i="10" l="1"/>
  <c r="A8" i="10"/>
  <c r="A9" i="10"/>
  <c r="A10" i="10"/>
  <c r="A11" i="10"/>
  <c r="A12" i="10"/>
  <c r="A13" i="10"/>
  <c r="A14" i="10"/>
  <c r="A7" i="22" s="1"/>
  <c r="A15" i="10"/>
  <c r="A8" i="22" s="1"/>
  <c r="A16" i="10"/>
  <c r="A9" i="22" s="1"/>
  <c r="A17" i="10"/>
  <c r="A10" i="22" s="1"/>
  <c r="A18" i="10"/>
  <c r="A11" i="22" s="1"/>
  <c r="A19" i="10"/>
  <c r="A12" i="22" s="1"/>
  <c r="A20" i="10"/>
  <c r="A13" i="22" s="1"/>
  <c r="A21" i="10"/>
  <c r="A14" i="22" s="1"/>
  <c r="A22" i="10"/>
  <c r="A15" i="22" s="1"/>
  <c r="A23" i="10"/>
  <c r="A16" i="22" s="1"/>
  <c r="A24" i="10"/>
  <c r="A17" i="22" s="1"/>
  <c r="A25" i="10"/>
  <c r="A18" i="22" s="1"/>
  <c r="A26" i="10"/>
  <c r="A19" i="22" s="1"/>
  <c r="A27" i="10"/>
  <c r="A20" i="22" s="1"/>
  <c r="A28" i="10"/>
  <c r="A21" i="22" s="1"/>
  <c r="A29" i="10"/>
  <c r="A22" i="22" s="1"/>
  <c r="A30" i="10"/>
  <c r="A23" i="22" s="1"/>
  <c r="A31" i="10"/>
  <c r="A24" i="22" s="1"/>
  <c r="A32" i="10"/>
  <c r="A25" i="22" s="1"/>
  <c r="A33" i="10"/>
  <c r="A26" i="22" s="1"/>
  <c r="A34" i="10"/>
  <c r="A35" i="10"/>
  <c r="A36" i="10"/>
  <c r="A37" i="10"/>
  <c r="A38" i="10"/>
  <c r="A39" i="10"/>
  <c r="A40" i="10"/>
  <c r="A41" i="10"/>
  <c r="A42"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J35" i="33"/>
  <c r="J45" i="4" s="1"/>
  <c r="T30" i="33"/>
  <c r="T40" i="4" s="1"/>
  <c r="O30" i="33"/>
  <c r="O40" i="4" s="1"/>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K35" i="33" s="1"/>
  <c r="K45" i="4" s="1"/>
  <c r="L23" i="33"/>
  <c r="J23" i="33"/>
  <c r="I23" i="33"/>
  <c r="H23" i="33"/>
  <c r="G23" i="33"/>
  <c r="F23" i="33"/>
  <c r="E23" i="33"/>
  <c r="D23" i="33"/>
  <c r="C23" i="33"/>
  <c r="B23" i="33"/>
  <c r="A22" i="33"/>
  <c r="H22" i="33"/>
  <c r="G45" i="33"/>
  <c r="F27" i="33"/>
  <c r="F52" i="33" s="1"/>
  <c r="E45" i="33"/>
  <c r="D22" i="33"/>
  <c r="C45" i="33"/>
  <c r="B45" i="33"/>
  <c r="P28" i="33" l="1"/>
  <c r="T28" i="33"/>
  <c r="Q29" i="33"/>
  <c r="Q39" i="4" s="1"/>
  <c r="U29" i="33"/>
  <c r="U39" i="4" s="1"/>
  <c r="Q30" i="33"/>
  <c r="Q40" i="4" s="1"/>
  <c r="U30" i="33"/>
  <c r="U40" i="4" s="1"/>
  <c r="R31" i="33"/>
  <c r="R41" i="4" s="1"/>
  <c r="V31" i="33"/>
  <c r="V41" i="4" s="1"/>
  <c r="S32" i="33"/>
  <c r="S42" i="4" s="1"/>
  <c r="P33" i="33"/>
  <c r="P43" i="4" s="1"/>
  <c r="T33" i="33"/>
  <c r="T43" i="4" s="1"/>
  <c r="Q34" i="33"/>
  <c r="Q44" i="4" s="1"/>
  <c r="U34" i="33"/>
  <c r="U44" i="4" s="1"/>
  <c r="Q35" i="33"/>
  <c r="Q45" i="4" s="1"/>
  <c r="U35" i="33"/>
  <c r="U45" i="4" s="1"/>
  <c r="Q28" i="33"/>
  <c r="U28" i="33"/>
  <c r="R29" i="33"/>
  <c r="R39" i="4" s="1"/>
  <c r="V29" i="33"/>
  <c r="V39" i="4" s="1"/>
  <c r="R30" i="33"/>
  <c r="R40" i="4" s="1"/>
  <c r="V30" i="33"/>
  <c r="V40" i="4" s="1"/>
  <c r="S31" i="33"/>
  <c r="S41" i="4" s="1"/>
  <c r="P32" i="33"/>
  <c r="P42" i="4" s="1"/>
  <c r="T32" i="33"/>
  <c r="T42" i="4" s="1"/>
  <c r="Q33" i="33"/>
  <c r="Q43" i="4" s="1"/>
  <c r="U33" i="33"/>
  <c r="U43" i="4" s="1"/>
  <c r="R34" i="33"/>
  <c r="R44" i="4" s="1"/>
  <c r="V34" i="33"/>
  <c r="V44" i="4" s="1"/>
  <c r="R35" i="33"/>
  <c r="R45" i="4" s="1"/>
  <c r="V35" i="33"/>
  <c r="V45" i="4" s="1"/>
  <c r="R28" i="33"/>
  <c r="V28" i="33"/>
  <c r="S29" i="33"/>
  <c r="S39" i="4" s="1"/>
  <c r="S30" i="33"/>
  <c r="S40" i="4" s="1"/>
  <c r="P31" i="33"/>
  <c r="P41" i="4" s="1"/>
  <c r="T31" i="33"/>
  <c r="T41" i="4" s="1"/>
  <c r="Q32" i="33"/>
  <c r="Q42" i="4" s="1"/>
  <c r="U32" i="33"/>
  <c r="U42" i="4" s="1"/>
  <c r="R33" i="33"/>
  <c r="R43" i="4" s="1"/>
  <c r="V33" i="33"/>
  <c r="V43" i="4" s="1"/>
  <c r="S34" i="33"/>
  <c r="S44" i="4" s="1"/>
  <c r="S35" i="33"/>
  <c r="S45" i="4" s="1"/>
  <c r="S28" i="33"/>
  <c r="P29" i="33"/>
  <c r="P39" i="4" s="1"/>
  <c r="T29" i="33"/>
  <c r="T39" i="4" s="1"/>
  <c r="P30" i="33"/>
  <c r="P40" i="4" s="1"/>
  <c r="Q31" i="33"/>
  <c r="Q41" i="4" s="1"/>
  <c r="U31" i="33"/>
  <c r="U41" i="4" s="1"/>
  <c r="R32" i="33"/>
  <c r="R42" i="4" s="1"/>
  <c r="V32" i="33"/>
  <c r="V42" i="4" s="1"/>
  <c r="S33" i="33"/>
  <c r="S43" i="4" s="1"/>
  <c r="P34" i="33"/>
  <c r="P44" i="4" s="1"/>
  <c r="T34" i="33"/>
  <c r="T44" i="4" s="1"/>
  <c r="P35" i="33"/>
  <c r="P45" i="4" s="1"/>
  <c r="T35" i="33"/>
  <c r="T45" i="4" s="1"/>
  <c r="O36" i="33"/>
  <c r="O46" i="4" s="1"/>
  <c r="O37" i="33"/>
  <c r="O47" i="4" s="1"/>
  <c r="O38" i="33"/>
  <c r="O48" i="4" s="1"/>
  <c r="O39" i="33"/>
  <c r="O49" i="4" s="1"/>
  <c r="O40" i="33"/>
  <c r="O50" i="4" s="1"/>
  <c r="O41" i="33"/>
  <c r="O51" i="4" s="1"/>
  <c r="O42" i="33"/>
  <c r="O52" i="4" s="1"/>
  <c r="O43" i="33"/>
  <c r="O53" i="4" s="1"/>
  <c r="H28" i="33"/>
  <c r="L29" i="33"/>
  <c r="L39" i="4" s="1"/>
  <c r="D30" i="33"/>
  <c r="D40" i="4" s="1"/>
  <c r="H35" i="33"/>
  <c r="H45" i="4" s="1"/>
  <c r="E28" i="33"/>
  <c r="I28" i="33"/>
  <c r="M28" i="33"/>
  <c r="E29" i="33"/>
  <c r="E39" i="4" s="1"/>
  <c r="I29" i="33"/>
  <c r="I39" i="4" s="1"/>
  <c r="M29" i="33"/>
  <c r="M39" i="4" s="1"/>
  <c r="E30" i="33"/>
  <c r="E40" i="4" s="1"/>
  <c r="I30" i="33"/>
  <c r="I40" i="4" s="1"/>
  <c r="M30" i="33"/>
  <c r="M40" i="4" s="1"/>
  <c r="E31" i="33"/>
  <c r="E41" i="4" s="1"/>
  <c r="I31" i="33"/>
  <c r="I41" i="4" s="1"/>
  <c r="M31" i="33"/>
  <c r="M41" i="4" s="1"/>
  <c r="E32" i="33"/>
  <c r="E42" i="4" s="1"/>
  <c r="I32" i="33"/>
  <c r="I42" i="4" s="1"/>
  <c r="M32" i="33"/>
  <c r="M42" i="4" s="1"/>
  <c r="E33" i="33"/>
  <c r="E43" i="4" s="1"/>
  <c r="I33" i="33"/>
  <c r="I43" i="4" s="1"/>
  <c r="M33" i="33"/>
  <c r="M43" i="4" s="1"/>
  <c r="E34" i="33"/>
  <c r="E44" i="4" s="1"/>
  <c r="I34" i="33"/>
  <c r="I44" i="4" s="1"/>
  <c r="M34" i="33"/>
  <c r="M44" i="4" s="1"/>
  <c r="E35" i="33"/>
  <c r="E45" i="4" s="1"/>
  <c r="I35" i="33"/>
  <c r="I45" i="4" s="1"/>
  <c r="M35" i="33"/>
  <c r="M45" i="4" s="1"/>
  <c r="D28" i="33"/>
  <c r="H29" i="33"/>
  <c r="H39" i="4" s="1"/>
  <c r="L30" i="33"/>
  <c r="L40" i="4" s="1"/>
  <c r="D31" i="33"/>
  <c r="D41" i="4" s="1"/>
  <c r="L31" i="33"/>
  <c r="L41" i="4" s="1"/>
  <c r="D32" i="33"/>
  <c r="D42" i="4" s="1"/>
  <c r="L32" i="33"/>
  <c r="L42" i="4" s="1"/>
  <c r="H33" i="33"/>
  <c r="H43" i="4" s="1"/>
  <c r="D34" i="33"/>
  <c r="D44" i="4" s="1"/>
  <c r="H34" i="33"/>
  <c r="H44" i="4" s="1"/>
  <c r="L34" i="33"/>
  <c r="L44" i="4" s="1"/>
  <c r="D35" i="33"/>
  <c r="D45" i="4" s="1"/>
  <c r="L35" i="33"/>
  <c r="L45" i="4" s="1"/>
  <c r="B28" i="33"/>
  <c r="F28" i="33"/>
  <c r="J28" i="33"/>
  <c r="O28" i="33"/>
  <c r="B29" i="33"/>
  <c r="B39" i="4" s="1"/>
  <c r="F29" i="33"/>
  <c r="F39" i="4" s="1"/>
  <c r="J29" i="33"/>
  <c r="J39" i="4" s="1"/>
  <c r="O29" i="33"/>
  <c r="O39" i="4" s="1"/>
  <c r="B30" i="33"/>
  <c r="B40" i="4" s="1"/>
  <c r="F30" i="33"/>
  <c r="F40" i="4" s="1"/>
  <c r="J30" i="33"/>
  <c r="J40" i="4" s="1"/>
  <c r="B31" i="33"/>
  <c r="B41" i="4" s="1"/>
  <c r="F31" i="33"/>
  <c r="F41" i="4" s="1"/>
  <c r="J31" i="33"/>
  <c r="J41" i="4" s="1"/>
  <c r="O31" i="33"/>
  <c r="O41" i="4" s="1"/>
  <c r="B32" i="33"/>
  <c r="B42" i="4" s="1"/>
  <c r="F32" i="33"/>
  <c r="F42" i="4" s="1"/>
  <c r="J32" i="33"/>
  <c r="J42" i="4" s="1"/>
  <c r="O32" i="33"/>
  <c r="O42" i="4" s="1"/>
  <c r="B33" i="33"/>
  <c r="B43" i="4" s="1"/>
  <c r="F33" i="33"/>
  <c r="F43" i="4" s="1"/>
  <c r="J33" i="33"/>
  <c r="J43" i="4" s="1"/>
  <c r="O33" i="33"/>
  <c r="O43" i="4" s="1"/>
  <c r="B34" i="33"/>
  <c r="B44" i="4" s="1"/>
  <c r="F34" i="33"/>
  <c r="F44" i="4" s="1"/>
  <c r="J34" i="33"/>
  <c r="J44" i="4" s="1"/>
  <c r="O34" i="33"/>
  <c r="O44" i="4" s="1"/>
  <c r="B35" i="33"/>
  <c r="B45" i="4" s="1"/>
  <c r="F35" i="33"/>
  <c r="F45" i="4" s="1"/>
  <c r="O35" i="33"/>
  <c r="O45" i="4" s="1"/>
  <c r="L28" i="33"/>
  <c r="D29" i="33"/>
  <c r="D39" i="4" s="1"/>
  <c r="H30" i="33"/>
  <c r="H40" i="4" s="1"/>
  <c r="H31" i="33"/>
  <c r="H41" i="4" s="1"/>
  <c r="H32" i="33"/>
  <c r="H42" i="4" s="1"/>
  <c r="D33" i="33"/>
  <c r="D43" i="4" s="1"/>
  <c r="L33" i="33"/>
  <c r="L43" i="4" s="1"/>
  <c r="C28" i="33"/>
  <c r="G28" i="33"/>
  <c r="K28" i="33"/>
  <c r="C29" i="33"/>
  <c r="C39" i="4" s="1"/>
  <c r="G29" i="33"/>
  <c r="G39" i="4" s="1"/>
  <c r="K29" i="33"/>
  <c r="K39" i="4" s="1"/>
  <c r="C30" i="33"/>
  <c r="C40" i="4" s="1"/>
  <c r="G30" i="33"/>
  <c r="G40" i="4" s="1"/>
  <c r="K30" i="33"/>
  <c r="K40" i="4" s="1"/>
  <c r="C31" i="33"/>
  <c r="C41" i="4" s="1"/>
  <c r="G31" i="33"/>
  <c r="G41" i="4" s="1"/>
  <c r="K31" i="33"/>
  <c r="K41" i="4" s="1"/>
  <c r="C32" i="33"/>
  <c r="C42" i="4" s="1"/>
  <c r="G32" i="33"/>
  <c r="G42" i="4" s="1"/>
  <c r="K32" i="33"/>
  <c r="K42" i="4" s="1"/>
  <c r="C33" i="33"/>
  <c r="C43" i="4" s="1"/>
  <c r="G33" i="33"/>
  <c r="G43" i="4" s="1"/>
  <c r="K33" i="33"/>
  <c r="K43" i="4" s="1"/>
  <c r="C34" i="33"/>
  <c r="C44" i="4" s="1"/>
  <c r="G34" i="33"/>
  <c r="G44" i="4" s="1"/>
  <c r="K34" i="33"/>
  <c r="K44" i="4" s="1"/>
  <c r="C35" i="33"/>
  <c r="C45" i="4" s="1"/>
  <c r="G35" i="33"/>
  <c r="G45" i="4" s="1"/>
  <c r="U38" i="4"/>
  <c r="R38" i="4"/>
  <c r="V38" i="4"/>
  <c r="B22" i="33"/>
  <c r="E22" i="33"/>
  <c r="I45" i="33"/>
  <c r="I52" i="33"/>
  <c r="I27" i="33"/>
  <c r="P46" i="33"/>
  <c r="P53" i="33" s="1"/>
  <c r="P38" i="4"/>
  <c r="P47" i="33"/>
  <c r="P48" i="33" s="1"/>
  <c r="P54" i="33" s="1"/>
  <c r="T38" i="4"/>
  <c r="T46" i="33"/>
  <c r="T53" i="33" s="1"/>
  <c r="T47" i="33"/>
  <c r="T48" i="33" s="1"/>
  <c r="T54" i="33" s="1"/>
  <c r="B27" i="33"/>
  <c r="B52" i="33" s="1"/>
  <c r="Q47" i="33"/>
  <c r="Q48" i="33" s="1"/>
  <c r="Q54" i="33" s="1"/>
  <c r="Q38" i="4"/>
  <c r="D27" i="33"/>
  <c r="D52" i="33" s="1"/>
  <c r="I22" i="33"/>
  <c r="E27" i="33"/>
  <c r="E52" i="33" s="1"/>
  <c r="F38" i="4"/>
  <c r="O38" i="4"/>
  <c r="S38" i="4"/>
  <c r="S46" i="33"/>
  <c r="S53" i="33" s="1"/>
  <c r="S47" i="33"/>
  <c r="S48" i="33" s="1"/>
  <c r="S54" i="33" s="1"/>
  <c r="D45" i="33"/>
  <c r="U46" i="33"/>
  <c r="U53" i="33" s="1"/>
  <c r="U47" i="33"/>
  <c r="U48" i="33" s="1"/>
  <c r="U54" i="33" s="1"/>
  <c r="Q46" i="33"/>
  <c r="Q53" i="33" s="1"/>
  <c r="F22" i="33"/>
  <c r="B47" i="33"/>
  <c r="B48" i="33" s="1"/>
  <c r="B54" i="33" s="1"/>
  <c r="R47" i="33"/>
  <c r="R48" i="33" s="1"/>
  <c r="R54" i="33" s="1"/>
  <c r="R46" i="33"/>
  <c r="R53" i="33" s="1"/>
  <c r="V47" i="33"/>
  <c r="V48" i="33" s="1"/>
  <c r="V54" i="33" s="1"/>
  <c r="V46" i="33"/>
  <c r="V53" i="33" s="1"/>
  <c r="F45" i="33"/>
  <c r="G22" i="33"/>
  <c r="G27" i="33"/>
  <c r="G52" i="33" s="1"/>
  <c r="C22" i="33"/>
  <c r="C27" i="33"/>
  <c r="C52" i="33" s="1"/>
  <c r="H27" i="33"/>
  <c r="H52" i="33" s="1"/>
  <c r="H45" i="33"/>
  <c r="I56" i="33"/>
  <c r="F56" i="33"/>
  <c r="S56" i="33"/>
  <c r="Q56" i="33"/>
  <c r="D56" i="33"/>
  <c r="U56" i="33"/>
  <c r="E56" i="33"/>
  <c r="B56" i="33"/>
  <c r="C56" i="33"/>
  <c r="J56" i="33"/>
  <c r="V56" i="33"/>
  <c r="K56" i="33"/>
  <c r="R56" i="33"/>
  <c r="P56" i="33"/>
  <c r="T56" i="33"/>
  <c r="O56" i="33"/>
  <c r="L56" i="33"/>
  <c r="H56" i="33"/>
  <c r="M56" i="33"/>
  <c r="G56" i="33"/>
  <c r="K57" i="33" l="1"/>
  <c r="D57" i="33"/>
  <c r="E57" i="33"/>
  <c r="H57" i="33"/>
  <c r="V57" i="33"/>
  <c r="Q57" i="33"/>
  <c r="G57" i="33"/>
  <c r="L57" i="33"/>
  <c r="J57" i="33"/>
  <c r="S57" i="33"/>
  <c r="R57" i="33"/>
  <c r="C57" i="33"/>
  <c r="F57" i="33"/>
  <c r="M57" i="33"/>
  <c r="T57" i="33"/>
  <c r="B57" i="33"/>
  <c r="F59" i="33" s="1"/>
  <c r="F60" i="33" s="1"/>
  <c r="F61" i="33" s="1"/>
  <c r="I57" i="33"/>
  <c r="U57" i="33"/>
  <c r="P57" i="33"/>
  <c r="D38" i="4"/>
  <c r="E38" i="4"/>
  <c r="H38" i="4"/>
  <c r="G38" i="4"/>
  <c r="L38" i="4"/>
  <c r="J38" i="4"/>
  <c r="C38" i="4"/>
  <c r="M38" i="4"/>
  <c r="B38" i="4"/>
  <c r="I38" i="4"/>
  <c r="F47" i="33"/>
  <c r="F48" i="33" s="1"/>
  <c r="F54" i="33" s="1"/>
  <c r="I47" i="33"/>
  <c r="D46" i="33"/>
  <c r="D53" i="33" s="1"/>
  <c r="E46" i="33"/>
  <c r="E53" i="33" s="1"/>
  <c r="J46" i="33"/>
  <c r="J53" i="33" s="1"/>
  <c r="G47" i="33"/>
  <c r="G48" i="33" s="1"/>
  <c r="G54" i="33" s="1"/>
  <c r="M46" i="33"/>
  <c r="M53" i="33" s="1"/>
  <c r="D47" i="33"/>
  <c r="D48" i="33" s="1"/>
  <c r="D54" i="33" s="1"/>
  <c r="K47" i="33"/>
  <c r="I48" i="33"/>
  <c r="I54" i="33" s="1"/>
  <c r="O46" i="33"/>
  <c r="O53" i="33" s="1"/>
  <c r="J47" i="33"/>
  <c r="J48" i="33" s="1"/>
  <c r="J54" i="33" s="1"/>
  <c r="K48" i="33"/>
  <c r="K54" i="33" s="1"/>
  <c r="O47" i="33"/>
  <c r="O48" i="33" s="1"/>
  <c r="O54" i="33" s="1"/>
  <c r="O57" i="33"/>
  <c r="V59" i="33" s="1"/>
  <c r="V60" i="33" s="1"/>
  <c r="V61" i="33" s="1"/>
  <c r="G46" i="33"/>
  <c r="G53" i="33" s="1"/>
  <c r="L46" i="33"/>
  <c r="L53" i="33" s="1"/>
  <c r="M47" i="33"/>
  <c r="M48" i="33" s="1"/>
  <c r="M54" i="33" s="1"/>
  <c r="E47" i="33"/>
  <c r="E48" i="33" s="1"/>
  <c r="E54" i="33" s="1"/>
  <c r="L47" i="33"/>
  <c r="L48" i="33" s="1"/>
  <c r="L54" i="33" s="1"/>
  <c r="H47" i="33"/>
  <c r="H48" i="33" s="1"/>
  <c r="H54" i="33" s="1"/>
  <c r="K38" i="4"/>
  <c r="C46" i="33"/>
  <c r="C53" i="33" s="1"/>
  <c r="I46" i="33"/>
  <c r="I53" i="33" s="1"/>
  <c r="B46" i="33"/>
  <c r="B53" i="33" s="1"/>
  <c r="H46" i="33"/>
  <c r="H53" i="33" s="1"/>
  <c r="C47" i="33"/>
  <c r="C48" i="33" s="1"/>
  <c r="C54" i="33" s="1"/>
  <c r="F46" i="33"/>
  <c r="F53" i="33" s="1"/>
  <c r="K46" i="33"/>
  <c r="K53" i="33" s="1"/>
  <c r="I59" i="33"/>
  <c r="I60" i="33" s="1"/>
  <c r="I61" i="33" s="1"/>
  <c r="C59" i="33"/>
  <c r="C60" i="33" s="1"/>
  <c r="C61" i="33" s="1"/>
  <c r="J59" i="33" l="1"/>
  <c r="J60" i="33" s="1"/>
  <c r="J61" i="33" s="1"/>
  <c r="E59" i="33"/>
  <c r="E60" i="33" s="1"/>
  <c r="E61" i="33" s="1"/>
  <c r="G59" i="33"/>
  <c r="G60" i="33" s="1"/>
  <c r="G61" i="33" s="1"/>
  <c r="H59" i="33"/>
  <c r="H60" i="33" s="1"/>
  <c r="H61" i="33" s="1"/>
  <c r="Q59" i="33"/>
  <c r="Q60" i="33" s="1"/>
  <c r="Q61" i="33" s="1"/>
  <c r="L59" i="33"/>
  <c r="L60" i="33" s="1"/>
  <c r="L61" i="33" s="1"/>
  <c r="D59" i="33"/>
  <c r="D60" i="33" s="1"/>
  <c r="D61" i="33" s="1"/>
  <c r="O59" i="33"/>
  <c r="O60" i="33" s="1"/>
  <c r="O61" i="33" s="1"/>
  <c r="K59" i="33"/>
  <c r="K60" i="33" s="1"/>
  <c r="K61" i="33" s="1"/>
  <c r="M59" i="33"/>
  <c r="M60" i="33" s="1"/>
  <c r="M61" i="33" s="1"/>
  <c r="P59" i="33"/>
  <c r="P60" i="33" s="1"/>
  <c r="P61" i="33" s="1"/>
  <c r="M55" i="33"/>
  <c r="U59" i="33"/>
  <c r="U60" i="33" s="1"/>
  <c r="U61" i="33" s="1"/>
  <c r="R59" i="33"/>
  <c r="B64" i="33"/>
  <c r="B65" i="33"/>
  <c r="T59" i="33"/>
  <c r="T60" i="33" s="1"/>
  <c r="T61" i="33" s="1"/>
  <c r="S59" i="33"/>
  <c r="S60" i="33" s="1"/>
  <c r="S61" i="33" s="1"/>
  <c r="D55" i="33"/>
  <c r="B55" i="33"/>
  <c r="K55" i="33"/>
  <c r="P55" i="33"/>
  <c r="L55" i="33"/>
  <c r="T55" i="33"/>
  <c r="G55" i="33"/>
  <c r="S55" i="33"/>
  <c r="F55" i="33"/>
  <c r="O55" i="33"/>
  <c r="C55" i="33"/>
  <c r="J55" i="33"/>
  <c r="R55" i="33"/>
  <c r="Q55" i="33"/>
  <c r="H55" i="33"/>
  <c r="I55" i="33"/>
  <c r="E55" i="33"/>
  <c r="V55" i="33"/>
  <c r="U55" i="33"/>
  <c r="M4" i="33" l="1"/>
  <c r="R60" i="33"/>
  <c r="R61" i="33" l="1"/>
  <c r="L4" i="33"/>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S36" i="4" s="1"/>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M32" i="1"/>
  <c r="M10" i="4" s="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V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J42" i="23"/>
  <c r="J36" i="4" s="1"/>
  <c r="J38" i="23"/>
  <c r="J32" i="4" s="1"/>
  <c r="J41" i="23"/>
  <c r="J35" i="4" s="1"/>
  <c r="J37" i="23"/>
  <c r="J31" i="4" s="1"/>
  <c r="J43" i="23"/>
  <c r="J39" i="23"/>
  <c r="J33"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31" i="1"/>
  <c r="Q9" i="4" s="1"/>
  <c r="Q34" i="1"/>
  <c r="Q12" i="4" s="1"/>
  <c r="P28" i="1"/>
  <c r="P30" i="1"/>
  <c r="P8" i="4" s="1"/>
  <c r="P33" i="1"/>
  <c r="P11" i="4" s="1"/>
  <c r="P34" i="1"/>
  <c r="P12" i="4" s="1"/>
  <c r="Q28" i="1"/>
  <c r="Q33" i="1"/>
  <c r="Q11" i="4" s="1"/>
  <c r="Q35" i="1"/>
  <c r="Q13"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35" i="1" l="1"/>
  <c r="T13" i="4" s="1"/>
  <c r="T34" i="1"/>
  <c r="T12" i="4" s="1"/>
  <c r="T33" i="1"/>
  <c r="T11" i="4" s="1"/>
  <c r="T32" i="1"/>
  <c r="T10" i="4" s="1"/>
  <c r="T31" i="1"/>
  <c r="T9" i="4" s="1"/>
  <c r="T30" i="1"/>
  <c r="T8" i="4" s="1"/>
  <c r="T29" i="1"/>
  <c r="T7" i="4" s="1"/>
  <c r="T28" i="1"/>
  <c r="T35" i="23"/>
  <c r="T29" i="4" s="1"/>
  <c r="P35" i="23"/>
  <c r="P29" i="4" s="1"/>
  <c r="S34" i="23"/>
  <c r="S28" i="4" s="1"/>
  <c r="V33" i="23"/>
  <c r="V27" i="4" s="1"/>
  <c r="R33" i="23"/>
  <c r="R27" i="4" s="1"/>
  <c r="U32" i="23"/>
  <c r="U26" i="4" s="1"/>
  <c r="Q32" i="23"/>
  <c r="Q26" i="4" s="1"/>
  <c r="T31" i="23"/>
  <c r="T25" i="4" s="1"/>
  <c r="P31" i="23"/>
  <c r="P25" i="4" s="1"/>
  <c r="S30" i="23"/>
  <c r="S24" i="4" s="1"/>
  <c r="V29" i="23"/>
  <c r="V23" i="4" s="1"/>
  <c r="R29" i="23"/>
  <c r="R23" i="4" s="1"/>
  <c r="U28" i="23"/>
  <c r="Q28" i="23"/>
  <c r="S35" i="1"/>
  <c r="S13" i="4" s="1"/>
  <c r="S34" i="1"/>
  <c r="S12" i="4" s="1"/>
  <c r="S33" i="1"/>
  <c r="S11" i="4" s="1"/>
  <c r="S32" i="1"/>
  <c r="S10" i="4" s="1"/>
  <c r="S31" i="1"/>
  <c r="S9" i="4" s="1"/>
  <c r="S30" i="1"/>
  <c r="S8" i="4" s="1"/>
  <c r="S29" i="1"/>
  <c r="S7" i="4" s="1"/>
  <c r="S28" i="1"/>
  <c r="S35" i="23"/>
  <c r="S29" i="4" s="1"/>
  <c r="V34" i="23"/>
  <c r="V28" i="4" s="1"/>
  <c r="R34" i="23"/>
  <c r="R28" i="4" s="1"/>
  <c r="U33" i="23"/>
  <c r="U27" i="4" s="1"/>
  <c r="Q33" i="23"/>
  <c r="Q27" i="4" s="1"/>
  <c r="T32" i="23"/>
  <c r="T26" i="4" s="1"/>
  <c r="P32" i="23"/>
  <c r="P26" i="4" s="1"/>
  <c r="S31" i="23"/>
  <c r="S25" i="4" s="1"/>
  <c r="V30" i="23"/>
  <c r="V24" i="4" s="1"/>
  <c r="R30" i="23"/>
  <c r="R24" i="4" s="1"/>
  <c r="U29" i="23"/>
  <c r="U23" i="4" s="1"/>
  <c r="Q29" i="23"/>
  <c r="Q23" i="4" s="1"/>
  <c r="T28" i="23"/>
  <c r="P28" i="23"/>
  <c r="R33" i="1"/>
  <c r="R11" i="4" s="1"/>
  <c r="V35" i="1"/>
  <c r="V13" i="4" s="1"/>
  <c r="V34" i="1"/>
  <c r="V12" i="4" s="1"/>
  <c r="V33" i="1"/>
  <c r="V11" i="4" s="1"/>
  <c r="V32" i="1"/>
  <c r="V10" i="4" s="1"/>
  <c r="V31" i="1"/>
  <c r="V9" i="4" s="1"/>
  <c r="V30" i="1"/>
  <c r="V8" i="4" s="1"/>
  <c r="V29" i="1"/>
  <c r="V7" i="4" s="1"/>
  <c r="V28" i="1"/>
  <c r="V35" i="23"/>
  <c r="V29" i="4" s="1"/>
  <c r="R35" i="23"/>
  <c r="R29" i="4" s="1"/>
  <c r="U34" i="23"/>
  <c r="U28" i="4" s="1"/>
  <c r="Q34" i="23"/>
  <c r="Q28" i="4" s="1"/>
  <c r="T33" i="23"/>
  <c r="P33" i="23"/>
  <c r="P27" i="4" s="1"/>
  <c r="S32" i="23"/>
  <c r="S26" i="4" s="1"/>
  <c r="V31" i="23"/>
  <c r="V25" i="4" s="1"/>
  <c r="R31" i="23"/>
  <c r="R25" i="4" s="1"/>
  <c r="U30" i="23"/>
  <c r="U24" i="4" s="1"/>
  <c r="Q30" i="23"/>
  <c r="Q24" i="4" s="1"/>
  <c r="T29" i="23"/>
  <c r="T23" i="4" s="1"/>
  <c r="P29" i="23"/>
  <c r="S28" i="23"/>
  <c r="U35" i="1"/>
  <c r="U13" i="4" s="1"/>
  <c r="U34" i="1"/>
  <c r="U12" i="4" s="1"/>
  <c r="U33" i="1"/>
  <c r="U11" i="4" s="1"/>
  <c r="U32" i="1"/>
  <c r="U10" i="4" s="1"/>
  <c r="U31" i="1"/>
  <c r="U9" i="4" s="1"/>
  <c r="U30" i="1"/>
  <c r="U8" i="4" s="1"/>
  <c r="U29" i="1"/>
  <c r="U7" i="4" s="1"/>
  <c r="U28" i="1"/>
  <c r="U35" i="23"/>
  <c r="U29" i="4" s="1"/>
  <c r="Q35" i="23"/>
  <c r="Q29" i="4" s="1"/>
  <c r="T34" i="23"/>
  <c r="T28" i="4" s="1"/>
  <c r="P34" i="23"/>
  <c r="P28" i="4" s="1"/>
  <c r="S33" i="23"/>
  <c r="S27" i="4" s="1"/>
  <c r="V32" i="23"/>
  <c r="V26" i="4" s="1"/>
  <c r="R32" i="23"/>
  <c r="R26" i="4" s="1"/>
  <c r="U31" i="23"/>
  <c r="U25" i="4" s="1"/>
  <c r="Q31" i="23"/>
  <c r="Q25" i="4" s="1"/>
  <c r="T30" i="23"/>
  <c r="T24" i="4" s="1"/>
  <c r="P30" i="23"/>
  <c r="P24" i="4" s="1"/>
  <c r="S29" i="23"/>
  <c r="S23" i="4" s="1"/>
  <c r="V28" i="23"/>
  <c r="R28" i="23"/>
  <c r="O43" i="23"/>
  <c r="O42" i="23"/>
  <c r="O36" i="4" s="1"/>
  <c r="O36" i="23"/>
  <c r="O30" i="4" s="1"/>
  <c r="O39" i="23"/>
  <c r="O33" i="4" s="1"/>
  <c r="O41" i="23"/>
  <c r="O35" i="4" s="1"/>
  <c r="O40" i="23"/>
  <c r="O34" i="4" s="1"/>
  <c r="E28" i="23"/>
  <c r="E22" i="4" s="1"/>
  <c r="G28" i="23"/>
  <c r="G22" i="4" s="1"/>
  <c r="C30" i="23"/>
  <c r="C24" i="4" s="1"/>
  <c r="J33" i="23"/>
  <c r="J27" i="4" s="1"/>
  <c r="E32" i="23"/>
  <c r="E26" i="4" s="1"/>
  <c r="D32" i="23"/>
  <c r="D26" i="4" s="1"/>
  <c r="C34" i="23"/>
  <c r="C28" i="4" s="1"/>
  <c r="K32" i="23"/>
  <c r="K26" i="4" s="1"/>
  <c r="L29" i="23"/>
  <c r="L23" i="4" s="1"/>
  <c r="O33" i="23"/>
  <c r="O27" i="4" s="1"/>
  <c r="H31" i="23"/>
  <c r="H25" i="4" s="1"/>
  <c r="D35" i="23"/>
  <c r="D29" i="4" s="1"/>
  <c r="G33" i="23"/>
  <c r="G27" i="4" s="1"/>
  <c r="I28" i="23"/>
  <c r="G30" i="23"/>
  <c r="G24" i="4" s="1"/>
  <c r="I32" i="23"/>
  <c r="I26" i="4" s="1"/>
  <c r="G34" i="23"/>
  <c r="G28" i="4" s="1"/>
  <c r="H35" i="23"/>
  <c r="H29" i="4" s="1"/>
  <c r="C29" i="23"/>
  <c r="C23" i="4" s="1"/>
  <c r="I31" i="23"/>
  <c r="I25" i="4" s="1"/>
  <c r="J34" i="23"/>
  <c r="J28" i="4" s="1"/>
  <c r="J28" i="23"/>
  <c r="J22" i="4" s="1"/>
  <c r="D30" i="23"/>
  <c r="D24" i="4" s="1"/>
  <c r="F32" i="23"/>
  <c r="F26" i="4" s="1"/>
  <c r="D34" i="23"/>
  <c r="D28" i="4" s="1"/>
  <c r="D31" i="23"/>
  <c r="D25" i="4" s="1"/>
  <c r="M35" i="23"/>
  <c r="M29" i="4" s="1"/>
  <c r="L34" i="23"/>
  <c r="L28" i="4" s="1"/>
  <c r="K33" i="23"/>
  <c r="K27" i="4" s="1"/>
  <c r="M31" i="23"/>
  <c r="M25" i="4" s="1"/>
  <c r="L30" i="23"/>
  <c r="L24" i="4" s="1"/>
  <c r="K29" i="23"/>
  <c r="K23" i="4" s="1"/>
  <c r="O29" i="23"/>
  <c r="O23" i="4" s="1"/>
  <c r="I34" i="23"/>
  <c r="I28" i="4" s="1"/>
  <c r="E31" i="23"/>
  <c r="E25" i="4" s="1"/>
  <c r="I33" i="23"/>
  <c r="I27" i="4" s="1"/>
  <c r="C28" i="23"/>
  <c r="C22" i="4" s="1"/>
  <c r="M34" i="23"/>
  <c r="M28" i="4" s="1"/>
  <c r="G32" i="23"/>
  <c r="G26" i="4" s="1"/>
  <c r="E35" i="23"/>
  <c r="E29" i="4" s="1"/>
  <c r="F31" i="23"/>
  <c r="F25" i="4" s="1"/>
  <c r="F35" i="23"/>
  <c r="F29" i="4" s="1"/>
  <c r="F30" i="23"/>
  <c r="F24" i="4" s="1"/>
  <c r="H32" i="23"/>
  <c r="H26" i="4" s="1"/>
  <c r="E29" i="23"/>
  <c r="H30" i="23"/>
  <c r="H24" i="4" s="1"/>
  <c r="J32" i="23"/>
  <c r="J26" i="4" s="1"/>
  <c r="H34" i="23"/>
  <c r="H28" i="4" s="1"/>
  <c r="F29" i="23"/>
  <c r="F23" i="4" s="1"/>
  <c r="L35" i="23"/>
  <c r="L29" i="4" s="1"/>
  <c r="K34" i="23"/>
  <c r="K28" i="4" s="1"/>
  <c r="M32" i="23"/>
  <c r="M26" i="4" s="1"/>
  <c r="L31" i="23"/>
  <c r="L25" i="4" s="1"/>
  <c r="K30" i="23"/>
  <c r="K24" i="4" s="1"/>
  <c r="M28" i="23"/>
  <c r="D28" i="23"/>
  <c r="F34" i="23"/>
  <c r="F28" i="4" s="1"/>
  <c r="F28" i="23"/>
  <c r="G31" i="23"/>
  <c r="G25" i="4" s="1"/>
  <c r="G35" i="23"/>
  <c r="G29" i="4" s="1"/>
  <c r="L33" i="23"/>
  <c r="L27" i="4" s="1"/>
  <c r="M30" i="23"/>
  <c r="M24" i="4" s="1"/>
  <c r="K28" i="23"/>
  <c r="H28" i="23"/>
  <c r="H22" i="4" s="1"/>
  <c r="D29" i="23"/>
  <c r="D23" i="4" s="1"/>
  <c r="D33" i="23"/>
  <c r="D27" i="4" s="1"/>
  <c r="C32" i="23"/>
  <c r="C26" i="4" s="1"/>
  <c r="I30" i="23"/>
  <c r="I24" i="4" s="1"/>
  <c r="F33" i="23"/>
  <c r="F27" i="4" s="1"/>
  <c r="G29" i="23"/>
  <c r="I35" i="23"/>
  <c r="I29" i="4" s="1"/>
  <c r="H29" i="23"/>
  <c r="H23" i="4" s="1"/>
  <c r="J31" i="23"/>
  <c r="J25" i="4" s="1"/>
  <c r="H33" i="23"/>
  <c r="H27" i="4" s="1"/>
  <c r="J35" i="23"/>
  <c r="J29" i="4" s="1"/>
  <c r="E34" i="23"/>
  <c r="E28" i="4" s="1"/>
  <c r="J30" i="23"/>
  <c r="J24" i="4" s="1"/>
  <c r="C33" i="23"/>
  <c r="C27" i="4" s="1"/>
  <c r="I29" i="23"/>
  <c r="I23" i="4" s="1"/>
  <c r="C31" i="23"/>
  <c r="C25" i="4" s="1"/>
  <c r="E33" i="23"/>
  <c r="E27" i="4" s="1"/>
  <c r="C35" i="23"/>
  <c r="C29" i="4" s="1"/>
  <c r="J29" i="23"/>
  <c r="J23" i="4" s="1"/>
  <c r="E30" i="23"/>
  <c r="E24" i="4" s="1"/>
  <c r="K35" i="23"/>
  <c r="K29" i="4" s="1"/>
  <c r="M33" i="23"/>
  <c r="M27" i="4" s="1"/>
  <c r="L32" i="23"/>
  <c r="L26" i="4" s="1"/>
  <c r="K31" i="23"/>
  <c r="K25" i="4" s="1"/>
  <c r="M29" i="23"/>
  <c r="M23" i="4" s="1"/>
  <c r="L28" i="23"/>
  <c r="L22" i="4" s="1"/>
  <c r="O35" i="23"/>
  <c r="O29" i="4" s="1"/>
  <c r="O40" i="1"/>
  <c r="O18" i="4" s="1"/>
  <c r="O42" i="1"/>
  <c r="O20" i="4" s="1"/>
  <c r="O39" i="1"/>
  <c r="O17" i="4" s="1"/>
  <c r="O43" i="1"/>
  <c r="O21" i="4" s="1"/>
  <c r="O38" i="1"/>
  <c r="O16" i="4" s="1"/>
  <c r="O41" i="1"/>
  <c r="O19" i="4" s="1"/>
  <c r="G35" i="1"/>
  <c r="G13" i="4" s="1"/>
  <c r="I29" i="1"/>
  <c r="H35" i="1"/>
  <c r="H13" i="4" s="1"/>
  <c r="H30" i="1"/>
  <c r="H8" i="4" s="1"/>
  <c r="O32" i="1"/>
  <c r="O10" i="4" s="1"/>
  <c r="F29" i="1"/>
  <c r="F7" i="4" s="1"/>
  <c r="F32" i="1"/>
  <c r="F10" i="4" s="1"/>
  <c r="B33" i="1"/>
  <c r="B11" i="4" s="1"/>
  <c r="G34" i="1"/>
  <c r="G12" i="4" s="1"/>
  <c r="F34" i="1"/>
  <c r="F12" i="4" s="1"/>
  <c r="I34" i="1"/>
  <c r="I12" i="4" s="1"/>
  <c r="H31" i="1"/>
  <c r="F30" i="1"/>
  <c r="E30" i="1"/>
  <c r="E8" i="4" s="1"/>
  <c r="G30" i="1"/>
  <c r="G8" i="4" s="1"/>
  <c r="I33" i="1"/>
  <c r="I11" i="4" s="1"/>
  <c r="H33" i="1"/>
  <c r="H11" i="4" s="1"/>
  <c r="E35" i="1"/>
  <c r="E13" i="4" s="1"/>
  <c r="J34" i="1"/>
  <c r="J12" i="4" s="1"/>
  <c r="J30" i="1"/>
  <c r="J8" i="4" s="1"/>
  <c r="J28" i="1"/>
  <c r="M34" i="1"/>
  <c r="M12" i="4" s="1"/>
  <c r="L33" i="1"/>
  <c r="L11" i="4" s="1"/>
  <c r="K32" i="1"/>
  <c r="K10" i="4" s="1"/>
  <c r="M30" i="1"/>
  <c r="M8" i="4" s="1"/>
  <c r="L29" i="1"/>
  <c r="L7" i="4" s="1"/>
  <c r="K28" i="1"/>
  <c r="K6" i="4" s="1"/>
  <c r="J33" i="1"/>
  <c r="J11" i="4" s="1"/>
  <c r="J29" i="1"/>
  <c r="J7" i="4" s="1"/>
  <c r="M35" i="1"/>
  <c r="M13" i="4" s="1"/>
  <c r="L34" i="1"/>
  <c r="L12" i="4" s="1"/>
  <c r="K33" i="1"/>
  <c r="K11" i="4" s="1"/>
  <c r="M31" i="1"/>
  <c r="M9" i="4" s="1"/>
  <c r="L30" i="1"/>
  <c r="L8" i="4" s="1"/>
  <c r="K29" i="1"/>
  <c r="K7" i="4" s="1"/>
  <c r="E33" i="1"/>
  <c r="E11" i="4" s="1"/>
  <c r="E29" i="1"/>
  <c r="D33" i="1"/>
  <c r="D11" i="4" s="1"/>
  <c r="D35" i="1"/>
  <c r="D13" i="4" s="1"/>
  <c r="H34" i="1"/>
  <c r="H12" i="4" s="1"/>
  <c r="G29" i="1"/>
  <c r="G7" i="4" s="1"/>
  <c r="J32" i="1"/>
  <c r="J10" i="4" s="1"/>
  <c r="L35" i="1"/>
  <c r="L13" i="4" s="1"/>
  <c r="K34" i="1"/>
  <c r="K12" i="4" s="1"/>
  <c r="L31" i="1"/>
  <c r="L9" i="4" s="1"/>
  <c r="K30" i="1"/>
  <c r="K8" i="4" s="1"/>
  <c r="M28" i="1"/>
  <c r="M6" i="4" s="1"/>
  <c r="F33" i="1"/>
  <c r="F11" i="4" s="1"/>
  <c r="C35" i="1"/>
  <c r="C13" i="4" s="1"/>
  <c r="H32" i="1"/>
  <c r="H10" i="4" s="1"/>
  <c r="F35" i="1"/>
  <c r="F13" i="4" s="1"/>
  <c r="I30" i="1"/>
  <c r="I8" i="4" s="1"/>
  <c r="E32" i="1"/>
  <c r="E10" i="4" s="1"/>
  <c r="C33" i="1"/>
  <c r="C11" i="4" s="1"/>
  <c r="J35" i="1"/>
  <c r="J13" i="4" s="1"/>
  <c r="J31" i="1"/>
  <c r="J9" i="4" s="1"/>
  <c r="K35" i="1"/>
  <c r="K13" i="4" s="1"/>
  <c r="M33" i="1"/>
  <c r="M11" i="4" s="1"/>
  <c r="L32" i="1"/>
  <c r="L10" i="4" s="1"/>
  <c r="K31" i="1"/>
  <c r="M29" i="1"/>
  <c r="M7" i="4" s="1"/>
  <c r="L28" i="1"/>
  <c r="O9" i="12"/>
  <c r="O10" i="12" s="1"/>
  <c r="T6" i="4"/>
  <c r="F22" i="4"/>
  <c r="Q6" i="4"/>
  <c r="D22" i="4"/>
  <c r="J6" i="4"/>
  <c r="S6" i="4"/>
  <c r="Q22" i="4"/>
  <c r="P6"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B29" i="23"/>
  <c r="B23" i="4" s="1"/>
  <c r="Q32" i="1"/>
  <c r="P32" i="1"/>
  <c r="P10" i="4" s="1"/>
  <c r="D4" i="4"/>
  <c r="P23" i="4"/>
  <c r="O29" i="1"/>
  <c r="O7" i="4" s="1"/>
  <c r="B27" i="23"/>
  <c r="B52" i="23" s="1"/>
  <c r="K45" i="23"/>
  <c r="E27" i="23"/>
  <c r="E52" i="23" s="1"/>
  <c r="Q30" i="1"/>
  <c r="Q8" i="4" s="1"/>
  <c r="B29" i="1"/>
  <c r="B7" i="4" s="1"/>
  <c r="P35" i="1"/>
  <c r="P13" i="4" s="1"/>
  <c r="P31" i="1"/>
  <c r="P9" i="4" s="1"/>
  <c r="H22" i="23"/>
  <c r="P37" i="1"/>
  <c r="F22" i="23"/>
  <c r="O36" i="1"/>
  <c r="H45" i="23"/>
  <c r="Q47" i="23"/>
  <c r="Q48" i="23" s="1"/>
  <c r="Q54" i="23" s="1"/>
  <c r="R31" i="1"/>
  <c r="R9" i="4" s="1"/>
  <c r="R22" i="4"/>
  <c r="T27" i="4"/>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O28" i="1"/>
  <c r="C30" i="1"/>
  <c r="C8" i="4" s="1"/>
  <c r="C31" i="1"/>
  <c r="C9" i="4" s="1"/>
  <c r="D29" i="1"/>
  <c r="D7" i="4" s="1"/>
  <c r="D30" i="1"/>
  <c r="S47" i="1"/>
  <c r="S48" i="1" s="1"/>
  <c r="S54" i="1" s="1"/>
  <c r="T46" i="1"/>
  <c r="T53" i="1" s="1"/>
  <c r="V46" i="1"/>
  <c r="V53" i="1" s="1"/>
  <c r="V6" i="4"/>
  <c r="G21" i="4"/>
  <c r="I21" i="4"/>
  <c r="F21" i="4"/>
  <c r="H21" i="4"/>
  <c r="E21" i="4"/>
  <c r="L52" i="23"/>
  <c r="E7" i="4"/>
  <c r="D17" i="4"/>
  <c r="F8" i="4"/>
  <c r="H9" i="4"/>
  <c r="C4" i="4"/>
  <c r="A47" i="22"/>
  <c r="G27" i="23"/>
  <c r="G52" i="23" s="1"/>
  <c r="A50" i="22"/>
  <c r="H50" i="22" s="1"/>
  <c r="K27" i="23"/>
  <c r="L22" i="1"/>
  <c r="I7" i="4"/>
  <c r="D27" i="1"/>
  <c r="D52" i="1" s="1"/>
  <c r="D45" i="1"/>
  <c r="D22" i="23"/>
  <c r="D45" i="23"/>
  <c r="D27" i="23"/>
  <c r="D52"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C56" i="23"/>
  <c r="D56" i="23"/>
  <c r="F56" i="23"/>
  <c r="I56" i="23"/>
  <c r="G56" i="1"/>
  <c r="C56" i="1"/>
  <c r="E56" i="1"/>
  <c r="T56" i="23"/>
  <c r="L56" i="1"/>
  <c r="V56" i="23"/>
  <c r="O56" i="1"/>
  <c r="E56" i="23"/>
  <c r="G56" i="23"/>
  <c r="R56" i="1"/>
  <c r="Q56" i="23"/>
  <c r="T56" i="1"/>
  <c r="Q56" i="1"/>
  <c r="L56" i="23"/>
  <c r="O56" i="23"/>
  <c r="B56" i="23"/>
  <c r="B56" i="1"/>
  <c r="K56" i="23"/>
  <c r="P56" i="23"/>
  <c r="U56" i="23"/>
  <c r="K56" i="1"/>
  <c r="J56" i="23"/>
  <c r="I56" i="1"/>
  <c r="M56" i="23"/>
  <c r="H56" i="1"/>
  <c r="H56" i="23"/>
  <c r="D56" i="1"/>
  <c r="S56" i="23"/>
  <c r="P56" i="1"/>
  <c r="V56" i="1"/>
  <c r="F56" i="1"/>
  <c r="M56" i="1"/>
  <c r="J56" i="1"/>
  <c r="U56" i="1"/>
  <c r="R56" i="23"/>
  <c r="J78" i="4"/>
  <c r="S56" i="1"/>
  <c r="S47" i="23" l="1"/>
  <c r="S48" i="23" s="1"/>
  <c r="S54" i="23" s="1"/>
  <c r="S46" i="23"/>
  <c r="S53" i="23" s="1"/>
  <c r="U47" i="23"/>
  <c r="U48" i="23" s="1"/>
  <c r="U54" i="23" s="1"/>
  <c r="V57" i="23"/>
  <c r="P57" i="23"/>
  <c r="T57" i="1"/>
  <c r="U57" i="1"/>
  <c r="S57" i="23"/>
  <c r="T57" i="23"/>
  <c r="S57" i="1"/>
  <c r="Q57" i="23"/>
  <c r="R57" i="23"/>
  <c r="V57" i="1"/>
  <c r="U57" i="23"/>
  <c r="T47" i="23"/>
  <c r="T48" i="23" s="1"/>
  <c r="T54" i="23" s="1"/>
  <c r="P46" i="23"/>
  <c r="P53" i="23" s="1"/>
  <c r="R46" i="23"/>
  <c r="R53" i="23" s="1"/>
  <c r="S22" i="4"/>
  <c r="S63" i="4" s="1"/>
  <c r="S64" i="4" s="1"/>
  <c r="T22" i="4"/>
  <c r="P47" i="23"/>
  <c r="P48" i="23" s="1"/>
  <c r="P54" i="23" s="1"/>
  <c r="U47" i="1"/>
  <c r="U48" i="1" s="1"/>
  <c r="U54" i="1" s="1"/>
  <c r="S46" i="1"/>
  <c r="S53" i="1" s="1"/>
  <c r="T46" i="23"/>
  <c r="T53" i="23" s="1"/>
  <c r="Q46" i="23"/>
  <c r="Q53" i="23" s="1"/>
  <c r="R47" i="23"/>
  <c r="R48" i="23" s="1"/>
  <c r="R54" i="23" s="1"/>
  <c r="P22" i="4"/>
  <c r="V46" i="23"/>
  <c r="V53" i="23" s="1"/>
  <c r="V47" i="1"/>
  <c r="V48" i="1" s="1"/>
  <c r="V54" i="1" s="1"/>
  <c r="T47" i="1"/>
  <c r="T48" i="1" s="1"/>
  <c r="T54" i="1" s="1"/>
  <c r="U46" i="1"/>
  <c r="U53" i="1" s="1"/>
  <c r="V22" i="4"/>
  <c r="U46" i="23"/>
  <c r="U53" i="23" s="1"/>
  <c r="V47" i="23"/>
  <c r="V48" i="23" s="1"/>
  <c r="V54" i="23" s="1"/>
  <c r="U6" i="4"/>
  <c r="U22" i="4"/>
  <c r="U63" i="4" s="1"/>
  <c r="U64" i="4" s="1"/>
  <c r="J47" i="23"/>
  <c r="J48" i="23" s="1"/>
  <c r="J54" i="23" s="1"/>
  <c r="I47" i="23"/>
  <c r="I48" i="23" s="1"/>
  <c r="I54" i="23" s="1"/>
  <c r="M46" i="23"/>
  <c r="M53" i="23" s="1"/>
  <c r="I22" i="4"/>
  <c r="F47" i="23"/>
  <c r="F48" i="23" s="1"/>
  <c r="F54" i="23" s="1"/>
  <c r="D47" i="23"/>
  <c r="D48" i="23" s="1"/>
  <c r="D54" i="23" s="1"/>
  <c r="J46" i="23"/>
  <c r="J53" i="23" s="1"/>
  <c r="D46" i="23"/>
  <c r="D53" i="23" s="1"/>
  <c r="K46" i="23"/>
  <c r="K53" i="23" s="1"/>
  <c r="L46" i="23"/>
  <c r="L53" i="23" s="1"/>
  <c r="K57" i="23"/>
  <c r="M57" i="23"/>
  <c r="L57" i="23"/>
  <c r="G57" i="23"/>
  <c r="F57" i="23"/>
  <c r="J57" i="23"/>
  <c r="I57" i="23"/>
  <c r="E57" i="23"/>
  <c r="C57" i="23"/>
  <c r="H57" i="23"/>
  <c r="D57" i="23"/>
  <c r="K22" i="4"/>
  <c r="K56" i="4" s="1"/>
  <c r="K75" i="4" s="1"/>
  <c r="F46" i="23"/>
  <c r="F53" i="23" s="1"/>
  <c r="I46" i="23"/>
  <c r="I53" i="23" s="1"/>
  <c r="C47" i="23"/>
  <c r="C48" i="23" s="1"/>
  <c r="C54" i="23" s="1"/>
  <c r="H47" i="23"/>
  <c r="H48" i="23" s="1"/>
  <c r="H54" i="23" s="1"/>
  <c r="E46" i="23"/>
  <c r="E53" i="23" s="1"/>
  <c r="M47" i="23"/>
  <c r="M48" i="23" s="1"/>
  <c r="M54" i="23" s="1"/>
  <c r="G47" i="23"/>
  <c r="G48" i="23" s="1"/>
  <c r="G54" i="23" s="1"/>
  <c r="M22" i="4"/>
  <c r="M57" i="4" s="1"/>
  <c r="M58" i="4" s="1"/>
  <c r="M76" i="4" s="1"/>
  <c r="G23" i="4"/>
  <c r="C46" i="23"/>
  <c r="C53" i="23" s="1"/>
  <c r="E47" i="23"/>
  <c r="E48" i="23" s="1"/>
  <c r="E54" i="23" s="1"/>
  <c r="H46" i="23"/>
  <c r="H53" i="23" s="1"/>
  <c r="L47" i="23"/>
  <c r="L48" i="23" s="1"/>
  <c r="L54" i="23" s="1"/>
  <c r="G46" i="23"/>
  <c r="G53" i="23" s="1"/>
  <c r="K47" i="23"/>
  <c r="K48" i="23" s="1"/>
  <c r="K54" i="23" s="1"/>
  <c r="E23" i="4"/>
  <c r="L46" i="1"/>
  <c r="L53" i="1" s="1"/>
  <c r="M47" i="1"/>
  <c r="M48" i="1" s="1"/>
  <c r="M54" i="1" s="1"/>
  <c r="L47" i="1"/>
  <c r="L48" i="1" s="1"/>
  <c r="L54" i="1" s="1"/>
  <c r="K46" i="1"/>
  <c r="K53" i="1" s="1"/>
  <c r="K47" i="1"/>
  <c r="K48" i="1" s="1"/>
  <c r="K54" i="1" s="1"/>
  <c r="M46" i="1"/>
  <c r="M53" i="1" s="1"/>
  <c r="P47" i="1"/>
  <c r="P48" i="1" s="1"/>
  <c r="P54" i="1" s="1"/>
  <c r="J46" i="1"/>
  <c r="J53" i="1" s="1"/>
  <c r="J47" i="1"/>
  <c r="J48" i="1" s="1"/>
  <c r="J54" i="1" s="1"/>
  <c r="L57" i="1"/>
  <c r="J57" i="1"/>
  <c r="M57" i="1"/>
  <c r="K57" i="1"/>
  <c r="L6" i="4"/>
  <c r="L63" i="4" s="1"/>
  <c r="L64" i="4" s="1"/>
  <c r="F46" i="1"/>
  <c r="F53" i="1" s="1"/>
  <c r="D6" i="4"/>
  <c r="R6" i="4"/>
  <c r="C6" i="4"/>
  <c r="B22" i="4"/>
  <c r="I6" i="4"/>
  <c r="P7" i="4"/>
  <c r="E6" i="4"/>
  <c r="H6" i="4"/>
  <c r="F6" i="4"/>
  <c r="O6" i="4"/>
  <c r="B6" i="4"/>
  <c r="G6" i="4"/>
  <c r="Q7" i="4"/>
  <c r="J63" i="4"/>
  <c r="J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H56" i="4" s="1"/>
  <c r="H75" i="4" s="1"/>
  <c r="G46" i="1"/>
  <c r="G53" i="1" s="1"/>
  <c r="H46" i="1"/>
  <c r="H53" i="1" s="1"/>
  <c r="H47" i="1"/>
  <c r="H48" i="1" s="1"/>
  <c r="H54" i="1" s="1"/>
  <c r="G11" i="4"/>
  <c r="F9" i="4"/>
  <c r="I13" i="4"/>
  <c r="E12" i="4"/>
  <c r="I55" i="4"/>
  <c r="I62" i="4"/>
  <c r="V57" i="4"/>
  <c r="V58" i="4" s="1"/>
  <c r="V76" i="4" s="1"/>
  <c r="V56" i="4"/>
  <c r="V75" i="4" s="1"/>
  <c r="U57" i="4"/>
  <c r="U58" i="4" s="1"/>
  <c r="U76" i="4" s="1"/>
  <c r="L56" i="4"/>
  <c r="L75" i="4" s="1"/>
  <c r="S56" i="4"/>
  <c r="S75" i="4" s="1"/>
  <c r="J56" i="4"/>
  <c r="J75" i="4" s="1"/>
  <c r="O55" i="4"/>
  <c r="O62" i="4"/>
  <c r="F55" i="4"/>
  <c r="F62" i="4"/>
  <c r="M55" i="4"/>
  <c r="M62" i="4"/>
  <c r="J55" i="4"/>
  <c r="J62" i="4"/>
  <c r="L57" i="4"/>
  <c r="L58" i="4" s="1"/>
  <c r="L76" i="4" s="1"/>
  <c r="J57" i="4"/>
  <c r="J58" i="4" s="1"/>
  <c r="J76"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D47" i="1"/>
  <c r="D48" i="1" s="1"/>
  <c r="D54" i="1" s="1"/>
  <c r="D8" i="4"/>
  <c r="T4" i="1"/>
  <c r="T4" i="23"/>
  <c r="F74" i="4"/>
  <c r="I74" i="4"/>
  <c r="O74" i="4"/>
  <c r="P74" i="4"/>
  <c r="AD2" i="12"/>
  <c r="L78" i="4"/>
  <c r="O78" i="4"/>
  <c r="K78" i="4"/>
  <c r="U78" i="4"/>
  <c r="B78" i="4"/>
  <c r="C78" i="4"/>
  <c r="F78" i="4"/>
  <c r="S78" i="4"/>
  <c r="Q78" i="4"/>
  <c r="M78" i="4"/>
  <c r="G78" i="4"/>
  <c r="D78" i="4"/>
  <c r="T78" i="4"/>
  <c r="R78" i="4"/>
  <c r="P78" i="4"/>
  <c r="E78" i="4"/>
  <c r="H78" i="4"/>
  <c r="V78" i="4"/>
  <c r="I78" i="4"/>
  <c r="S57" i="4" l="1"/>
  <c r="S58" i="4" s="1"/>
  <c r="S76" i="4" s="1"/>
  <c r="U79" i="4"/>
  <c r="V79" i="4"/>
  <c r="T79" i="4"/>
  <c r="S79" i="4"/>
  <c r="V63" i="4"/>
  <c r="V64" i="4" s="1"/>
  <c r="K57" i="4"/>
  <c r="K58" i="4" s="1"/>
  <c r="K76" i="4" s="1"/>
  <c r="K63" i="4"/>
  <c r="K64" i="4" s="1"/>
  <c r="M63" i="4"/>
  <c r="M64" i="4" s="1"/>
  <c r="K79" i="4"/>
  <c r="M79" i="4"/>
  <c r="M56" i="4"/>
  <c r="M75" i="4" s="1"/>
  <c r="I3" i="12" s="1"/>
  <c r="R63" i="4"/>
  <c r="R64" i="4" s="1"/>
  <c r="L79" i="4"/>
  <c r="G55" i="1"/>
  <c r="I57" i="4"/>
  <c r="I58" i="4" s="1"/>
  <c r="I76" i="4" s="1"/>
  <c r="C55" i="23"/>
  <c r="F55" i="23"/>
  <c r="C63" i="4"/>
  <c r="C64" i="4" s="1"/>
  <c r="I63" i="4"/>
  <c r="I64" i="4" s="1"/>
  <c r="V4" i="4"/>
  <c r="V55" i="4" s="1"/>
  <c r="F63" i="4"/>
  <c r="F64" i="4" s="1"/>
  <c r="D63" i="4"/>
  <c r="D64" i="4" s="1"/>
  <c r="B63" i="4"/>
  <c r="B64" i="4" s="1"/>
  <c r="O63" i="4"/>
  <c r="O64" i="4" s="1"/>
  <c r="G56" i="4"/>
  <c r="G75" i="4" s="1"/>
  <c r="H57" i="4"/>
  <c r="H58" i="4" s="1"/>
  <c r="H76" i="4" s="1"/>
  <c r="H63" i="4"/>
  <c r="H64" i="4" s="1"/>
  <c r="P63" i="4"/>
  <c r="P64" i="4" s="1"/>
  <c r="G63" i="4"/>
  <c r="G64" i="4" s="1"/>
  <c r="E63" i="4"/>
  <c r="E64" i="4" s="1"/>
  <c r="Q63" i="4"/>
  <c r="Q64" i="4" s="1"/>
  <c r="Q55" i="23"/>
  <c r="V55" i="23"/>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V74" i="4"/>
  <c r="Z2"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R55" i="23"/>
  <c r="T55" i="23"/>
  <c r="D55" i="23"/>
  <c r="H55" i="23"/>
  <c r="K55" i="23"/>
  <c r="J55" i="23"/>
  <c r="M55" i="23"/>
  <c r="G55" i="23"/>
  <c r="U55" i="23"/>
  <c r="E55" i="23"/>
  <c r="P55" i="23"/>
  <c r="I55" i="23"/>
  <c r="S55" i="23"/>
  <c r="R59" i="23"/>
  <c r="R60" i="23" s="1"/>
  <c r="O55" i="23"/>
  <c r="O79" i="4"/>
  <c r="B79" i="4"/>
  <c r="B64" i="23"/>
  <c r="L59" i="23"/>
  <c r="F59" i="23"/>
  <c r="F60" i="23" s="1"/>
  <c r="Q59" i="23"/>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E59" i="23"/>
  <c r="J59" i="23"/>
  <c r="K59" i="23"/>
  <c r="D59" i="23"/>
  <c r="D60" i="23" s="1"/>
  <c r="I59" i="23"/>
  <c r="O59" i="23"/>
  <c r="O60" i="23" s="1"/>
  <c r="G59" i="23"/>
  <c r="G60" i="23" s="1"/>
  <c r="H59" i="23"/>
  <c r="H60" i="23" s="1"/>
  <c r="M59" i="23"/>
  <c r="P55" i="1"/>
  <c r="C55" i="1"/>
  <c r="H55" i="1"/>
  <c r="U55" i="1"/>
  <c r="T55" i="1"/>
  <c r="F55" i="1"/>
  <c r="Q55" i="1"/>
  <c r="I55" i="1"/>
  <c r="L55" i="1"/>
  <c r="J55" i="1"/>
  <c r="D55" i="1"/>
  <c r="K55" i="1"/>
  <c r="E55" i="1"/>
  <c r="H3" i="12"/>
  <c r="O55" i="1"/>
  <c r="O59" i="1"/>
  <c r="O60" i="1" s="1"/>
  <c r="J59" i="1"/>
  <c r="F59" i="1"/>
  <c r="M59" i="1"/>
  <c r="I59" i="1"/>
  <c r="E59" i="1"/>
  <c r="L59" i="1"/>
  <c r="H59" i="1"/>
  <c r="H60" i="1" s="1"/>
  <c r="D59" i="1"/>
  <c r="K59" i="1"/>
  <c r="K60" i="1" s="1"/>
  <c r="C59" i="1"/>
  <c r="G59" i="1"/>
  <c r="G60" i="1" s="1"/>
  <c r="S55" i="1"/>
  <c r="M55" i="1"/>
  <c r="R55" i="1"/>
  <c r="V55" i="1"/>
  <c r="T59" i="1"/>
  <c r="T60" i="1" s="1"/>
  <c r="P59" i="1"/>
  <c r="P60" i="1" s="1"/>
  <c r="S59" i="1"/>
  <c r="S60" i="1" s="1"/>
  <c r="V59" i="1"/>
  <c r="V60" i="1" s="1"/>
  <c r="R59" i="1"/>
  <c r="R60" i="1" s="1"/>
  <c r="U59" i="1"/>
  <c r="U60" i="1" s="1"/>
  <c r="Q59" i="1"/>
  <c r="Q60" i="1" s="1"/>
  <c r="B65" i="1"/>
  <c r="B64" i="1"/>
  <c r="B55" i="1"/>
  <c r="G3" i="12"/>
  <c r="T27" i="23"/>
  <c r="T52" i="23" s="1"/>
  <c r="T45" i="23"/>
  <c r="T22" i="23"/>
  <c r="F3" i="12"/>
  <c r="J3" i="12"/>
  <c r="T27" i="1"/>
  <c r="T52" i="1" s="1"/>
  <c r="T45" i="1"/>
  <c r="T4" i="4"/>
  <c r="T62" i="4" s="1"/>
  <c r="T22" i="1"/>
  <c r="C60" i="23"/>
  <c r="L60" i="23"/>
  <c r="Q60" i="23"/>
  <c r="L60" i="1"/>
  <c r="I60" i="23"/>
  <c r="M60" i="23"/>
  <c r="C60" i="1"/>
  <c r="D60" i="1"/>
  <c r="E60" i="23"/>
  <c r="F60" i="1"/>
  <c r="M60" i="1"/>
  <c r="I60" i="1"/>
  <c r="K60" i="23"/>
  <c r="E60" i="1"/>
  <c r="J60" i="23"/>
  <c r="J60" i="1"/>
  <c r="R80" i="4" l="1"/>
  <c r="J80" i="4"/>
  <c r="V62" i="4"/>
  <c r="AH2" i="12"/>
  <c r="AA2" i="12"/>
  <c r="B80" i="4"/>
  <c r="P75" i="4"/>
  <c r="B5" i="27" s="1"/>
  <c r="O81" i="4"/>
  <c r="AE2" i="12"/>
  <c r="U74" i="4"/>
  <c r="Y2" i="12" s="1"/>
  <c r="U62" i="4"/>
  <c r="B6" i="12"/>
  <c r="B6" i="27"/>
  <c r="R61" i="23"/>
  <c r="U55" i="4"/>
  <c r="F3" i="27"/>
  <c r="V77" i="4"/>
  <c r="U77" i="4"/>
  <c r="O77" i="4"/>
  <c r="S77" i="4"/>
  <c r="Q77" i="4"/>
  <c r="R77" i="4"/>
  <c r="P81" i="4"/>
  <c r="Q81" i="4"/>
  <c r="B86" i="4"/>
  <c r="B87" i="4"/>
  <c r="B75" i="4"/>
  <c r="M61" i="23"/>
  <c r="I61" i="23"/>
  <c r="E61" i="23"/>
  <c r="D61" i="23"/>
  <c r="C61" i="23"/>
  <c r="Q61" i="23"/>
  <c r="U61" i="23"/>
  <c r="P61" i="23"/>
  <c r="F61" i="23"/>
  <c r="G61" i="23"/>
  <c r="J61" i="23"/>
  <c r="S61" i="23"/>
  <c r="T61" i="23"/>
  <c r="V61" i="23"/>
  <c r="L61" i="23"/>
  <c r="D61" i="1"/>
  <c r="U61" i="1"/>
  <c r="S61" i="1"/>
  <c r="G61" i="1"/>
  <c r="M61" i="1"/>
  <c r="L61" i="1"/>
  <c r="T61" i="1"/>
  <c r="E61" i="1"/>
  <c r="F61" i="1"/>
  <c r="K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B4" i="12" s="1"/>
  <c r="AF2" i="12"/>
  <c r="T55" i="4"/>
  <c r="T74" i="4"/>
  <c r="J81" i="4" l="1"/>
  <c r="K81" i="4"/>
  <c r="M81" i="4"/>
  <c r="L81" i="4"/>
  <c r="B5" i="12"/>
  <c r="P77" i="4"/>
  <c r="AD4" i="12"/>
  <c r="AE4" i="12"/>
  <c r="Z4" i="12"/>
  <c r="W4" i="12"/>
  <c r="AG4" i="12"/>
  <c r="AC4" i="12"/>
  <c r="AH4" i="12"/>
  <c r="AF4" i="12"/>
  <c r="Y4" i="12"/>
  <c r="AA4" i="12"/>
  <c r="I81" i="4"/>
  <c r="F81" i="4"/>
  <c r="G81" i="4"/>
  <c r="H81" i="4"/>
  <c r="D81" i="4"/>
  <c r="D83" i="4" s="1"/>
  <c r="E81" i="4"/>
  <c r="C81" i="4"/>
  <c r="K77" i="4"/>
  <c r="J77" i="4"/>
  <c r="G77" i="4"/>
  <c r="F77" i="4"/>
  <c r="L77" i="4"/>
  <c r="B77" i="4"/>
  <c r="B2" i="27"/>
  <c r="G6" i="27" s="1"/>
  <c r="M77" i="4"/>
  <c r="I77" i="4"/>
  <c r="B2" i="12"/>
  <c r="E6" i="12" s="1"/>
  <c r="H77" i="4"/>
  <c r="D77" i="4"/>
  <c r="C77" i="4"/>
  <c r="E77" i="4"/>
  <c r="AG8" i="12"/>
  <c r="U8" i="12"/>
  <c r="AJ8" i="12"/>
  <c r="AB8" i="12"/>
  <c r="AB9" i="12" s="1"/>
  <c r="AB10" i="12" s="1"/>
  <c r="Z8" i="12"/>
  <c r="AC8" i="12"/>
  <c r="V8" i="12"/>
  <c r="X8" i="12"/>
  <c r="X9" i="12" s="1"/>
  <c r="X10" i="12" s="1"/>
  <c r="AH8" i="12"/>
  <c r="AD8" i="12"/>
  <c r="AI8" i="12"/>
  <c r="W8" i="12"/>
  <c r="W9" i="12" s="1"/>
  <c r="W10" i="12" s="1"/>
  <c r="Y8" i="12"/>
  <c r="AE8" i="12"/>
  <c r="AA8" i="12"/>
  <c r="AF8" i="12"/>
  <c r="AF9" i="12" s="1"/>
  <c r="AF10" i="12" s="1"/>
  <c r="H8" i="27"/>
  <c r="H9" i="27" s="1"/>
  <c r="H10" i="27" s="1"/>
  <c r="J8" i="27"/>
  <c r="J9" i="27" s="1"/>
  <c r="J10" i="27" s="1"/>
  <c r="I8" i="27"/>
  <c r="I9" i="27" s="1"/>
  <c r="I10" i="27" s="1"/>
  <c r="L83" i="4"/>
  <c r="V83" i="4"/>
  <c r="M83" i="4"/>
  <c r="R5" i="12" s="1"/>
  <c r="P83" i="4"/>
  <c r="U83" i="4"/>
  <c r="S5" i="12"/>
  <c r="Q83" i="4"/>
  <c r="J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AA9" i="12" l="1"/>
  <c r="AA10" i="12" s="1"/>
  <c r="AI9" i="12"/>
  <c r="AI10" i="12" s="1"/>
  <c r="V9" i="12"/>
  <c r="V10" i="12" s="1"/>
  <c r="AJ9" i="12"/>
  <c r="AJ10" i="12" s="1"/>
  <c r="Y9" i="12"/>
  <c r="Y10" i="12" s="1"/>
  <c r="AH9" i="12"/>
  <c r="AH10" i="12" s="1"/>
  <c r="Z9" i="12"/>
  <c r="Z10" i="12" s="1"/>
  <c r="AG9" i="12"/>
  <c r="AG10" i="12" s="1"/>
  <c r="AE9" i="12"/>
  <c r="AE10" i="12" s="1"/>
  <c r="AD9" i="12"/>
  <c r="AD10" i="12" s="1"/>
  <c r="AC9" i="12"/>
  <c r="AC10" i="12" s="1"/>
  <c r="U9" i="12"/>
  <c r="U10" i="12" s="1"/>
  <c r="P5" i="12"/>
  <c r="Q5" i="12"/>
  <c r="I83" i="4"/>
  <c r="E83" i="4"/>
  <c r="C83" i="4"/>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I26" i="22" s="1"/>
  <c r="F7" i="22"/>
  <c r="K7" i="22" s="1"/>
  <c r="F19" i="22"/>
  <c r="G19" i="22" s="1"/>
  <c r="F23" i="22"/>
  <c r="G23" i="22" s="1"/>
  <c r="N5" i="12"/>
  <c r="M5" i="12"/>
  <c r="I5" i="12"/>
  <c r="F20" i="22"/>
  <c r="I20" i="22" s="1"/>
  <c r="F9" i="22"/>
  <c r="G9" i="22" s="1"/>
  <c r="F12" i="22"/>
  <c r="G12" i="22" s="1"/>
  <c r="F16" i="22"/>
  <c r="G16" i="22" s="1"/>
  <c r="F22" i="22"/>
  <c r="I22" i="22" s="1"/>
  <c r="J5" i="12"/>
  <c r="F15" i="22"/>
  <c r="G15" i="22" s="1"/>
  <c r="L5" i="12"/>
  <c r="F21" i="22"/>
  <c r="G21" i="22" s="1"/>
  <c r="F5" i="12"/>
  <c r="F24" i="22"/>
  <c r="G24" i="22" s="1"/>
  <c r="F10" i="22"/>
  <c r="K10" i="22" s="1"/>
  <c r="F11" i="22"/>
  <c r="I11" i="22" s="1"/>
  <c r="F13" i="22"/>
  <c r="K13" i="22" s="1"/>
  <c r="M13" i="22" s="1"/>
  <c r="F14" i="22"/>
  <c r="I14" i="22" s="1"/>
  <c r="F18" i="22"/>
  <c r="G18" i="22" s="1"/>
  <c r="F8" i="22"/>
  <c r="G8" i="22" s="1"/>
  <c r="F5" i="27"/>
  <c r="F25" i="22"/>
  <c r="G25" i="22" s="1"/>
  <c r="G5" i="12"/>
  <c r="H5" i="12"/>
  <c r="F17" i="22"/>
  <c r="I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K35" i="22"/>
  <c r="N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I36" i="22"/>
  <c r="K36" i="22"/>
  <c r="N36" i="22" s="1"/>
  <c r="G48" i="22"/>
  <c r="J48" i="22" s="1"/>
  <c r="I48" i="22"/>
  <c r="M48" i="22" s="1"/>
  <c r="K48" i="22"/>
  <c r="N48" i="22" s="1"/>
  <c r="G43" i="22"/>
  <c r="J43" i="22" s="1"/>
  <c r="I43" i="22"/>
  <c r="M43" i="22" s="1"/>
  <c r="K43" i="22"/>
  <c r="N43" i="22" s="1"/>
  <c r="L3" i="28"/>
  <c r="I34" i="22" l="1"/>
  <c r="K34" i="22" s="1"/>
  <c r="N34" i="22" s="1"/>
  <c r="I33" i="22"/>
  <c r="K33" i="22" s="1"/>
  <c r="N33" i="22" s="1"/>
  <c r="G26" i="22"/>
  <c r="M36" i="22"/>
  <c r="M34" i="22"/>
  <c r="M35" i="22"/>
  <c r="I32" i="22"/>
  <c r="K16" i="22"/>
  <c r="M16" i="22" s="1"/>
  <c r="K19" i="22"/>
  <c r="M19" i="22" s="1"/>
  <c r="I18" i="22"/>
  <c r="I13" i="22"/>
  <c r="K26" i="22"/>
  <c r="M26" i="22" s="1"/>
  <c r="G13" i="22"/>
  <c r="K12" i="22"/>
  <c r="M12" i="22" s="1"/>
  <c r="G14" i="22"/>
  <c r="K15" i="22"/>
  <c r="M15" i="22" s="1"/>
  <c r="I19" i="22"/>
  <c r="G10" i="22"/>
  <c r="I25" i="22"/>
  <c r="I12" i="22"/>
  <c r="G2" i="28" s="1"/>
  <c r="I15" i="22"/>
  <c r="I24" i="22"/>
  <c r="G17" i="22"/>
  <c r="K18" i="22"/>
  <c r="M18" i="22" s="1"/>
  <c r="I10" i="22"/>
  <c r="G22" i="22"/>
  <c r="K21" i="22"/>
  <c r="M21" i="22" s="1"/>
  <c r="K17" i="22"/>
  <c r="M17" i="22" s="1"/>
  <c r="I9" i="22"/>
  <c r="K9" i="22" s="1"/>
  <c r="M9" i="22" s="1"/>
  <c r="G11" i="22"/>
  <c r="K14" i="22"/>
  <c r="M14" i="22" s="1"/>
  <c r="I7" i="22"/>
  <c r="G3" i="28" s="1"/>
  <c r="K25" i="22"/>
  <c r="M25" i="22" s="1"/>
  <c r="K24" i="22"/>
  <c r="M24" i="22" s="1"/>
  <c r="G7" i="22"/>
  <c r="M10" i="22"/>
  <c r="N10" i="22"/>
  <c r="I16" i="22"/>
  <c r="G20" i="22"/>
  <c r="K8" i="22"/>
  <c r="M8" i="22" s="1"/>
  <c r="K23" i="22"/>
  <c r="M23" i="22" s="1"/>
  <c r="I21" i="22"/>
  <c r="K22" i="22"/>
  <c r="M22" i="22" s="1"/>
  <c r="I8" i="22"/>
  <c r="I23" i="22"/>
  <c r="K20" i="22"/>
  <c r="M20" i="22" s="1"/>
  <c r="K11" i="22"/>
  <c r="M11" i="22" s="1"/>
  <c r="M7" i="22"/>
  <c r="H3" i="28"/>
  <c r="N12" i="22"/>
  <c r="N7" i="22"/>
  <c r="N13" i="22"/>
  <c r="N9" i="22"/>
  <c r="L2" i="28"/>
  <c r="K3" i="28"/>
  <c r="K2" i="28"/>
  <c r="G13" i="28"/>
  <c r="G14" i="28"/>
  <c r="G4" i="28"/>
  <c r="G8" i="28"/>
  <c r="G11" i="28"/>
  <c r="G12" i="28"/>
  <c r="G9" i="28"/>
  <c r="G6" i="28"/>
  <c r="G15" i="28"/>
  <c r="G7" i="28"/>
  <c r="G5" i="28"/>
  <c r="G10" i="28"/>
  <c r="H6" i="28"/>
  <c r="H15" i="28"/>
  <c r="H12" i="28"/>
  <c r="H9" i="28"/>
  <c r="H14" i="28"/>
  <c r="H10" i="28"/>
  <c r="H13" i="28"/>
  <c r="H11" i="28"/>
  <c r="H8" i="28"/>
  <c r="H5" i="28"/>
  <c r="H4" i="28"/>
  <c r="H7" i="28"/>
  <c r="M33" i="22" l="1"/>
  <c r="K32" i="22"/>
  <c r="N32" i="22" s="1"/>
  <c r="N19" i="22"/>
  <c r="N16" i="22"/>
  <c r="N26" i="22"/>
  <c r="N18" i="22"/>
  <c r="N20" i="22"/>
  <c r="N24" i="22"/>
  <c r="H2" i="28"/>
  <c r="N15" i="22"/>
  <c r="N11" i="22"/>
  <c r="N21" i="22"/>
  <c r="N8" i="22"/>
  <c r="N17" i="22"/>
  <c r="N25" i="22"/>
  <c r="N23" i="22"/>
  <c r="N14" i="22"/>
  <c r="N22" i="22"/>
  <c r="M32"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<sst xmlns="http://schemas.openxmlformats.org/spreadsheetml/2006/main" count="7733" uniqueCount="4396">
  <si>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</si>
  <si>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</si>
  <si>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</si>
  <si>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</si>
  <si>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</si>
  <si>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</si>
  <si>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</si>
  <si>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</si>
  <si>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</si>
  <si>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</si>
  <si>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</si>
  <si>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</si>
  <si>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</si>
  <si>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</si>
  <si>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</si>
  <si>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</si>
  <si>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</si>
  <si>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</si>
  <si>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</si>
  <si>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</si>
  <si>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</si>
  <si>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</si>
  <si>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</si>
  <si>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</si>
  <si>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</si>
  <si>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</si>
  <si>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</si>
  <si>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</si>
  <si>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</si>
  <si>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</si>
  <si>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</si>
  <si>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</si>
  <si>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</si>
  <si>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</si>
  <si>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</si>
  <si>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</si>
  <si>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</si>
  <si>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</si>
  <si>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</si>
  <si>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</si>
  <si>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</si>
  <si>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</si>
  <si>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</si>
  <si>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</si>
  <si>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</si>
  <si>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</si>
  <si>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</si>
  <si>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</si>
  <si>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</si>
  <si>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</si>
  <si>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</si>
  <si>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</si>
  <si>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</si>
  <si>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</si>
  <si>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</si>
  <si>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</si>
  <si>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</si>
  <si>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</si>
  <si>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</si>
  <si>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</si>
  <si>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</si>
  <si>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</si>
  <si>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</si>
  <si>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</si>
  <si>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</si>
  <si>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</si>
  <si>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</si>
  <si>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</si>
  <si>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</si>
  <si>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</si>
  <si>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</si>
  <si>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</si>
  <si>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</si>
  <si>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</si>
  <si>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</si>
  <si>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</si>
  <si>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</si>
  <si>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</si>
  <si>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</si>
  <si>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</si>
  <si>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</si>
  <si>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</si>
  <si>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</si>
  <si>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</si>
  <si>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</si>
  <si>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</si>
  <si>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</si>
  <si>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</si>
  <si>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</si>
  <si>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</si>
  <si>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</si>
  <si>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</si>
  <si>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</si>
  <si>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</si>
  <si>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</si>
  <si>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</si>
  <si>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</si>
  <si>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</si>
  <si>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</si>
  <si>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</si>
  <si>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</si>
  <si>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</si>
  <si>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</si>
  <si>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</si>
  <si>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</si>
  <si>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</si>
  <si>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</si>
  <si>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</si>
  <si>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</si>
  <si>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</si>
  <si>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</si>
  <si>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</si>
  <si>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</si>
  <si>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</si>
  <si>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</si>
  <si>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</si>
  <si>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</si>
  <si>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</si>
  <si>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</si>
  <si>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</si>
  <si>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</si>
  <si>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</si>
  <si>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</si>
  <si>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</si>
  <si>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</si>
  <si>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</si>
  <si>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</si>
  <si>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</si>
  <si>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</si>
  <si>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</si>
  <si>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</si>
  <si>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</si>
  <si>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</si>
  <si>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</si>
  <si>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</si>
  <si>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</si>
  <si>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</si>
  <si>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</si>
  <si>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</si>
  <si>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</si>
  <si>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</si>
  <si>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</si>
  <si>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</si>
  <si>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</si>
  <si>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</si>
  <si>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</si>
  <si>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</si>
  <si>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</si>
  <si>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</si>
  <si>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</si>
  <si>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</si>
  <si>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</si>
  <si>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</si>
  <si>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</si>
  <si>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</si>
  <si>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</si>
  <si>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</si>
  <si>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</si>
  <si>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</si>
  <si>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</si>
  <si>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</si>
  <si>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</si>
  <si>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</si>
  <si>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</si>
  <si>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WF-194-20</t>
  </si>
  <si>
    <t>Saccharin</t>
  </si>
  <si>
    <t>WF-194-21</t>
  </si>
  <si>
    <t>WF-194-22</t>
  </si>
  <si>
    <t>WF-194-23</t>
  </si>
  <si>
    <t>WF-194-24</t>
  </si>
  <si>
    <t xml:space="preserve">F:\Données chgh\2020-CHG-CZA-Saccharin-1\plaque 1/@01 TS/A1_01.tif </t>
  </si>
  <si>
    <t xml:space="preserve"> 64.1646 </t>
  </si>
  <si>
    <t xml:space="preserve">F:\Données chgh\2020-CHG-CZA-Saccharin-1\plaque 1/@01 TS/A1_02.tif </t>
  </si>
  <si>
    <t xml:space="preserve"> 605.637 </t>
  </si>
  <si>
    <t xml:space="preserve"> 63.3571 </t>
  </si>
  <si>
    <t xml:space="preserve">F:\Données chgh\2020-CHG-CZA-Saccharin-1\plaque 1/@01 TS/A1_03.tif </t>
  </si>
  <si>
    <t xml:space="preserve"> 3006.5554 </t>
  </si>
  <si>
    <t xml:space="preserve"> 64.1367 </t>
  </si>
  <si>
    <t xml:space="preserve">F:\Données chgh\2020-CHG-CZA-Saccharin-1\plaque 1/@01 TS/B1_01.tif </t>
  </si>
  <si>
    <t xml:space="preserve"> 2898.4059 </t>
  </si>
  <si>
    <t xml:space="preserve"> 65.4701 </t>
  </si>
  <si>
    <t xml:space="preserve">F:\Données chgh\2020-CHG-CZA-Saccharin-1\plaque 1/@01 TS/B1_02.tif </t>
  </si>
  <si>
    <t xml:space="preserve"> 4542.2779 </t>
  </si>
  <si>
    <t xml:space="preserve"> 69.2857 </t>
  </si>
  <si>
    <t xml:space="preserve">F:\Données chgh\2020-CHG-CZA-Saccharin-1\plaque 1/@01 TS/B1_03.tif </t>
  </si>
  <si>
    <t xml:space="preserve"> 757.0463 </t>
  </si>
  <si>
    <t xml:space="preserve"> 62.8 </t>
  </si>
  <si>
    <t xml:space="preserve">F:\Données chgh\2020-CHG-CZA-Saccharin-1\plaque 1/@01 TS/C1_01.tif </t>
  </si>
  <si>
    <t xml:space="preserve"> 973.3453 </t>
  </si>
  <si>
    <t xml:space="preserve"> 64.3778 </t>
  </si>
  <si>
    <t xml:space="preserve">F:\Données chgh\2020-CHG-CZA-Saccharin-1\plaque 1/@01 TS/C1_02.tif </t>
  </si>
  <si>
    <t xml:space="preserve"> 10987.9865 </t>
  </si>
  <si>
    <t xml:space="preserve"> 76.8504 </t>
  </si>
  <si>
    <t xml:space="preserve">F:\Données chgh\2020-CHG-CZA-Saccharin-1\plaque 1/@01 TS/C1_03.tif </t>
  </si>
  <si>
    <t xml:space="preserve"> 5710.2922 </t>
  </si>
  <si>
    <t xml:space="preserve"> 71.7311 </t>
  </si>
  <si>
    <t xml:space="preserve">F:\Données chgh\2020-CHG-CZA-Saccharin-1\plaque 1/@01 TS/D1_01.tif </t>
  </si>
  <si>
    <t xml:space="preserve"> 6488.9684 </t>
  </si>
  <si>
    <t xml:space="preserve"> 68.14 </t>
  </si>
  <si>
    <t xml:space="preserve">F:\Données chgh\2020-CHG-CZA-Saccharin-1\plaque 1/@01 TS/D1_02.tif </t>
  </si>
  <si>
    <t xml:space="preserve"> 4131.3099 </t>
  </si>
  <si>
    <t xml:space="preserve"> 65.9267 </t>
  </si>
  <si>
    <t xml:space="preserve">F:\Données chgh\2020-CHG-CZA-Saccharin-1\plaque 1/@01 TS/D1_03.tif </t>
  </si>
  <si>
    <t xml:space="preserve"> 4390.8686 </t>
  </si>
  <si>
    <t xml:space="preserve"> 65.9655 </t>
  </si>
  <si>
    <t>F:\Données chgh\2020-CHG-CZA-Saccharin-1\plaque 1/@01 TS/E1_01- exclu.tif</t>
  </si>
  <si>
    <t xml:space="preserve">F:\Données chgh\2020-CHG-CZA-Saccharin-1\plaque 1/@01 TS/E1_02.tif </t>
  </si>
  <si>
    <t xml:space="preserve"> 1449.2029 </t>
  </si>
  <si>
    <t xml:space="preserve"> 64.3284 </t>
  </si>
  <si>
    <t>F:\Données chgh\2020-CHG-CZA-Saccharin-1\plaque 1/@01 TS/E1_03- exclu.tif</t>
  </si>
  <si>
    <t xml:space="preserve">F:\Données chgh\2020-CHG-CZA-Saccharin-1\plaque 1/@01 TS/F1_01.tif </t>
  </si>
  <si>
    <t xml:space="preserve"> 648.8968 </t>
  </si>
  <si>
    <t xml:space="preserve"> 62.5667 </t>
  </si>
  <si>
    <t xml:space="preserve">F:\Données chgh\2020-CHG-CZA-Saccharin-1\plaque 1/@01 TS/F1_02.tif </t>
  </si>
  <si>
    <t xml:space="preserve"> 497.4876 </t>
  </si>
  <si>
    <t xml:space="preserve"> 61.5652 </t>
  </si>
  <si>
    <t xml:space="preserve">F:\Données chgh\2020-CHG-CZA-Saccharin-1\plaque 1/@01 TS/F1_03.tif </t>
  </si>
  <si>
    <t xml:space="preserve"> 259.5587 </t>
  </si>
  <si>
    <t xml:space="preserve"> 63.5833 </t>
  </si>
  <si>
    <t xml:space="preserve">F:\Données chgh\2020-CHG-CZA-Saccharin-1\plaque 1/@01 TS/G1_01.tif </t>
  </si>
  <si>
    <t xml:space="preserve"> 1600.6122 </t>
  </si>
  <si>
    <t xml:space="preserve"> 64.3243 </t>
  </si>
  <si>
    <t>F:\Données chgh\2020-CHG-CZA-Saccharin-1\plaque 1/@01 TS/G1_02- exclu.tif</t>
  </si>
  <si>
    <t xml:space="preserve">F:\Données chgh\2020-CHG-CZA-Saccharin-1\plaque 1/@01 TS/G1_03.tif </t>
  </si>
  <si>
    <t xml:space="preserve"> 1146.3844 </t>
  </si>
  <si>
    <t xml:space="preserve"> 63.6792 </t>
  </si>
  <si>
    <t xml:space="preserve">F:\Données chgh\2020-CHG-CZA-Saccharin-1\plaque 1/@01 TS/H1_01.tif </t>
  </si>
  <si>
    <t xml:space="preserve"> 1665.5019 </t>
  </si>
  <si>
    <t xml:space="preserve"> 66.1948 </t>
  </si>
  <si>
    <t xml:space="preserve">F:\Données chgh\2020-CHG-CZA-Saccharin-1\plaque 1/@01 TS/H1_02.tif </t>
  </si>
  <si>
    <t xml:space="preserve"> 69.6981 </t>
  </si>
  <si>
    <t xml:space="preserve">F:\Données chgh\2020-CHG-CZA-Saccharin-1\plaque 1/@01 TS/H1_03.tif </t>
  </si>
  <si>
    <t xml:space="preserve"> 1730.3916 </t>
  </si>
  <si>
    <t xml:space="preserve"> 68.4375 </t>
  </si>
  <si>
    <t xml:space="preserve">group </t>
  </si>
  <si>
    <t xml:space="preserve"> mean of mean fluo </t>
  </si>
  <si>
    <t xml:space="preserve"> SD mean fluo </t>
  </si>
  <si>
    <t xml:space="preserve"> mean of total fluo </t>
  </si>
  <si>
    <t xml:space="preserve"> SD total fluo </t>
  </si>
  <si>
    <t xml:space="preserve"> n fluorescent </t>
  </si>
  <si>
    <t xml:space="preserve">F:\Données chgh\2020-CHG-CZA-Saccharin-1\plaque 1/@01 TS/ </t>
  </si>
  <si>
    <t xml:space="preserve"> 65.8177 </t>
  </si>
  <si>
    <t xml:space="preserve"> 3.4531 </t>
  </si>
  <si>
    <t xml:space="preserve"> 173123.958 </t>
  </si>
  <si>
    <t xml:space="preserve"> 188617.597 </t>
  </si>
  <si>
    <t xml:space="preserve">file name </t>
  </si>
  <si>
    <t xml:space="preserve">F:\Données chgh\2020-CHG-CZA-Saccharin-1\plaque 1/@02 EE2 34/A2_01.tif </t>
  </si>
  <si>
    <t xml:space="preserve"> 1578.9823 </t>
  </si>
  <si>
    <t xml:space="preserve"> 63.2877 </t>
  </si>
  <si>
    <t xml:space="preserve">F:\Données chgh\2020-CHG-CZA-Saccharin-1\plaque 1/@02 EE2 34/A2_02.tif </t>
  </si>
  <si>
    <t xml:space="preserve"> 6791.7869 </t>
  </si>
  <si>
    <t xml:space="preserve"> 68.1465 </t>
  </si>
  <si>
    <t xml:space="preserve">F:\Données chgh\2020-CHG-CZA-Saccharin-1\plaque 1/@02 EE2 34/A2_03.tif </t>
  </si>
  <si>
    <t xml:space="preserve"> 5256.0644 </t>
  </si>
  <si>
    <t xml:space="preserve"> 68.1852 </t>
  </si>
  <si>
    <t xml:space="preserve">F:\Données chgh\2020-CHG-CZA-Saccharin-1\plaque 1/@02 EE2 34/B2_01.tif </t>
  </si>
  <si>
    <t xml:space="preserve"> 7938.1713 </t>
  </si>
  <si>
    <t xml:space="preserve"> 73.3733 </t>
  </si>
  <si>
    <t xml:space="preserve">F:\Données chgh\2020-CHG-CZA-Saccharin-1\plaque 1/@02 EE2 34/B2_02.tif </t>
  </si>
  <si>
    <t xml:space="preserve"> 8392.3991 </t>
  </si>
  <si>
    <t xml:space="preserve"> 74.8093 </t>
  </si>
  <si>
    <t xml:space="preserve">F:\Données chgh\2020-CHG-CZA-Saccharin-1\plaque 1/@02 EE2 34/B2_03.tif </t>
  </si>
  <si>
    <t xml:space="preserve"> 8176.1002 </t>
  </si>
  <si>
    <t xml:space="preserve"> 71.9418 </t>
  </si>
  <si>
    <t xml:space="preserve">F:\Données chgh\2020-CHG-CZA-Saccharin-1\plaque 1/@02 EE2 34/C2_01.tif </t>
  </si>
  <si>
    <t xml:space="preserve"> 324.4484 </t>
  </si>
  <si>
    <t xml:space="preserve"> 64.2 </t>
  </si>
  <si>
    <t xml:space="preserve">F:\Données chgh\2020-CHG-CZA-Saccharin-1\plaque 1/@02 EE2 34/C2_02.tif </t>
  </si>
  <si>
    <t xml:space="preserve"> 2768.6265 </t>
  </si>
  <si>
    <t xml:space="preserve"> 64.1953 </t>
  </si>
  <si>
    <t xml:space="preserve">F:\Données chgh\2020-CHG-CZA-Saccharin-1\plaque 1/@02 EE2 34/C2_03.tif </t>
  </si>
  <si>
    <t xml:space="preserve"> 64.8919 </t>
  </si>
  <si>
    <t xml:space="preserve">F:\Données chgh\2020-CHG-CZA-Saccharin-1\plaque 1/@02 EE2 34/D2_01.tif </t>
  </si>
  <si>
    <t xml:space="preserve"> 62.6571 </t>
  </si>
  <si>
    <t xml:space="preserve">F:\Données chgh\2020-CHG-CZA-Saccharin-1\plaque 1/@02 EE2 34/D2_02.tif </t>
  </si>
  <si>
    <t xml:space="preserve"> 410.968 </t>
  </si>
  <si>
    <t xml:space="preserve"> 63.4737 </t>
  </si>
  <si>
    <t xml:space="preserve">F:\Données chgh\2020-CHG-CZA-Saccharin-1\plaque 1/@02 EE2 34/D2_03.tif </t>
  </si>
  <si>
    <t xml:space="preserve"> 194.6691 </t>
  </si>
  <si>
    <t xml:space="preserve"> 61.1111 </t>
  </si>
  <si>
    <t xml:space="preserve">F:\Données chgh\2020-CHG-CZA-Saccharin-1\plaque 1/@02 EE2 34/E2_01.tif </t>
  </si>
  <si>
    <t xml:space="preserve"> 865.1958 </t>
  </si>
  <si>
    <t xml:space="preserve"> 62.85 </t>
  </si>
  <si>
    <t xml:space="preserve">F:\Données chgh\2020-CHG-CZA-Saccharin-1\plaque 1/@02 EE2 34/E2_02.tif </t>
  </si>
  <si>
    <t xml:space="preserve"> 64.7368 </t>
  </si>
  <si>
    <t xml:space="preserve">F:\Données chgh\2020-CHG-CZA-Saccharin-1\plaque 1/@02 EE2 34/E2_03.tif </t>
  </si>
  <si>
    <t xml:space="preserve"> 2400.9183 </t>
  </si>
  <si>
    <t xml:space="preserve"> 64.2973 </t>
  </si>
  <si>
    <t xml:space="preserve">F:\Données chgh\2020-CHG-CZA-Saccharin-1\plaque 1/@02 EE2 34/F2_01.tif </t>
  </si>
  <si>
    <t xml:space="preserve"> 2379.2884 </t>
  </si>
  <si>
    <t xml:space="preserve"> 64.6818 </t>
  </si>
  <si>
    <t xml:space="preserve">F:\Données chgh\2020-CHG-CZA-Saccharin-1\plaque 1/@02 EE2 34/F2_02.tif </t>
  </si>
  <si>
    <t xml:space="preserve"> 62.8571 </t>
  </si>
  <si>
    <t xml:space="preserve">F:\Données chgh\2020-CHG-CZA-Saccharin-1\plaque 1/@02 EE2 34/F2_03.tif </t>
  </si>
  <si>
    <t xml:space="preserve"> 670.5267 </t>
  </si>
  <si>
    <t xml:space="preserve"> 62.7742 </t>
  </si>
  <si>
    <t xml:space="preserve">F:\Données chgh\2020-CHG-CZA-Saccharin-1\plaque 1/@02 EE2 34/G2_01.tif </t>
  </si>
  <si>
    <t xml:space="preserve"> 540.7474 </t>
  </si>
  <si>
    <t xml:space="preserve"> 62.4 </t>
  </si>
  <si>
    <t xml:space="preserve">F:\Données chgh\2020-CHG-CZA-Saccharin-1\plaque 1/@02 EE2 34/G2_02.tif </t>
  </si>
  <si>
    <t xml:space="preserve"> 63.0645 </t>
  </si>
  <si>
    <t xml:space="preserve">F:\Données chgh\2020-CHG-CZA-Saccharin-1\plaque 1/@02 EE2 34/G2_03.tif </t>
  </si>
  <si>
    <t xml:space="preserve"> 1168.0143 </t>
  </si>
  <si>
    <t xml:space="preserve"> 63.6852 </t>
  </si>
  <si>
    <t xml:space="preserve">F:\Données chgh\2020-CHG-CZA-Saccharin-1\plaque 1/@02 EE2 34/H2_01.tif </t>
  </si>
  <si>
    <t xml:space="preserve"> 8933.1465 </t>
  </si>
  <si>
    <t xml:space="preserve"> 69.0557 </t>
  </si>
  <si>
    <t xml:space="preserve">F:\Données chgh\2020-CHG-CZA-Saccharin-1\plaque 1/@02 EE2 34/H2_02.tif </t>
  </si>
  <si>
    <t xml:space="preserve"> 1903.4307 </t>
  </si>
  <si>
    <t xml:space="preserve"> 64.5341 </t>
  </si>
  <si>
    <t xml:space="preserve">F:\Données chgh\2020-CHG-CZA-Saccharin-1\plaque 1/@02 EE2 34/H2_03.tif </t>
  </si>
  <si>
    <t xml:space="preserve"> 5926.5911 </t>
  </si>
  <si>
    <t xml:space="preserve"> 65.8139 </t>
  </si>
  <si>
    <t xml:space="preserve">F:\Données chgh\2020-CHG-CZA-Saccharin-1\plaque 1/@02 EE2 34/ </t>
  </si>
  <si>
    <t xml:space="preserve"> 65.4593 </t>
  </si>
  <si>
    <t xml:space="preserve"> 3.618 </t>
  </si>
  <si>
    <t xml:space="preserve"> 202378.375 </t>
  </si>
  <si>
    <t xml:space="preserve"> 219247.335 </t>
  </si>
  <si>
    <t xml:space="preserve">F:\Données chgh\2020-CHG-CZA-Saccharin-1\plaque 1/@03 EE2 51/A3_01.tif </t>
  </si>
  <si>
    <t xml:space="preserve"> 627.2669 </t>
  </si>
  <si>
    <t xml:space="preserve"> 66.4828 </t>
  </si>
  <si>
    <t xml:space="preserve">F:\Données chgh\2020-CHG-CZA-Saccharin-1\plaque 1/@03 EE2 51/A3_02.tif </t>
  </si>
  <si>
    <t xml:space="preserve"> 3331.0038 </t>
  </si>
  <si>
    <t xml:space="preserve"> 68.7857 </t>
  </si>
  <si>
    <t xml:space="preserve">F:\Données chgh\2020-CHG-CZA-Saccharin-1\plaque 1/@03 EE2 51/A3_03.tif </t>
  </si>
  <si>
    <t xml:space="preserve"> 65.4211 </t>
  </si>
  <si>
    <t xml:space="preserve">F:\Données chgh\2020-CHG-CZA-Saccharin-1\plaque 1/@03 EE2 51/B3_01.tif </t>
  </si>
  <si>
    <t xml:space="preserve"> 908.4556 </t>
  </si>
  <si>
    <t xml:space="preserve"> 63.2619 </t>
  </si>
  <si>
    <t xml:space="preserve">F:\Données chgh\2020-CHG-CZA-Saccharin-1\plaque 1/@03 EE2 51/B3_02.tif </t>
  </si>
  <si>
    <t xml:space="preserve"> 63.3103 </t>
  </si>
  <si>
    <t>F:\Données chgh\2020-CHG-CZA-Saccharin-1\plaque 1/@03 EE2 51/B3_03- exclu.tif</t>
  </si>
  <si>
    <t xml:space="preserve">F:\Données chgh\2020-CHG-CZA-Saccharin-1\plaque 1/@03 EE2 51/C3_01.tif </t>
  </si>
  <si>
    <t xml:space="preserve"> 62.5806 </t>
  </si>
  <si>
    <t xml:space="preserve">F:\Données chgh\2020-CHG-CZA-Saccharin-1\plaque 1/@03 EE2 51/C3_02.tif </t>
  </si>
  <si>
    <t xml:space="preserve"> 584.0072 </t>
  </si>
  <si>
    <t xml:space="preserve"> 63.5185 </t>
  </si>
  <si>
    <t xml:space="preserve">F:\Données chgh\2020-CHG-CZA-Saccharin-1\plaque 1/@03 EE2 51/C3_03.tif </t>
  </si>
  <si>
    <t xml:space="preserve"> 2227.8791 </t>
  </si>
  <si>
    <t xml:space="preserve"> 64.7282 </t>
  </si>
  <si>
    <t xml:space="preserve">F:\Données chgh\2020-CHG-CZA-Saccharin-1\plaque 1/@03 EE2 51/D3_01.tif </t>
  </si>
  <si>
    <t xml:space="preserve"> 1860.1709 </t>
  </si>
  <si>
    <t xml:space="preserve"> 64.9767 </t>
  </si>
  <si>
    <t xml:space="preserve">F:\Données chgh\2020-CHG-CZA-Saccharin-1\plaque 1/@03 EE2 51/D3_02.tif </t>
  </si>
  <si>
    <t xml:space="preserve"> 1795.2813 </t>
  </si>
  <si>
    <t xml:space="preserve"> 64.8675 </t>
  </si>
  <si>
    <t xml:space="preserve">F:\Données chgh\2020-CHG-CZA-Saccharin-1\plaque 1/@03 EE2 51/D3_03.tif </t>
  </si>
  <si>
    <t xml:space="preserve"> 62.6667 </t>
  </si>
  <si>
    <t xml:space="preserve">F:\Données chgh\2020-CHG-CZA-Saccharin-1\plaque 1/@03 EE2 51/E3_01.tif </t>
  </si>
  <si>
    <t xml:space="preserve"> 1254.5339 </t>
  </si>
  <si>
    <t xml:space="preserve"> 62.8103 </t>
  </si>
  <si>
    <t xml:space="preserve">F:\Données chgh\2020-CHG-CZA-Saccharin-1\plaque 1/@03 EE2 51/E3_02.tif </t>
  </si>
  <si>
    <t xml:space="preserve"> 800.3061 </t>
  </si>
  <si>
    <t xml:space="preserve"> 64.4054 </t>
  </si>
  <si>
    <t>F:\Données chgh\2020-CHG-CZA-Saccharin-1\plaque 1/@03 EE2 51/E3_03- exclu.tif</t>
  </si>
  <si>
    <t xml:space="preserve">F:\Données chgh\2020-CHG-CZA-Saccharin-1\plaque 1/@03 EE2 51/F3_01.tif </t>
  </si>
  <si>
    <t xml:space="preserve"> 2465.808 </t>
  </si>
  <si>
    <t xml:space="preserve"> 65.2895 </t>
  </si>
  <si>
    <t xml:space="preserve">F:\Données chgh\2020-CHG-CZA-Saccharin-1\plaque 1/@03 EE2 51/F3_02.tif </t>
  </si>
  <si>
    <t xml:space="preserve"> 6835.0467 </t>
  </si>
  <si>
    <t xml:space="preserve"> 74.4715 </t>
  </si>
  <si>
    <t xml:space="preserve">F:\Données chgh\2020-CHG-CZA-Saccharin-1\plaque 1/@03 EE2 51/F3_03.tif </t>
  </si>
  <si>
    <t xml:space="preserve"> 3590.5625 </t>
  </si>
  <si>
    <t xml:space="preserve"> 65.2711 </t>
  </si>
  <si>
    <t xml:space="preserve">F:\Données chgh\2020-CHG-CZA-Saccharin-1\plaque 1/@03 EE2 51/G3_01.tif </t>
  </si>
  <si>
    <t xml:space="preserve"> 432.5979 </t>
  </si>
  <si>
    <t xml:space="preserve"> 62.6 </t>
  </si>
  <si>
    <t xml:space="preserve">F:\Données chgh\2020-CHG-CZA-Saccharin-1\plaque 1/@03 EE2 51/G3_02.tif </t>
  </si>
  <si>
    <t xml:space="preserve"> 5558.8829 </t>
  </si>
  <si>
    <t xml:space="preserve"> 66.9377 </t>
  </si>
  <si>
    <t xml:space="preserve">F:\Données chgh\2020-CHG-CZA-Saccharin-1\plaque 1/@03 EE2 51/G3_03.tif </t>
  </si>
  <si>
    <t xml:space="preserve"> 2638.8471 </t>
  </si>
  <si>
    <t xml:space="preserve"> 64.9262 </t>
  </si>
  <si>
    <t>F:\Données chgh\2020-CHG-CZA-Saccharin-1\plaque 1/@03 EE2 51/H3_01- exclu.tif</t>
  </si>
  <si>
    <t>F:\Données chgh\2020-CHG-CZA-Saccharin-1\plaque 1/@03 EE2 51/H3_02- exclu.tif</t>
  </si>
  <si>
    <t xml:space="preserve">F:\Données chgh\2020-CHG-CZA-Saccharin-1\plaque 1/@03 EE2 51/H3_03.tif </t>
  </si>
  <si>
    <t xml:space="preserve"> 8716.8475 </t>
  </si>
  <si>
    <t xml:space="preserve"> 75.5658 </t>
  </si>
  <si>
    <t xml:space="preserve">F:\Données chgh\2020-CHG-CZA-Saccharin-1\plaque 1/@03 EE2 51/ </t>
  </si>
  <si>
    <t xml:space="preserve"> 67.104 </t>
  </si>
  <si>
    <t xml:space="preserve"> 6.5097 </t>
  </si>
  <si>
    <t xml:space="preserve"> 231137.042 </t>
  </si>
  <si>
    <t xml:space="preserve"> 336704.102 </t>
  </si>
  <si>
    <t xml:space="preserve">F:\Données chgh\2020-CHG-CZA-Saccharin-1\plaque 1/@04 EE2 76/A4_01.tif </t>
  </si>
  <si>
    <t xml:space="preserve"> 5126.285 </t>
  </si>
  <si>
    <t xml:space="preserve"> 64.8059 </t>
  </si>
  <si>
    <t xml:space="preserve">F:\Données chgh\2020-CHG-CZA-Saccharin-1\plaque 1/@04 EE2 76/A4_02.tif </t>
  </si>
  <si>
    <t xml:space="preserve"> 8911.5166 </t>
  </si>
  <si>
    <t xml:space="preserve"> 68.2743 </t>
  </si>
  <si>
    <t>F:\Données chgh\2020-CHG-CZA-Saccharin-1\plaque 1/@04 EE2 76/A4_03- exclu.tif</t>
  </si>
  <si>
    <t xml:space="preserve">F:\Données chgh\2020-CHG-CZA-Saccharin-1\plaque 1/@04 EE2 76/B4_01.tif </t>
  </si>
  <si>
    <t xml:space="preserve"> 20851.2184 </t>
  </si>
  <si>
    <t xml:space="preserve"> 66.0052 </t>
  </si>
  <si>
    <t xml:space="preserve">F:\Données chgh\2020-CHG-CZA-Saccharin-1\plaque 1/@04 EE2 76/B4_02.tif </t>
  </si>
  <si>
    <t xml:space="preserve"> 66.4355 </t>
  </si>
  <si>
    <t xml:space="preserve">F:\Données chgh\2020-CHG-CZA-Saccharin-1\plaque 1/@04 EE2 76/B4_03.tif </t>
  </si>
  <si>
    <t xml:space="preserve"> 19769.7237 </t>
  </si>
  <si>
    <t xml:space="preserve"> 66.3282 </t>
  </si>
  <si>
    <t xml:space="preserve">F:\Données chgh\2020-CHG-CZA-Saccharin-1\plaque 1/@04 EE2 76/C4_01.tif </t>
  </si>
  <si>
    <t xml:space="preserve"> 1189.6442 </t>
  </si>
  <si>
    <t xml:space="preserve"> 63.4182 </t>
  </si>
  <si>
    <t xml:space="preserve">F:\Données chgh\2020-CHG-CZA-Saccharin-1\plaque 1/@04 EE2 76/C4_02.tif </t>
  </si>
  <si>
    <t xml:space="preserve"> 2271.1389 </t>
  </si>
  <si>
    <t xml:space="preserve"> 64.6381 </t>
  </si>
  <si>
    <t xml:space="preserve">F:\Données chgh\2020-CHG-CZA-Saccharin-1\plaque 1/@04 EE2 76/C4_03.tif </t>
  </si>
  <si>
    <t xml:space="preserve"> 1492.4627 </t>
  </si>
  <si>
    <t xml:space="preserve"> 63.7971 </t>
  </si>
  <si>
    <t xml:space="preserve">F:\Données chgh\2020-CHG-CZA-Saccharin-1\plaque 1/@04 EE2 76/D4_01.tif </t>
  </si>
  <si>
    <t xml:space="preserve"> 6986.456 </t>
  </si>
  <si>
    <t xml:space="preserve"> 67.6563 </t>
  </si>
  <si>
    <t xml:space="preserve">F:\Données chgh\2020-CHG-CZA-Saccharin-1\plaque 1/@04 EE2 76/D4_02.tif </t>
  </si>
  <si>
    <t xml:space="preserve"> 6099.6303 </t>
  </si>
  <si>
    <t xml:space="preserve"> 72.3191 </t>
  </si>
  <si>
    <t xml:space="preserve">F:\Données chgh\2020-CHG-CZA-Saccharin-1\plaque 1/@04 EE2 76/D4_03.tif </t>
  </si>
  <si>
    <t xml:space="preserve"> 6856.6766 </t>
  </si>
  <si>
    <t xml:space="preserve"> 73.0631 </t>
  </si>
  <si>
    <t xml:space="preserve">F:\Données chgh\2020-CHG-CZA-Saccharin-1\plaque 1/@04 EE2 76/E4_01.tif </t>
  </si>
  <si>
    <t xml:space="preserve"> 4520.648 </t>
  </si>
  <si>
    <t xml:space="preserve"> 63.8182 </t>
  </si>
  <si>
    <t xml:space="preserve">F:\Données chgh\2020-CHG-CZA-Saccharin-1\plaque 1/@04 EE2 76/E4_02.tif </t>
  </si>
  <si>
    <t xml:space="preserve"> 5147.9149 </t>
  </si>
  <si>
    <t xml:space="preserve"> 67.2227 </t>
  </si>
  <si>
    <t xml:space="preserve">F:\Données chgh\2020-CHG-CZA-Saccharin-1\plaque 1/@04 EE2 76/E4_03.tif </t>
  </si>
  <si>
    <t xml:space="preserve"> 2790.2564 </t>
  </si>
  <si>
    <t xml:space="preserve"> 64.3178 </t>
  </si>
  <si>
    <t xml:space="preserve">F:\Données chgh\2020-CHG-CZA-Saccharin-1\plaque 1/@04 EE2 76/F4_01.tif </t>
  </si>
  <si>
    <t xml:space="preserve"> 3655.4522 </t>
  </si>
  <si>
    <t xml:space="preserve"> 63.2604 </t>
  </si>
  <si>
    <t xml:space="preserve">F:\Données chgh\2020-CHG-CZA-Saccharin-1\plaque 1/@04 EE2 76/F4_02.tif </t>
  </si>
  <si>
    <t xml:space="preserve"> 7094.6054 </t>
  </si>
  <si>
    <t xml:space="preserve"> 67.2835 </t>
  </si>
  <si>
    <t xml:space="preserve">F:\Données chgh\2020-CHG-CZA-Saccharin-1\plaque 1/@04 EE2 76/F4_03.tif </t>
  </si>
  <si>
    <t xml:space="preserve"> 63.9234 </t>
  </si>
  <si>
    <t xml:space="preserve">F:\Données chgh\2020-CHG-CZA-Saccharin-1\plaque 1/@04 EE2 76/G4_01.tif </t>
  </si>
  <si>
    <t xml:space="preserve"> 5537.253 </t>
  </si>
  <si>
    <t xml:space="preserve"> 64.3008 </t>
  </si>
  <si>
    <t xml:space="preserve">F:\Données chgh\2020-CHG-CZA-Saccharin-1\plaque 1/@04 EE2 76/G4_02.tif </t>
  </si>
  <si>
    <t xml:space="preserve"> 4909.9861 </t>
  </si>
  <si>
    <t xml:space="preserve"> 64.6696 </t>
  </si>
  <si>
    <t xml:space="preserve">F:\Données chgh\2020-CHG-CZA-Saccharin-1\plaque 1/@04 EE2 76/G4_03.tif </t>
  </si>
  <si>
    <t xml:space="preserve"> 2941.6657 </t>
  </si>
  <si>
    <t xml:space="preserve"> 64.8897 </t>
  </si>
  <si>
    <t xml:space="preserve">F:\Données chgh\2020-CHG-CZA-Saccharin-1\plaque 1/@04 EE2 76/H4_01.tif </t>
  </si>
  <si>
    <t xml:space="preserve"> 8132.8404 </t>
  </si>
  <si>
    <t xml:space="preserve"> 73.2314 </t>
  </si>
  <si>
    <t xml:space="preserve">F:\Données chgh\2020-CHG-CZA-Saccharin-1\plaque 1/@04 EE2 76/H4_02.tif </t>
  </si>
  <si>
    <t xml:space="preserve"> 6597.1179 </t>
  </si>
  <si>
    <t xml:space="preserve"> 68.141 </t>
  </si>
  <si>
    <t xml:space="preserve">F:\Données chgh\2020-CHG-CZA-Saccharin-1\plaque 1/@04 EE2 76/H4_03.tif </t>
  </si>
  <si>
    <t xml:space="preserve"> 8738.4774 </t>
  </si>
  <si>
    <t xml:space="preserve"> 72.4604 </t>
  </si>
  <si>
    <t xml:space="preserve">F:\Données chgh\2020-CHG-CZA-Saccharin-1\plaque 1/@04 EE2 76/ </t>
  </si>
  <si>
    <t xml:space="preserve"> 67.3508 </t>
  </si>
  <si>
    <t xml:space="preserve"> 4.4587 </t>
  </si>
  <si>
    <t xml:space="preserve"> 511273.125 </t>
  </si>
  <si>
    <t xml:space="preserve"> 398758.699 </t>
  </si>
  <si>
    <t xml:space="preserve">F:\Données chgh\2020-CHG-CZA-Saccharin-1\plaque 1/@05 EE2 114/A5_01.tif </t>
  </si>
  <si>
    <t xml:space="preserve"> 11485.474 </t>
  </si>
  <si>
    <t xml:space="preserve"> 65.467 </t>
  </si>
  <si>
    <t xml:space="preserve">F:\Données chgh\2020-CHG-CZA-Saccharin-1\plaque 1/@05 EE2 114/A5_02.tif </t>
  </si>
  <si>
    <t xml:space="preserve"> 2920.0358 </t>
  </si>
  <si>
    <t xml:space="preserve"> 62.8815 </t>
  </si>
  <si>
    <t xml:space="preserve">F:\Données chgh\2020-CHG-CZA-Saccharin-1\plaque 1/@05 EE2 114/A5_03.tif </t>
  </si>
  <si>
    <t xml:space="preserve"> 3201.2244 </t>
  </si>
  <si>
    <t xml:space="preserve"> 63.4595 </t>
  </si>
  <si>
    <t xml:space="preserve">F:\Données chgh\2020-CHG-CZA-Saccharin-1\plaque 1/@05 EE2 114/B5_01.tif </t>
  </si>
  <si>
    <t xml:space="preserve"> 64.8691 </t>
  </si>
  <si>
    <t xml:space="preserve">F:\Données chgh\2020-CHG-CZA-Saccharin-1\plaque 1/@05 EE2 114/B5_02.tif </t>
  </si>
  <si>
    <t xml:space="preserve"> 7159.4951 </t>
  </si>
  <si>
    <t xml:space="preserve"> 64.3233 </t>
  </si>
  <si>
    <t xml:space="preserve">F:\Données chgh\2020-CHG-CZA-Saccharin-1\plaque 1/@05 EE2 114/B5_03.tif </t>
  </si>
  <si>
    <t xml:space="preserve"> 5450.7334 </t>
  </si>
  <si>
    <t xml:space="preserve"> 64.7738 </t>
  </si>
  <si>
    <t xml:space="preserve">F:\Données chgh\2020-CHG-CZA-Saccharin-1\plaque 1/@05 EE2 114/C5_01.tif </t>
  </si>
  <si>
    <t xml:space="preserve"> 1276.1638 </t>
  </si>
  <si>
    <t xml:space="preserve"> 64.339 </t>
  </si>
  <si>
    <t xml:space="preserve">F:\Données chgh\2020-CHG-CZA-Saccharin-1\plaque 1/@05 EE2 114/C5_02.tif </t>
  </si>
  <si>
    <t xml:space="preserve"> 1752.0215 </t>
  </si>
  <si>
    <t xml:space="preserve"> 63.8025 </t>
  </si>
  <si>
    <t xml:space="preserve">F:\Données chgh\2020-CHG-CZA-Saccharin-1\plaque 1/@05 EE2 114/C5_03.tif </t>
  </si>
  <si>
    <t xml:space="preserve"> 1341.0535 </t>
  </si>
  <si>
    <t xml:space="preserve"> 63.0806 </t>
  </si>
  <si>
    <t xml:space="preserve">F:\Données chgh\2020-CHG-CZA-Saccharin-1\plaque 1/@05 EE2 114/D5_01.tif </t>
  </si>
  <si>
    <t xml:space="preserve"> 5515.6231 </t>
  </si>
  <si>
    <t xml:space="preserve"> 65.1569 </t>
  </si>
  <si>
    <t xml:space="preserve">F:\Données chgh\2020-CHG-CZA-Saccharin-1\plaque 1/@05 EE2 114/D5_02.tif </t>
  </si>
  <si>
    <t xml:space="preserve"> 7375.7941 </t>
  </si>
  <si>
    <t xml:space="preserve"> 64.261 </t>
  </si>
  <si>
    <t xml:space="preserve">F:\Données chgh\2020-CHG-CZA-Saccharin-1\plaque 1/@05 EE2 114/D5_03.tif </t>
  </si>
  <si>
    <t xml:space="preserve"> 8478.9187 </t>
  </si>
  <si>
    <t xml:space="preserve"> 65.2653 </t>
  </si>
  <si>
    <t xml:space="preserve">F:\Données chgh\2020-CHG-CZA-Saccharin-1\plaque 1/@05 EE2 114/E5_01.tif </t>
  </si>
  <si>
    <t xml:space="preserve"> 17282.2858 </t>
  </si>
  <si>
    <t xml:space="preserve"> 64.577 </t>
  </si>
  <si>
    <t xml:space="preserve">F:\Données chgh\2020-CHG-CZA-Saccharin-1\plaque 1/@05 EE2 114/E5_02.tif </t>
  </si>
  <si>
    <t xml:space="preserve"> 21543.3751 </t>
  </si>
  <si>
    <t xml:space="preserve"> 70.8755 </t>
  </si>
  <si>
    <t xml:space="preserve">F:\Données chgh\2020-CHG-CZA-Saccharin-1\plaque 1/@05 EE2 114/E5_03.tif </t>
  </si>
  <si>
    <t xml:space="preserve"> 6467.3385 </t>
  </si>
  <si>
    <t xml:space="preserve"> 63.8829 </t>
  </si>
  <si>
    <t>F:\Données chgh\2020-CHG-CZA-Saccharin-1\plaque 1/@05 EE2 114/F5_01- exclu.tif</t>
  </si>
  <si>
    <t xml:space="preserve">F:\Données chgh\2020-CHG-CZA-Saccharin-1\plaque 1/@05 EE2 114/F5_02.tif </t>
  </si>
  <si>
    <t xml:space="preserve"> 63.7432 </t>
  </si>
  <si>
    <t xml:space="preserve">F:\Données chgh\2020-CHG-CZA-Saccharin-1\plaque 1/@05 EE2 114/F5_03.tif </t>
  </si>
  <si>
    <t xml:space="preserve"> 2184.6194 </t>
  </si>
  <si>
    <t xml:space="preserve"> 66.0198 </t>
  </si>
  <si>
    <t xml:space="preserve">F:\Données chgh\2020-CHG-CZA-Saccharin-1\plaque 1/@05 EE2 114/G5_01.tif </t>
  </si>
  <si>
    <t xml:space="preserve"> 50484.1741 </t>
  </si>
  <si>
    <t xml:space="preserve"> 89.3209 </t>
  </si>
  <si>
    <t>F:\Données chgh\2020-CHG-CZA-Saccharin-1\plaque 1/@05 EE2 114/G5_02- exclu.tif</t>
  </si>
  <si>
    <t xml:space="preserve">F:\Données chgh\2020-CHG-CZA-Saccharin-1\plaque 1/@05 EE2 114/G5_03.tif </t>
  </si>
  <si>
    <t xml:space="preserve"> 57968.1176 </t>
  </si>
  <si>
    <t xml:space="preserve"> 82.5019 </t>
  </si>
  <si>
    <t xml:space="preserve">F:\Données chgh\2020-CHG-CZA-Saccharin-1\plaque 1/@05 EE2 114/H5_01.tif </t>
  </si>
  <si>
    <t xml:space="preserve"> 25112.3077 </t>
  </si>
  <si>
    <t xml:space="preserve"> 68.2283 </t>
  </si>
  <si>
    <t xml:space="preserve">F:\Données chgh\2020-CHG-CZA-Saccharin-1\plaque 1/@05 EE2 114/H5_02.tif </t>
  </si>
  <si>
    <t xml:space="preserve"> 27296.927 </t>
  </si>
  <si>
    <t xml:space="preserve"> 67.5436 </t>
  </si>
  <si>
    <t xml:space="preserve">F:\Données chgh\2020-CHG-CZA-Saccharin-1\plaque 1/@05 EE2 114/H5_03.tif </t>
  </si>
  <si>
    <t xml:space="preserve"> 28486.5712 </t>
  </si>
  <si>
    <t xml:space="preserve"> 67.3979 </t>
  </si>
  <si>
    <t xml:space="preserve">F:\Données chgh\2020-CHG-CZA-Saccharin-1\plaque 1/@05 EE2 114/ </t>
  </si>
  <si>
    <t xml:space="preserve"> 67.4227 </t>
  </si>
  <si>
    <t xml:space="preserve"> 6.8111 </t>
  </si>
  <si>
    <t xml:space="preserve"> 1050662.25 </t>
  </si>
  <si>
    <t xml:space="preserve"> 1364284.06 </t>
  </si>
  <si>
    <t xml:space="preserve">F:\Données chgh\2020-CHG-CZA-Saccharin-1\plaque 1/@06 EE2 171/A6_01.tif </t>
  </si>
  <si>
    <t xml:space="preserve"> 40577.6823 </t>
  </si>
  <si>
    <t xml:space="preserve"> 74.2793 </t>
  </si>
  <si>
    <t xml:space="preserve">F:\Données chgh\2020-CHG-CZA-Saccharin-1\plaque 1/@06 EE2 171/A6_02.tif </t>
  </si>
  <si>
    <t xml:space="preserve"> 38263.2836 </t>
  </si>
  <si>
    <t xml:space="preserve"> 73.8836 </t>
  </si>
  <si>
    <t xml:space="preserve">F:\Données chgh\2020-CHG-CZA-Saccharin-1\plaque 1/@06 EE2 171/A6_03.tif </t>
  </si>
  <si>
    <t xml:space="preserve"> 36186.8137 </t>
  </si>
  <si>
    <t xml:space="preserve"> 73.2403 </t>
  </si>
  <si>
    <t xml:space="preserve">F:\Données chgh\2020-CHG-CZA-Saccharin-1\plaque 1/@06 EE2 171/B6_01.tif </t>
  </si>
  <si>
    <t xml:space="preserve"> 39214.999 </t>
  </si>
  <si>
    <t xml:space="preserve"> 75.1859 </t>
  </si>
  <si>
    <t xml:space="preserve">F:\Données chgh\2020-CHG-CZA-Saccharin-1\plaque 1/@06 EE2 171/B6_02.tif </t>
  </si>
  <si>
    <t xml:space="preserve"> 39085.2196 </t>
  </si>
  <si>
    <t xml:space="preserve"> 79.8035 </t>
  </si>
  <si>
    <t xml:space="preserve">F:\Données chgh\2020-CHG-CZA-Saccharin-1\plaque 1/@06 EE2 171/B6_03.tif </t>
  </si>
  <si>
    <t xml:space="preserve"> 38457.9527 </t>
  </si>
  <si>
    <t xml:space="preserve"> 75.0191 </t>
  </si>
  <si>
    <t xml:space="preserve">F:\Données chgh\2020-CHG-CZA-Saccharin-1\plaque 1/@06 EE2 171/C6_01.tif </t>
  </si>
  <si>
    <t xml:space="preserve"> 48148.1454 </t>
  </si>
  <si>
    <t xml:space="preserve"> 73.0395 </t>
  </si>
  <si>
    <t xml:space="preserve">F:\Données chgh\2020-CHG-CZA-Saccharin-1\plaque 1/@06 EE2 171/C6_02.tif </t>
  </si>
  <si>
    <t xml:space="preserve"> 28811.0196 </t>
  </si>
  <si>
    <t xml:space="preserve"> 69.6419 </t>
  </si>
  <si>
    <t xml:space="preserve">F:\Données chgh\2020-CHG-CZA-Saccharin-1\plaque 1/@06 EE2 171/C6_03.tif </t>
  </si>
  <si>
    <t xml:space="preserve"> 32834.18 </t>
  </si>
  <si>
    <t xml:space="preserve"> 70.1877 </t>
  </si>
  <si>
    <t xml:space="preserve">F:\Données chgh\2020-CHG-CZA-Saccharin-1\plaque 1/@06 EE2 171/D6_01.tif </t>
  </si>
  <si>
    <t xml:space="preserve"> 35927.255 </t>
  </si>
  <si>
    <t xml:space="preserve"> 77.0939 </t>
  </si>
  <si>
    <t xml:space="preserve">F:\Données chgh\2020-CHG-CZA-Saccharin-1\plaque 1/@06 EE2 171/D6_02.tif </t>
  </si>
  <si>
    <t xml:space="preserve"> 39755.7463 </t>
  </si>
  <si>
    <t xml:space="preserve"> 73.9924 </t>
  </si>
  <si>
    <t xml:space="preserve">F:\Données chgh\2020-CHG-CZA-Saccharin-1\plaque 1/@06 EE2 171/D6_03.tif </t>
  </si>
  <si>
    <t xml:space="preserve"> 40750.7215 </t>
  </si>
  <si>
    <t xml:space="preserve"> 76.9618 </t>
  </si>
  <si>
    <t xml:space="preserve">F:\Données chgh\2020-CHG-CZA-Saccharin-1\plaque 1/@06 EE2 171/E6_01.tif </t>
  </si>
  <si>
    <t xml:space="preserve"> 31298.4575 </t>
  </si>
  <si>
    <t xml:space="preserve"> 69.8196 </t>
  </si>
  <si>
    <t xml:space="preserve">F:\Données chgh\2020-CHG-CZA-Saccharin-1\plaque 1/@06 EE2 171/E6_02.tif </t>
  </si>
  <si>
    <t xml:space="preserve"> 47131.5404 </t>
  </si>
  <si>
    <t xml:space="preserve"> 79.7972 </t>
  </si>
  <si>
    <t xml:space="preserve">F:\Données chgh\2020-CHG-CZA-Saccharin-1\plaque 1/@06 EE2 171/E6_03.tif </t>
  </si>
  <si>
    <t xml:space="preserve"> 50311.1349 </t>
  </si>
  <si>
    <t xml:space="preserve"> 78.2163 </t>
  </si>
  <si>
    <t xml:space="preserve">F:\Données chgh\2020-CHG-CZA-Saccharin-1\plaque 1/@06 EE2 171/F6_01.tif </t>
  </si>
  <si>
    <t xml:space="preserve"> 17758.1435 </t>
  </si>
  <si>
    <t xml:space="preserve"> 71.0536 </t>
  </si>
  <si>
    <t xml:space="preserve">F:\Données chgh\2020-CHG-CZA-Saccharin-1\plaque 1/@06 EE2 171/F6_02.tif </t>
  </si>
  <si>
    <t xml:space="preserve"> 18515.1898 </t>
  </si>
  <si>
    <t xml:space="preserve"> 73.7103 </t>
  </si>
  <si>
    <t xml:space="preserve">F:\Données chgh\2020-CHG-CZA-Saccharin-1\plaque 1/@06 EE2 171/F6_03.tif </t>
  </si>
  <si>
    <t xml:space="preserve"> 19077.5671 </t>
  </si>
  <si>
    <t xml:space="preserve"> 72.8265 </t>
  </si>
  <si>
    <t xml:space="preserve">F:\Données chgh\2020-CHG-CZA-Saccharin-1\plaque 1/@06 EE2 171/G6_01.tif </t>
  </si>
  <si>
    <t xml:space="preserve"> 30800.97 </t>
  </si>
  <si>
    <t xml:space="preserve"> 70.1426 </t>
  </si>
  <si>
    <t xml:space="preserve">F:\Données chgh\2020-CHG-CZA-Saccharin-1\plaque 1/@06 EE2 171/G6_02.tif </t>
  </si>
  <si>
    <t xml:space="preserve"> 35537.9169 </t>
  </si>
  <si>
    <t xml:space="preserve"> 71.0596 </t>
  </si>
  <si>
    <t xml:space="preserve">F:\Données chgh\2020-CHG-CZA-Saccharin-1\plaque 1/@06 EE2 171/G6_03.tif </t>
  </si>
  <si>
    <t xml:space="preserve"> 22992.578 </t>
  </si>
  <si>
    <t xml:space="preserve"> 65.8777 </t>
  </si>
  <si>
    <t xml:space="preserve">F:\Données chgh\2020-CHG-CZA-Saccharin-1\plaque 1/@06 EE2 171/H6_01.tif </t>
  </si>
  <si>
    <t xml:space="preserve"> 5083.0252 </t>
  </si>
  <si>
    <t xml:space="preserve"> 63.7574 </t>
  </si>
  <si>
    <t xml:space="preserve">F:\Données chgh\2020-CHG-CZA-Saccharin-1\plaque 1/@06 EE2 171/H6_02.tif </t>
  </si>
  <si>
    <t xml:space="preserve"> 11009.6164 </t>
  </si>
  <si>
    <t xml:space="preserve"> 67.778 </t>
  </si>
  <si>
    <t xml:space="preserve">F:\Données chgh\2020-CHG-CZA-Saccharin-1\plaque 1/@06 EE2 171/H6_03.tif </t>
  </si>
  <si>
    <t xml:space="preserve"> 11225.9153 </t>
  </si>
  <si>
    <t xml:space="preserve"> 70.6243 </t>
  </si>
  <si>
    <t xml:space="preserve">F:\Données chgh\2020-CHG-CZA-Saccharin-1\plaque 1/@06 EE2 171/ </t>
  </si>
  <si>
    <t xml:space="preserve"> 72.7913 </t>
  </si>
  <si>
    <t xml:space="preserve"> 4.0542 </t>
  </si>
  <si>
    <t xml:space="preserve"> 2336678.46 </t>
  </si>
  <si>
    <t xml:space="preserve"> 980024.865 </t>
  </si>
  <si>
    <t xml:space="preserve">F:\Données chgh\2020-CHG-CZA-Saccharin-1\plaque 1/@07 EE2 488/A7_01.tif </t>
  </si>
  <si>
    <t xml:space="preserve"> 64435.4561 </t>
  </si>
  <si>
    <t xml:space="preserve"> 82.8295 </t>
  </si>
  <si>
    <t xml:space="preserve">F:\Données chgh\2020-CHG-CZA-Saccharin-1\plaque 1/@07 EE2 488/A7_02.tif </t>
  </si>
  <si>
    <t xml:space="preserve"> 44168.2448 </t>
  </si>
  <si>
    <t xml:space="preserve"> 87.1601 </t>
  </si>
  <si>
    <t xml:space="preserve">F:\Données chgh\2020-CHG-CZA-Saccharin-1\plaque 1/@07 EE2 488/A7_03.tif </t>
  </si>
  <si>
    <t xml:space="preserve"> 53382.5799 </t>
  </si>
  <si>
    <t xml:space="preserve"> 86.9992 </t>
  </si>
  <si>
    <t xml:space="preserve">F:\Données chgh\2020-CHG-CZA-Saccharin-1\plaque 1/@07 EE2 488/B7_01.tif </t>
  </si>
  <si>
    <t xml:space="preserve"> 31103.7885 </t>
  </si>
  <si>
    <t xml:space="preserve"> 106.0737 </t>
  </si>
  <si>
    <t xml:space="preserve">F:\Données chgh\2020-CHG-CZA-Saccharin-1\plaque 1/@07 EE2 488/B7_02.tif </t>
  </si>
  <si>
    <t xml:space="preserve"> 24722.9696 </t>
  </si>
  <si>
    <t xml:space="preserve"> 101.9624 </t>
  </si>
  <si>
    <t xml:space="preserve">F:\Données chgh\2020-CHG-CZA-Saccharin-1\plaque 1/@07 EE2 488/B7_03.tif </t>
  </si>
  <si>
    <t xml:space="preserve"> 33007.2192 </t>
  </si>
  <si>
    <t xml:space="preserve"> 98.9279 </t>
  </si>
  <si>
    <t xml:space="preserve">F:\Données chgh\2020-CHG-CZA-Saccharin-1\plaque 1/@07 EE2 488/C7_01.tif </t>
  </si>
  <si>
    <t xml:space="preserve"> 75877.6704 </t>
  </si>
  <si>
    <t xml:space="preserve"> 83.2298 </t>
  </si>
  <si>
    <t xml:space="preserve">F:\Données chgh\2020-CHG-CZA-Saccharin-1\plaque 1/@07 EE2 488/C7_02.tif </t>
  </si>
  <si>
    <t xml:space="preserve"> 69518.4813 </t>
  </si>
  <si>
    <t xml:space="preserve"> 82.3068 </t>
  </si>
  <si>
    <t xml:space="preserve">F:\Données chgh\2020-CHG-CZA-Saccharin-1\plaque 1/@07 EE2 488/C7_03.tif </t>
  </si>
  <si>
    <t xml:space="preserve"> 74709.656 </t>
  </si>
  <si>
    <t xml:space="preserve"> 81.8833 </t>
  </si>
  <si>
    <t xml:space="preserve">F:\Données chgh\2020-CHG-CZA-Saccharin-1\plaque 1/@07 EE2 488/D7_01.tif </t>
  </si>
  <si>
    <t xml:space="preserve"> 49013.3412 </t>
  </si>
  <si>
    <t xml:space="preserve"> 92.763 </t>
  </si>
  <si>
    <t xml:space="preserve">F:\Données chgh\2020-CHG-CZA-Saccharin-1\plaque 1/@07 EE2 488/D7_02.tif </t>
  </si>
  <si>
    <t xml:space="preserve"> 44103.3551 </t>
  </si>
  <si>
    <t xml:space="preserve"> 96.8882 </t>
  </si>
  <si>
    <t xml:space="preserve">F:\Données chgh\2020-CHG-CZA-Saccharin-1\plaque 1/@07 EE2 488/D7_03.tif </t>
  </si>
  <si>
    <t xml:space="preserve"> 43865.4263 </t>
  </si>
  <si>
    <t xml:space="preserve"> 93.8713 </t>
  </si>
  <si>
    <t xml:space="preserve">F:\Données chgh\2020-CHG-CZA-Saccharin-1\plaque 1/@07 EE2 488/E7_01.tif </t>
  </si>
  <si>
    <t xml:space="preserve"> 74385.2076 </t>
  </si>
  <si>
    <t xml:space="preserve"> 90.1704 </t>
  </si>
  <si>
    <t xml:space="preserve">F:\Données chgh\2020-CHG-CZA-Saccharin-1\plaque 1/@07 EE2 488/E7_02.tif </t>
  </si>
  <si>
    <t xml:space="preserve"> 68415.3567 </t>
  </si>
  <si>
    <t xml:space="preserve"> 99.6519 </t>
  </si>
  <si>
    <t xml:space="preserve">F:\Données chgh\2020-CHG-CZA-Saccharin-1\plaque 1/@07 EE2 488/E7_03.tif </t>
  </si>
  <si>
    <t xml:space="preserve"> 64024.4881 </t>
  </si>
  <si>
    <t xml:space="preserve"> 99.6436 </t>
  </si>
  <si>
    <t xml:space="preserve">F:\Données chgh\2020-CHG-CZA-Saccharin-1\plaque 1/@07 EE2 488/F7_01.tif </t>
  </si>
  <si>
    <t xml:space="preserve"> 33526.3367 </t>
  </si>
  <si>
    <t xml:space="preserve"> 82.9781 </t>
  </si>
  <si>
    <t xml:space="preserve">F:\Données chgh\2020-CHG-CZA-Saccharin-1\plaque 1/@07 EE2 488/F7_02.tif </t>
  </si>
  <si>
    <t xml:space="preserve"> 36727.5611 </t>
  </si>
  <si>
    <t xml:space="preserve"> 76.8333 </t>
  </si>
  <si>
    <t xml:space="preserve">F:\Données chgh\2020-CHG-CZA-Saccharin-1\plaque 1/@07 EE2 488/F7_03.tif </t>
  </si>
  <si>
    <t xml:space="preserve"> 32899.0697 </t>
  </si>
  <si>
    <t xml:space="preserve"> 91.092 </t>
  </si>
  <si>
    <t xml:space="preserve">F:\Données chgh\2020-CHG-CZA-Saccharin-1\plaque 1/@07 EE2 488/G7_01.tif </t>
  </si>
  <si>
    <t xml:space="preserve"> 56864.993 </t>
  </si>
  <si>
    <t xml:space="preserve"> 91.3465 </t>
  </si>
  <si>
    <t xml:space="preserve">F:\Données chgh\2020-CHG-CZA-Saccharin-1\plaque 1/@07 EE2 488/G7_02.tif </t>
  </si>
  <si>
    <t xml:space="preserve"> 50029.9463 </t>
  </si>
  <si>
    <t xml:space="preserve"> 97.2062 </t>
  </si>
  <si>
    <t xml:space="preserve">F:\Données chgh\2020-CHG-CZA-Saccharin-1\plaque 1/@07 EE2 488/G7_03.tif </t>
  </si>
  <si>
    <t xml:space="preserve"> 45033.4406 </t>
  </si>
  <si>
    <t xml:space="preserve"> 101.6297 </t>
  </si>
  <si>
    <t xml:space="preserve">F:\Données chgh\2020-CHG-CZA-Saccharin-1\plaque 1/@07 EE2 488/H7_01.tif </t>
  </si>
  <si>
    <t xml:space="preserve"> 39150.1093 </t>
  </si>
  <si>
    <t xml:space="preserve"> 98.3337 </t>
  </si>
  <si>
    <t xml:space="preserve">F:\Données chgh\2020-CHG-CZA-Saccharin-1\plaque 1/@07 EE2 488/H7_02.tif </t>
  </si>
  <si>
    <t xml:space="preserve"> 97.1736 </t>
  </si>
  <si>
    <t xml:space="preserve">F:\Données chgh\2020-CHG-CZA-Saccharin-1\plaque 1/@07 EE2 488/H7_03.tif </t>
  </si>
  <si>
    <t xml:space="preserve"> 43173.2697 </t>
  </si>
  <si>
    <t xml:space="preserve"> 90.981 </t>
  </si>
  <si>
    <t xml:space="preserve">F:\Données chgh\2020-CHG-CZA-Saccharin-1\plaque 1/@07 EE2 488/ </t>
  </si>
  <si>
    <t xml:space="preserve"> 92.164 </t>
  </si>
  <si>
    <t xml:space="preserve"> 7.7995 </t>
  </si>
  <si>
    <t xml:space="preserve"> 4536914.54 </t>
  </si>
  <si>
    <t xml:space="preserve"> 1303264.08 </t>
  </si>
  <si>
    <t xml:space="preserve">F:\Données chgh\2020-CHG-CZA-Saccharin-1\plaque 1/@08 Saccharin 0,01/A8_01.tif </t>
  </si>
  <si>
    <t xml:space="preserve">F:\Données chgh\2020-CHG-CZA-Saccharin-1\plaque 1/@08 Saccharin 0,01/A8_02.tif </t>
  </si>
  <si>
    <t xml:space="preserve"> 367.7082 </t>
  </si>
  <si>
    <t xml:space="preserve"> 65.2353 </t>
  </si>
  <si>
    <t>F:\Données chgh\2020-CHG-CZA-Saccharin-1\plaque 1/@08 Saccharin 0,01/A8_03- exclu.tif</t>
  </si>
  <si>
    <t>F:\Données chgh\2020-CHG-CZA-Saccharin-1\plaque 1/@08 Saccharin 0,01/B8_01- exclu.tif</t>
  </si>
  <si>
    <t xml:space="preserve">F:\Données chgh\2020-CHG-CZA-Saccharin-1\plaque 1/@08 Saccharin 0,01/B8_02.tif </t>
  </si>
  <si>
    <t xml:space="preserve"> 129.7794 </t>
  </si>
  <si>
    <t xml:space="preserve"> 63.8333 </t>
  </si>
  <si>
    <t xml:space="preserve">F:\Données chgh\2020-CHG-CZA-Saccharin-1\plaque 1/@08 Saccharin 0,01/B8_03.tif </t>
  </si>
  <si>
    <t xml:space="preserve"> 62.4444 </t>
  </si>
  <si>
    <t xml:space="preserve">F:\Données chgh\2020-CHG-CZA-Saccharin-1\plaque 1/@08 Saccharin 0,01/C8_01.tif </t>
  </si>
  <si>
    <t xml:space="preserve"> 63.8 </t>
  </si>
  <si>
    <t xml:space="preserve">F:\Données chgh\2020-CHG-CZA-Saccharin-1\plaque 1/@08 Saccharin 0,01/C8_02.tif </t>
  </si>
  <si>
    <t xml:space="preserve"> 64.85 </t>
  </si>
  <si>
    <t xml:space="preserve">F:\Données chgh\2020-CHG-CZA-Saccharin-1\plaque 1/@08 Saccharin 0,01/C8_03.tif </t>
  </si>
  <si>
    <t xml:space="preserve"> 519.1175 </t>
  </si>
  <si>
    <t xml:space="preserve"> 61.1667 </t>
  </si>
  <si>
    <t xml:space="preserve">F:\Données chgh\2020-CHG-CZA-Saccharin-1\plaque 1/@08 Saccharin 0,01/D8_01.tif </t>
  </si>
  <si>
    <t xml:space="preserve"> 2206.2493 </t>
  </si>
  <si>
    <t xml:space="preserve"> 66.1471 </t>
  </si>
  <si>
    <t xml:space="preserve">F:\Données chgh\2020-CHG-CZA-Saccharin-1\plaque 1/@08 Saccharin 0,01/D8_02.tif </t>
  </si>
  <si>
    <t xml:space="preserve"> 930.0855 </t>
  </si>
  <si>
    <t xml:space="preserve"> 67.5814 </t>
  </si>
  <si>
    <t xml:space="preserve">F:\Données chgh\2020-CHG-CZA-Saccharin-1\plaque 1/@08 Saccharin 0,01/D8_03.tif </t>
  </si>
  <si>
    <t xml:space="preserve"> 1384.3133 </t>
  </si>
  <si>
    <t xml:space="preserve"> 63.0781 </t>
  </si>
  <si>
    <t xml:space="preserve">F:\Données chgh\2020-CHG-CZA-Saccharin-1\plaque 1/@08 Saccharin 0,01/E8_01.tif </t>
  </si>
  <si>
    <t xml:space="preserve"> 151.4093 </t>
  </si>
  <si>
    <t xml:space="preserve">F:\Données chgh\2020-CHG-CZA-Saccharin-1\plaque 1/@08 Saccharin 0,01/E8_02.tif </t>
  </si>
  <si>
    <t xml:space="preserve"> 86.5196 </t>
  </si>
  <si>
    <t xml:space="preserve"> 63.25 </t>
  </si>
  <si>
    <t xml:space="preserve">F:\Données chgh\2020-CHG-CZA-Saccharin-1\plaque 1/@08 Saccharin 0,01/E8_03.tif </t>
  </si>
  <si>
    <t xml:space="preserve"> 173.0392 </t>
  </si>
  <si>
    <t xml:space="preserve"> 62.375 </t>
  </si>
  <si>
    <t xml:space="preserve">F:\Données chgh\2020-CHG-CZA-Saccharin-1\plaque 1/@08 Saccharin 0,01/F8_01.tif </t>
  </si>
  <si>
    <t xml:space="preserve"> 562.3773 </t>
  </si>
  <si>
    <t xml:space="preserve"> 64.1538 </t>
  </si>
  <si>
    <t xml:space="preserve">F:\Données chgh\2020-CHG-CZA-Saccharin-1\plaque 1/@08 Saccharin 0,01/F8_02.tif </t>
  </si>
  <si>
    <t xml:space="preserve"> 66.7857 </t>
  </si>
  <si>
    <t xml:space="preserve">F:\Données chgh\2020-CHG-CZA-Saccharin-1\plaque 1/@08 Saccharin 0,01/F8_03.tif </t>
  </si>
  <si>
    <t xml:space="preserve"> 237.9288 </t>
  </si>
  <si>
    <t xml:space="preserve"> 64.4545 </t>
  </si>
  <si>
    <t xml:space="preserve">F:\Données chgh\2020-CHG-CZA-Saccharin-1\plaque 1/@08 Saccharin 0,01/G8_01.tif </t>
  </si>
  <si>
    <t xml:space="preserve"> 62.5517 </t>
  </si>
  <si>
    <t xml:space="preserve">F:\Données chgh\2020-CHG-CZA-Saccharin-1\plaque 1/@08 Saccharin 0,01/G8_02.tif </t>
  </si>
  <si>
    <t xml:space="preserve"> 63.5333 </t>
  </si>
  <si>
    <t xml:space="preserve">F:\Données chgh\2020-CHG-CZA-Saccharin-1\plaque 1/@08 Saccharin 0,01/G8_03.tif </t>
  </si>
  <si>
    <t xml:space="preserve"> 62.8333 </t>
  </si>
  <si>
    <t xml:space="preserve">F:\Données chgh\2020-CHG-CZA-Saccharin-1\plaque 1/@08 Saccharin 0,01/H8_01.tif </t>
  </si>
  <si>
    <t xml:space="preserve"> 64.25 </t>
  </si>
  <si>
    <t xml:space="preserve">F:\Données chgh\2020-CHG-CZA-Saccharin-1\plaque 1/@08 Saccharin 0,01/H8_02.tif </t>
  </si>
  <si>
    <t xml:space="preserve"> 63.625 </t>
  </si>
  <si>
    <t xml:space="preserve">F:\Données chgh\2020-CHG-CZA-Saccharin-1\plaque 1/@08 Saccharin 0,01/H8_03.tif </t>
  </si>
  <si>
    <t xml:space="preserve"> 108.1495 </t>
  </si>
  <si>
    <t xml:space="preserve">F:\Données chgh\2020-CHG-CZA-Saccharin-1\plaque 1/@08 Saccharin 0,01/ </t>
  </si>
  <si>
    <t xml:space="preserve"> 63.8527 </t>
  </si>
  <si>
    <t xml:space="preserve"> 1.47 </t>
  </si>
  <si>
    <t xml:space="preserve"> 43031.8333 </t>
  </si>
  <si>
    <t xml:space="preserve"> 75208.1097 </t>
  </si>
  <si>
    <t xml:space="preserve">F:\Données chgh\2020-CHG-CZA-Saccharin-1\plaque 1/@09  Saccharin 0,1/A9_01.tif </t>
  </si>
  <si>
    <t xml:space="preserve"> 65.2295 </t>
  </si>
  <si>
    <t xml:space="preserve">F:\Données chgh\2020-CHG-CZA-Saccharin-1\plaque 1/@09  Saccharin 0,1/A9_02.tif </t>
  </si>
  <si>
    <t xml:space="preserve"> 2746.9966 </t>
  </si>
  <si>
    <t xml:space="preserve"> 66.4094 </t>
  </si>
  <si>
    <t xml:space="preserve">F:\Données chgh\2020-CHG-CZA-Saccharin-1\plaque 1/@09  Saccharin 0,1/A9_03.tif </t>
  </si>
  <si>
    <t xml:space="preserve"> 65.1667 </t>
  </si>
  <si>
    <t xml:space="preserve">F:\Données chgh\2020-CHG-CZA-Saccharin-1\plaque 1/@09  Saccharin 0,1/B9_01.tif </t>
  </si>
  <si>
    <t xml:space="preserve">F:\Données chgh\2020-CHG-CZA-Saccharin-1\plaque 1/@09  Saccharin 0,1/B9_02.tif </t>
  </si>
  <si>
    <t xml:space="preserve"> 63.125 </t>
  </si>
  <si>
    <t xml:space="preserve">F:\Données chgh\2020-CHG-CZA-Saccharin-1\plaque 1/@09  Saccharin 0,1/B9_03.tif </t>
  </si>
  <si>
    <t xml:space="preserve"> 64.1481 </t>
  </si>
  <si>
    <t xml:space="preserve">F:\Données chgh\2020-CHG-CZA-Saccharin-1\plaque 1/@09  Saccharin 0,1/C9_01.tif </t>
  </si>
  <si>
    <t xml:space="preserve"> 6532.2282 </t>
  </si>
  <si>
    <t xml:space="preserve"> 71.5927 </t>
  </si>
  <si>
    <t xml:space="preserve">F:\Données chgh\2020-CHG-CZA-Saccharin-1\plaque 1/@09  Saccharin 0,1/C9_02.tif </t>
  </si>
  <si>
    <t xml:space="preserve"> 7656.9827 </t>
  </si>
  <si>
    <t xml:space="preserve"> 70.3955 </t>
  </si>
  <si>
    <t xml:space="preserve">F:\Données chgh\2020-CHG-CZA-Saccharin-1\plaque 1/@09  Saccharin 0,1/C9_03.tif </t>
  </si>
  <si>
    <t xml:space="preserve"> 1535.7225 </t>
  </si>
  <si>
    <t xml:space="preserve"> 62.6479 </t>
  </si>
  <si>
    <t xml:space="preserve">F:\Données chgh\2020-CHG-CZA-Saccharin-1\plaque 1/@09  Saccharin 0,1/D9_01.tif </t>
  </si>
  <si>
    <t xml:space="preserve"> 63.5455 </t>
  </si>
  <si>
    <t xml:space="preserve">F:\Données chgh\2020-CHG-CZA-Saccharin-1\plaque 1/@09  Saccharin 0,1/D9_02.tif </t>
  </si>
  <si>
    <t xml:space="preserve"> 281.1886 </t>
  </si>
  <si>
    <t xml:space="preserve"> 64.6154 </t>
  </si>
  <si>
    <t xml:space="preserve">F:\Données chgh\2020-CHG-CZA-Saccharin-1\plaque 1/@09  Saccharin 0,1/D9_03.tif </t>
  </si>
  <si>
    <t xml:space="preserve"> 63.2222 </t>
  </si>
  <si>
    <t xml:space="preserve">F:\Données chgh\2020-CHG-CZA-Saccharin-1\plaque 1/@09  Saccharin 0,1/E9_01.tif </t>
  </si>
  <si>
    <t xml:space="preserve"> 62.5 </t>
  </si>
  <si>
    <t xml:space="preserve">F:\Données chgh\2020-CHG-CZA-Saccharin-1\plaque 1/@09  Saccharin 0,1/E9_02.tif </t>
  </si>
  <si>
    <t xml:space="preserve">F:\Données chgh\2020-CHG-CZA-Saccharin-1\plaque 1/@09  Saccharin 0,1/E9_03.tif </t>
  </si>
  <si>
    <t xml:space="preserve"> 63.6571 </t>
  </si>
  <si>
    <t xml:space="preserve">F:\Données chgh\2020-CHG-CZA-Saccharin-1\plaque 1/@09  Saccharin 0,1/F9_01.tif </t>
  </si>
  <si>
    <t xml:space="preserve">F:\Données chgh\2020-CHG-CZA-Saccharin-1\plaque 1/@09  Saccharin 0,1/F9_02.tif </t>
  </si>
  <si>
    <t xml:space="preserve">F:\Données chgh\2020-CHG-CZA-Saccharin-1\plaque 1/@09  Saccharin 0,1/F9_03.tif </t>
  </si>
  <si>
    <t xml:space="preserve">F:\Données chgh\2020-CHG-CZA-Saccharin-1\plaque 1/@09  Saccharin 0,1/G9_01.tif </t>
  </si>
  <si>
    <t xml:space="preserve"> 63.72 </t>
  </si>
  <si>
    <t xml:space="preserve">F:\Données chgh\2020-CHG-CZA-Saccharin-1\plaque 1/@09  Saccharin 0,1/G9_02.tif </t>
  </si>
  <si>
    <t xml:space="preserve"> 216.2989 </t>
  </si>
  <si>
    <t xml:space="preserve"> 64.8 </t>
  </si>
  <si>
    <t xml:space="preserve">F:\Données chgh\2020-CHG-CZA-Saccharin-1\plaque 1/@09  Saccharin 0,1/G9_03.tif </t>
  </si>
  <si>
    <t xml:space="preserve"> 62.5833 </t>
  </si>
  <si>
    <t xml:space="preserve">F:\Données chgh\2020-CHG-CZA-Saccharin-1\plaque 1/@09  Saccharin 0,1/H9_01.tif </t>
  </si>
  <si>
    <t xml:space="preserve"> 735.4164 </t>
  </si>
  <si>
    <t xml:space="preserve"> 65.4412 </t>
  </si>
  <si>
    <t xml:space="preserve">F:\Données chgh\2020-CHG-CZA-Saccharin-1\plaque 1/@09  Saccharin 0,1/H9_02.tif </t>
  </si>
  <si>
    <t xml:space="preserve"> 10317.4597 </t>
  </si>
  <si>
    <t xml:space="preserve"> 71.5241 </t>
  </si>
  <si>
    <t xml:space="preserve">F:\Données chgh\2020-CHG-CZA-Saccharin-1\plaque 1/@09  Saccharin 0,1/H9_03.tif </t>
  </si>
  <si>
    <t xml:space="preserve"> 10901.4669 </t>
  </si>
  <si>
    <t xml:space="preserve"> 76.4048 </t>
  </si>
  <si>
    <t xml:space="preserve">F:\Données chgh\2020-CHG-CZA-Saccharin-1\plaque 1/@09  Saccharin 0,1/ </t>
  </si>
  <si>
    <t xml:space="preserve"> 65.3241 </t>
  </si>
  <si>
    <t xml:space="preserve"> 3.573 </t>
  </si>
  <si>
    <t xml:space="preserve"> 142536.417 </t>
  </si>
  <si>
    <t xml:space="preserve"> 241825.658 </t>
  </si>
  <si>
    <t xml:space="preserve">F:\Données chgh\2020-CHG-CZA-Saccharin-1\plaque 1/@10  Saccharin 1/A10_01.tif </t>
  </si>
  <si>
    <t>F:\Données chgh\2020-CHG-CZA-Saccharin-1\plaque 1/@10  Saccharin 1/A10_02- exclu.tif</t>
  </si>
  <si>
    <t xml:space="preserve">F:\Données chgh\2020-CHG-CZA-Saccharin-1\plaque 1/@10  Saccharin 1/A10_03.tif </t>
  </si>
  <si>
    <t xml:space="preserve"> 63.5 </t>
  </si>
  <si>
    <t xml:space="preserve">F:\Données chgh\2020-CHG-CZA-Saccharin-1\plaque 1/@10  Saccharin 1/B10_01.tif </t>
  </si>
  <si>
    <t xml:space="preserve"> 1211.2741 </t>
  </si>
  <si>
    <t xml:space="preserve"> 64.4286 </t>
  </si>
  <si>
    <t xml:space="preserve">F:\Données chgh\2020-CHG-CZA-Saccharin-1\plaque 1/@10  Saccharin 1/B10_02.tif </t>
  </si>
  <si>
    <t xml:space="preserve"> 63.875 </t>
  </si>
  <si>
    <t xml:space="preserve">F:\Données chgh\2020-CHG-CZA-Saccharin-1\plaque 1/@10  Saccharin 1/B10_03.tif </t>
  </si>
  <si>
    <t xml:space="preserve"> 1708.7617 </t>
  </si>
  <si>
    <t xml:space="preserve"> 63.8354 </t>
  </si>
  <si>
    <t xml:space="preserve">F:\Données chgh\2020-CHG-CZA-Saccharin-1\plaque 1/@10  Saccharin 1/C10_01.tif </t>
  </si>
  <si>
    <t xml:space="preserve"> 63.4286 </t>
  </si>
  <si>
    <t xml:space="preserve">F:\Données chgh\2020-CHG-CZA-Saccharin-1\plaque 1/@10  Saccharin 1/C10_02.tif </t>
  </si>
  <si>
    <t xml:space="preserve"> 63.7368 </t>
  </si>
  <si>
    <t xml:space="preserve">F:\Données chgh\2020-CHG-CZA-Saccharin-1\plaque 1/@10  Saccharin 1/C10_03.tif </t>
  </si>
  <si>
    <t xml:space="preserve"> 64.7826 </t>
  </si>
  <si>
    <t xml:space="preserve">F:\Données chgh\2020-CHG-CZA-Saccharin-1\plaque 1/@10  Saccharin 1/D10_01.tif </t>
  </si>
  <si>
    <t xml:space="preserve"> 63.9375 </t>
  </si>
  <si>
    <t xml:space="preserve">F:\Données chgh\2020-CHG-CZA-Saccharin-1\plaque 1/@10  Saccharin 1/D10_02.tif </t>
  </si>
  <si>
    <t xml:space="preserve"> 64.0377 </t>
  </si>
  <si>
    <t xml:space="preserve">F:\Données chgh\2020-CHG-CZA-Saccharin-1\plaque 1/@10  Saccharin 1/D10_03.tif </t>
  </si>
  <si>
    <t xml:space="preserve"> 62.0811 </t>
  </si>
  <si>
    <t xml:space="preserve">F:\Données chgh\2020-CHG-CZA-Saccharin-1\plaque 1/@10  Saccharin 1/E10_01.tif </t>
  </si>
  <si>
    <t xml:space="preserve"> 62.8276 </t>
  </si>
  <si>
    <t xml:space="preserve">F:\Données chgh\2020-CHG-CZA-Saccharin-1\plaque 1/@10  Saccharin 1/E10_02.tif </t>
  </si>
  <si>
    <t xml:space="preserve"> 62.2105 </t>
  </si>
  <si>
    <t xml:space="preserve">F:\Données chgh\2020-CHG-CZA-Saccharin-1\plaque 1/@10  Saccharin 1/E10_03.tif </t>
  </si>
  <si>
    <t xml:space="preserve">F:\Données chgh\2020-CHG-CZA-Saccharin-1\plaque 1/@10  Saccharin 1/F10_01.tif </t>
  </si>
  <si>
    <t xml:space="preserve"> 6726.8972 </t>
  </si>
  <si>
    <t xml:space="preserve"> 71.418 </t>
  </si>
  <si>
    <t>F:\Données chgh\2020-CHG-CZA-Saccharin-1\plaque 1/@10  Saccharin 1/F10_02- exclu.tif</t>
  </si>
  <si>
    <t xml:space="preserve">F:\Données chgh\2020-CHG-CZA-Saccharin-1\plaque 1/@10  Saccharin 1/F10_03.tif </t>
  </si>
  <si>
    <t xml:space="preserve"> 64.2333 </t>
  </si>
  <si>
    <t xml:space="preserve">F:\Données chgh\2020-CHG-CZA-Saccharin-1\plaque 1/@10  Saccharin 1/G10_01.tif </t>
  </si>
  <si>
    <t xml:space="preserve"> 4866.7263 </t>
  </si>
  <si>
    <t xml:space="preserve"> 64.8844 </t>
  </si>
  <si>
    <t xml:space="preserve">F:\Données chgh\2020-CHG-CZA-Saccharin-1\plaque 1/@10  Saccharin 1/G10_02.tif </t>
  </si>
  <si>
    <t xml:space="preserve"> 62.5882 </t>
  </si>
  <si>
    <t xml:space="preserve">F:\Données chgh\2020-CHG-CZA-Saccharin-1\plaque 1/@10  Saccharin 1/G10_03.tif </t>
  </si>
  <si>
    <t xml:space="preserve"> 61.4444 </t>
  </si>
  <si>
    <t xml:space="preserve">F:\Données chgh\2020-CHG-CZA-Saccharin-1\plaque 1/@10  Saccharin 1/H10_01.tif </t>
  </si>
  <si>
    <t xml:space="preserve"> 65.4783 </t>
  </si>
  <si>
    <t xml:space="preserve">F:\Données chgh\2020-CHG-CZA-Saccharin-1\plaque 1/@10  Saccharin 1/H10_02.tif </t>
  </si>
  <si>
    <t xml:space="preserve"> 1643.872 </t>
  </si>
  <si>
    <t xml:space="preserve"> 67.0921 </t>
  </si>
  <si>
    <t xml:space="preserve">F:\Données chgh\2020-CHG-CZA-Saccharin-1\plaque 1/@10  Saccharin 1/H10_03.tif </t>
  </si>
  <si>
    <t xml:space="preserve"> 65.7308 </t>
  </si>
  <si>
    <t xml:space="preserve">F:\Données chgh\2020-CHG-CZA-Saccharin-1\plaque 1/@10  Saccharin 1/ </t>
  </si>
  <si>
    <t xml:space="preserve"> 65.4602 </t>
  </si>
  <si>
    <t xml:space="preserve"> 6.1955 </t>
  </si>
  <si>
    <t xml:space="preserve"> 121782.75 </t>
  </si>
  <si>
    <t xml:space="preserve"> 236377.229 </t>
  </si>
  <si>
    <t xml:space="preserve">F:\Données chgh\2020-CHG-CZA-Saccharin-1\plaque 1/@11  Saccharin 10/A11_01.tif </t>
  </si>
  <si>
    <t xml:space="preserve"> 64.6667 </t>
  </si>
  <si>
    <t xml:space="preserve">F:\Données chgh\2020-CHG-CZA-Saccharin-1\plaque 1/@11  Saccharin 10/A11_02.tif </t>
  </si>
  <si>
    <t xml:space="preserve"> 346.0783 </t>
  </si>
  <si>
    <t xml:space="preserve"> 62.6875 </t>
  </si>
  <si>
    <t xml:space="preserve">F:\Données chgh\2020-CHG-CZA-Saccharin-1\plaque 1/@11  Saccharin 10/A11_03.tif </t>
  </si>
  <si>
    <t>F:\Données chgh\2020-CHG-CZA-Saccharin-1\plaque 1/@11  Saccharin 10/B11_01- exclu.tif</t>
  </si>
  <si>
    <t xml:space="preserve">F:\Données chgh\2020-CHG-CZA-Saccharin-1\plaque 1/@11  Saccharin 10/B11_02.tif </t>
  </si>
  <si>
    <t xml:space="preserve"> 302.8185 </t>
  </si>
  <si>
    <t xml:space="preserve"> 62.2143 </t>
  </si>
  <si>
    <t xml:space="preserve">F:\Données chgh\2020-CHG-CZA-Saccharin-1\plaque 1/@11  Saccharin 10/B11_03.tif </t>
  </si>
  <si>
    <t xml:space="preserve"> 63.0952 </t>
  </si>
  <si>
    <t xml:space="preserve">F:\Données chgh\2020-CHG-CZA-Saccharin-1\plaque 1/@11  Saccharin 10/C11_01.tif </t>
  </si>
  <si>
    <t xml:space="preserve"> 62.2381 </t>
  </si>
  <si>
    <t xml:space="preserve">F:\Données chgh\2020-CHG-CZA-Saccharin-1\plaque 1/@11  Saccharin 10/C11_02.tif </t>
  </si>
  <si>
    <t xml:space="preserve"> 6424.0787 </t>
  </si>
  <si>
    <t xml:space="preserve"> 72.5286 </t>
  </si>
  <si>
    <t xml:space="preserve">F:\Données chgh\2020-CHG-CZA-Saccharin-1\plaque 1/@11  Saccharin 10/C11_03.tif </t>
  </si>
  <si>
    <t xml:space="preserve"> 6359.189 </t>
  </si>
  <si>
    <t xml:space="preserve"> 66.4864 </t>
  </si>
  <si>
    <t xml:space="preserve">F:\Données chgh\2020-CHG-CZA-Saccharin-1\plaque 1/@11  Saccharin 10/D11_01.tif </t>
  </si>
  <si>
    <t xml:space="preserve"> 72.3256 </t>
  </si>
  <si>
    <t xml:space="preserve">F:\Données chgh\2020-CHG-CZA-Saccharin-1\plaque 1/@11  Saccharin 10/D11_02.tif </t>
  </si>
  <si>
    <t xml:space="preserve"> 7916.5414 </t>
  </si>
  <si>
    <t xml:space="preserve"> 69.4481 </t>
  </si>
  <si>
    <t>F:\Données chgh\2020-CHG-CZA-Saccharin-1\plaque 1/@11  Saccharin 10/D11_03- exclu.tif</t>
  </si>
  <si>
    <t xml:space="preserve">F:\Données chgh\2020-CHG-CZA-Saccharin-1\plaque 1/@11  Saccharin 10/E11_01.tif </t>
  </si>
  <si>
    <t xml:space="preserve"> 1514.0926 </t>
  </si>
  <si>
    <t xml:space="preserve"> 62.7286 </t>
  </si>
  <si>
    <t xml:space="preserve">F:\Données chgh\2020-CHG-CZA-Saccharin-1\plaque 1/@11  Saccharin 10/E11_02.tif </t>
  </si>
  <si>
    <t xml:space="preserve"> 63.3077 </t>
  </si>
  <si>
    <t xml:space="preserve">F:\Données chgh\2020-CHG-CZA-Saccharin-1\plaque 1/@11  Saccharin 10/E11_03.tif </t>
  </si>
  <si>
    <t xml:space="preserve"> 713.7865 </t>
  </si>
  <si>
    <t xml:space="preserve"> 63.9697 </t>
  </si>
  <si>
    <t xml:space="preserve">F:\Données chgh\2020-CHG-CZA-Saccharin-1\plaque 1/@11  Saccharin 10/F11_01.tif </t>
  </si>
  <si>
    <t xml:space="preserve"> 6705.2673 </t>
  </si>
  <si>
    <t xml:space="preserve"> 75.7032 </t>
  </si>
  <si>
    <t xml:space="preserve">F:\Données chgh\2020-CHG-CZA-Saccharin-1\plaque 1/@11  Saccharin 10/F11_02.tif </t>
  </si>
  <si>
    <t xml:space="preserve"> 7310.9044 </t>
  </si>
  <si>
    <t xml:space="preserve">F:\Données chgh\2020-CHG-CZA-Saccharin-1\plaque 1/@11  Saccharin 10/F11_03.tif </t>
  </si>
  <si>
    <t xml:space="preserve"> 1470.8328 </t>
  </si>
  <si>
    <t xml:space="preserve"> 63.6324 </t>
  </si>
  <si>
    <t xml:space="preserve">F:\Données chgh\2020-CHG-CZA-Saccharin-1\plaque 1/@11  Saccharin 10/G11_01.tif </t>
  </si>
  <si>
    <t xml:space="preserve"> 65.9014 </t>
  </si>
  <si>
    <t xml:space="preserve">F:\Données chgh\2020-CHG-CZA-Saccharin-1\plaque 1/@11  Saccharin 10/G11_02.tif </t>
  </si>
  <si>
    <t xml:space="preserve"> 1816.9111 </t>
  </si>
  <si>
    <t xml:space="preserve"> 65.119 </t>
  </si>
  <si>
    <t xml:space="preserve">F:\Données chgh\2020-CHG-CZA-Saccharin-1\plaque 1/@11  Saccharin 10/G11_03.tif </t>
  </si>
  <si>
    <t xml:space="preserve"> 62.5294 </t>
  </si>
  <si>
    <t xml:space="preserve">F:\Données chgh\2020-CHG-CZA-Saccharin-1\plaque 1/@11  Saccharin 10/H11_01.tif </t>
  </si>
  <si>
    <t xml:space="preserve"> 1925.0606 </t>
  </si>
  <si>
    <t xml:space="preserve"> 64.2697 </t>
  </si>
  <si>
    <t xml:space="preserve">F:\Données chgh\2020-CHG-CZA-Saccharin-1\plaque 1/@11  Saccharin 10/H11_02.tif </t>
  </si>
  <si>
    <t xml:space="preserve"> 1103.1246 </t>
  </si>
  <si>
    <t xml:space="preserve"> 64.0784 </t>
  </si>
  <si>
    <t xml:space="preserve">F:\Données chgh\2020-CHG-CZA-Saccharin-1\plaque 1/@11  Saccharin 10/H11_03.tif </t>
  </si>
  <si>
    <t xml:space="preserve"> 63.2241 </t>
  </si>
  <si>
    <t xml:space="preserve">F:\Données chgh\2020-CHG-CZA-Saccharin-1\plaque 1/@11  Saccharin 10/ </t>
  </si>
  <si>
    <t xml:space="preserve"> 65.488 </t>
  </si>
  <si>
    <t xml:space="preserve"> 3.8895 </t>
  </si>
  <si>
    <t xml:space="preserve"> 183274.667 </t>
  </si>
  <si>
    <t xml:space="preserve"> 226899.081 </t>
  </si>
  <si>
    <t>F:\Données chgh\2020-CHG-CZA-Saccharin-1\plaque 1/@12  Saccharin 100/A12_01- exclu.tif</t>
  </si>
  <si>
    <t xml:space="preserve">F:\Données chgh\2020-CHG-CZA-Saccharin-1\plaque 1/@12  Saccharin 100/A12_02.tif </t>
  </si>
  <si>
    <t xml:space="preserve"> 71.9779 </t>
  </si>
  <si>
    <t>F:\Données chgh\2020-CHG-CZA-Saccharin-1\plaque 1/@12  Saccharin 100/A12_03- exclu.tif</t>
  </si>
  <si>
    <t xml:space="preserve">F:\Données chgh\2020-CHG-CZA-Saccharin-1\plaque 1/@12  Saccharin 100/B12_01.tif </t>
  </si>
  <si>
    <t xml:space="preserve"> 2444.1781 </t>
  </si>
  <si>
    <t xml:space="preserve"> 64.7345 </t>
  </si>
  <si>
    <t xml:space="preserve">F:\Données chgh\2020-CHG-CZA-Saccharin-1\plaque 1/@12  Saccharin 100/B12_02.tif </t>
  </si>
  <si>
    <t xml:space="preserve"> 64.3636 </t>
  </si>
  <si>
    <t xml:space="preserve">F:\Données chgh\2020-CHG-CZA-Saccharin-1\plaque 1/@12  Saccharin 100/B12_03.tif </t>
  </si>
  <si>
    <t xml:space="preserve"> 63.7238 </t>
  </si>
  <si>
    <t xml:space="preserve">F:\Données chgh\2020-CHG-CZA-Saccharin-1\plaque 1/@12  Saccharin 100/C12_01.tif </t>
  </si>
  <si>
    <t xml:space="preserve">F:\Données chgh\2020-CHG-CZA-Saccharin-1\plaque 1/@12  Saccharin 100/C12_02.tif </t>
  </si>
  <si>
    <t xml:space="preserve">F:\Données chgh\2020-CHG-CZA-Saccharin-1\plaque 1/@12  Saccharin 100/C12_03.tif </t>
  </si>
  <si>
    <t xml:space="preserve">F:\Données chgh\2020-CHG-CZA-Saccharin-1\plaque 1/@12  Saccharin 100/D12_01.tif </t>
  </si>
  <si>
    <t xml:space="preserve"> 67.7778 </t>
  </si>
  <si>
    <t>F:\Données chgh\2020-CHG-CZA-Saccharin-1\plaque 1/@12  Saccharin 100/D12_02- exclu.tif</t>
  </si>
  <si>
    <t xml:space="preserve">F:\Données chgh\2020-CHG-CZA-Saccharin-1\plaque 1/@12  Saccharin 100/D12_03.tif </t>
  </si>
  <si>
    <t xml:space="preserve"> 63.4429 </t>
  </si>
  <si>
    <t>F:\Données chgh\2020-CHG-CZA-Saccharin-1\plaque 1/@12  Saccharin 100/E12_01- exclu.tif</t>
  </si>
  <si>
    <t>F:\Données chgh\2020-CHG-CZA-Saccharin-1\plaque 1/@12  Saccharin 100/E12_02- exclu.tif</t>
  </si>
  <si>
    <t>F:\Données chgh\2020-CHG-CZA-Saccharin-1\plaque 1/@12  Saccharin 100/E12_03- exclu.tif</t>
  </si>
  <si>
    <t xml:space="preserve">F:\Données chgh\2020-CHG-CZA-Saccharin-1\plaque 1/@12  Saccharin 100/F12_01.tif </t>
  </si>
  <si>
    <t xml:space="preserve"> 3028.1852 </t>
  </si>
  <si>
    <t xml:space="preserve"> 65.7857 </t>
  </si>
  <si>
    <t xml:space="preserve">F:\Données chgh\2020-CHG-CZA-Saccharin-1\plaque 1/@12  Saccharin 100/F12_02.tif </t>
  </si>
  <si>
    <t xml:space="preserve"> 63.9481 </t>
  </si>
  <si>
    <t xml:space="preserve">F:\Données chgh\2020-CHG-CZA-Saccharin-1\plaque 1/@12  Saccharin 100/F12_03.tif </t>
  </si>
  <si>
    <t xml:space="preserve"> 65.8814 </t>
  </si>
  <si>
    <t xml:space="preserve">F:\Données chgh\2020-CHG-CZA-Saccharin-1\plaque 1/@12  Saccharin 100/G12_01.tif </t>
  </si>
  <si>
    <t xml:space="preserve"> 62.2 </t>
  </si>
  <si>
    <t xml:space="preserve">F:\Données chgh\2020-CHG-CZA-Saccharin-1\plaque 1/@12  Saccharin 100/G12_02.tif </t>
  </si>
  <si>
    <t xml:space="preserve"> 63.7857 </t>
  </si>
  <si>
    <t xml:space="preserve">F:\Données chgh\2020-CHG-CZA-Saccharin-1\plaque 1/@12  Saccharin 100/G12_03.tif </t>
  </si>
  <si>
    <t xml:space="preserve"> 64.8571 </t>
  </si>
  <si>
    <t xml:space="preserve">F:\Données chgh\2020-CHG-CZA-Saccharin-1\plaque 1/@12  Saccharin 100/H12_01.tif </t>
  </si>
  <si>
    <t xml:space="preserve">F:\Données chgh\2020-CHG-CZA-Saccharin-1\plaque 1/@12  Saccharin 100/H12_02.tif </t>
  </si>
  <si>
    <t xml:space="preserve"> 65.3378 </t>
  </si>
  <si>
    <t xml:space="preserve">F:\Données chgh\2020-CHG-CZA-Saccharin-1\plaque 1/@12  Saccharin 100/H12_03.tif </t>
  </si>
  <si>
    <t xml:space="preserve">F:\Données chgh\2020-CHG-CZA-Saccharin-1\plaque 1/@12  Saccharin 100/ </t>
  </si>
  <si>
    <t xml:space="preserve"> 66.0188 </t>
  </si>
  <si>
    <t xml:space="preserve"> 5.1591 </t>
  </si>
  <si>
    <t xml:space="preserve"> 159143.667 </t>
  </si>
  <si>
    <t xml:space="preserve"> 293598.114 </t>
  </si>
  <si>
    <t xml:space="preserve">F:\Données chgh\2020-CHG-CZA-Saccharin-1\plaque 2/@13 Testo 30/A1_01.tif </t>
  </si>
  <si>
    <t xml:space="preserve"> 41226.5792 </t>
  </si>
  <si>
    <t xml:space="preserve"> 75.2786 </t>
  </si>
  <si>
    <t xml:space="preserve">F:\Données chgh\2020-CHG-CZA-Saccharin-1\plaque 2/@13 Testo 30/A1_02.tif </t>
  </si>
  <si>
    <t xml:space="preserve"> 29221.9876 </t>
  </si>
  <si>
    <t xml:space="preserve"> 73.3694 </t>
  </si>
  <si>
    <t xml:space="preserve">F:\Données chgh\2020-CHG-CZA-Saccharin-1\plaque 2/@13 Testo 30/A1_03.tif </t>
  </si>
  <si>
    <t xml:space="preserve"> 40642.572 </t>
  </si>
  <si>
    <t xml:space="preserve"> 75.546 </t>
  </si>
  <si>
    <t xml:space="preserve">F:\Données chgh\2020-CHG-CZA-Saccharin-1\plaque 2/@13 Testo 30/B1_01.tif </t>
  </si>
  <si>
    <t xml:space="preserve"> 29524.8062 </t>
  </si>
  <si>
    <t xml:space="preserve"> 71.893 </t>
  </si>
  <si>
    <t xml:space="preserve">F:\Données chgh\2020-CHG-CZA-Saccharin-1\plaque 2/@13 Testo 30/B1_02.tif </t>
  </si>
  <si>
    <t xml:space="preserve"> 24831.119 </t>
  </si>
  <si>
    <t xml:space="preserve"> 73.331 </t>
  </si>
  <si>
    <t xml:space="preserve">F:\Données chgh\2020-CHG-CZA-Saccharin-1\plaque 2/@13 Testo 30/B1_03.tif </t>
  </si>
  <si>
    <t xml:space="preserve"> 23446.8058 </t>
  </si>
  <si>
    <t xml:space="preserve"> 72.572 </t>
  </si>
  <si>
    <t xml:space="preserve">F:\Données chgh\2020-CHG-CZA-Saccharin-1\plaque 2/@13 Testo 30/C1_01.tif </t>
  </si>
  <si>
    <t xml:space="preserve"> 41918.7358 </t>
  </si>
  <si>
    <t xml:space="preserve"> 74.0315 </t>
  </si>
  <si>
    <t xml:space="preserve">F:\Données chgh\2020-CHG-CZA-Saccharin-1\plaque 2/@13 Testo 30/C1_02.tif </t>
  </si>
  <si>
    <t xml:space="preserve"> 33396.5573 </t>
  </si>
  <si>
    <t xml:space="preserve"> 72.5123 </t>
  </si>
  <si>
    <t xml:space="preserve">F:\Données chgh\2020-CHG-CZA-Saccharin-1\plaque 2/@13 Testo 30/C1_03.tif </t>
  </si>
  <si>
    <t xml:space="preserve"> 71.9303 </t>
  </si>
  <si>
    <t>F:\Données chgh\2020-CHG-CZA-Saccharin-1\plaque 2/@13 Testo 30/D1_01- exclu.tif</t>
  </si>
  <si>
    <t xml:space="preserve">F:\Données chgh\2020-CHG-CZA-Saccharin-1\plaque 2/@13 Testo 30/D1_02.tif </t>
  </si>
  <si>
    <t xml:space="preserve"> 66.297 </t>
  </si>
  <si>
    <t xml:space="preserve">F:\Données chgh\2020-CHG-CZA-Saccharin-1\plaque 2/@13 Testo 30/D1_03.tif </t>
  </si>
  <si>
    <t xml:space="preserve"> 13713.3532 </t>
  </si>
  <si>
    <t xml:space="preserve"> 66.3549 </t>
  </si>
  <si>
    <t xml:space="preserve">F:\Données chgh\2020-CHG-CZA-Saccharin-1\plaque 2/@13 Testo 30/E1_01.tif </t>
  </si>
  <si>
    <t xml:space="preserve"> 41551.0276 </t>
  </si>
  <si>
    <t xml:space="preserve"> 69.5898 </t>
  </si>
  <si>
    <t xml:space="preserve">F:\Données chgh\2020-CHG-CZA-Saccharin-1\plaque 2/@13 Testo 30/E1_02.tif </t>
  </si>
  <si>
    <t xml:space="preserve"> 30714.4504 </t>
  </si>
  <si>
    <t xml:space="preserve"> 69.2296 </t>
  </si>
  <si>
    <t>F:\Données chgh\2020-CHG-CZA-Saccharin-1\plaque 2/@13 Testo 30/E1_03- exclu.tif</t>
  </si>
  <si>
    <t xml:space="preserve">F:\Données chgh\2020-CHG-CZA-Saccharin-1\plaque 2/@13 Testo 30/F1_01.tif </t>
  </si>
  <si>
    <t xml:space="preserve"> 20678.1793 </t>
  </si>
  <si>
    <t xml:space="preserve"> 68.0941 </t>
  </si>
  <si>
    <t xml:space="preserve">F:\Données chgh\2020-CHG-CZA-Saccharin-1\plaque 2/@13 Testo 30/F1_02.tif </t>
  </si>
  <si>
    <t xml:space="preserve"> 14902.9974 </t>
  </si>
  <si>
    <t xml:space="preserve"> 67.5617 </t>
  </si>
  <si>
    <t xml:space="preserve">F:\Données chgh\2020-CHG-CZA-Saccharin-1\plaque 2/@13 Testo 30/F1_03.tif </t>
  </si>
  <si>
    <t xml:space="preserve"> 17368.8054 </t>
  </si>
  <si>
    <t xml:space="preserve"> 68.1669 </t>
  </si>
  <si>
    <t xml:space="preserve">F:\Données chgh\2020-CHG-CZA-Saccharin-1\plaque 2/@13 Testo 30/G1_01.tif </t>
  </si>
  <si>
    <t xml:space="preserve"> 31601.2761 </t>
  </si>
  <si>
    <t xml:space="preserve"> 78.1075 </t>
  </si>
  <si>
    <t xml:space="preserve">F:\Données chgh\2020-CHG-CZA-Saccharin-1\plaque 2/@13 Testo 30/G1_02.tif </t>
  </si>
  <si>
    <t xml:space="preserve"> 34196.8634 </t>
  </si>
  <si>
    <t xml:space="preserve"> 75.7356 </t>
  </si>
  <si>
    <t xml:space="preserve">F:\Données chgh\2020-CHG-CZA-Saccharin-1\plaque 2/@13 Testo 30/G1_03.tif </t>
  </si>
  <si>
    <t xml:space="preserve"> 29113.8382 </t>
  </si>
  <si>
    <t xml:space="preserve"> 74.5639 </t>
  </si>
  <si>
    <t xml:space="preserve">F:\Données chgh\2020-CHG-CZA-Saccharin-1\plaque 2/@13 Testo 30/H1_01.tif </t>
  </si>
  <si>
    <t xml:space="preserve"> 27145.5178 </t>
  </si>
  <si>
    <t xml:space="preserve"> 68.6773 </t>
  </si>
  <si>
    <t xml:space="preserve">F:\Données chgh\2020-CHG-CZA-Saccharin-1\plaque 2/@13 Testo 30/H1_02.tif </t>
  </si>
  <si>
    <t xml:space="preserve"> 69.6681 </t>
  </si>
  <si>
    <t xml:space="preserve">F:\Données chgh\2020-CHG-CZA-Saccharin-1\plaque 2/@13 Testo 30/H1_03.tif </t>
  </si>
  <si>
    <t xml:space="preserve"> 21651.5245 </t>
  </si>
  <si>
    <t xml:space="preserve"> 67.4346 </t>
  </si>
  <si>
    <t xml:space="preserve">F:\Données chgh\2020-CHG-CZA-Saccharin-1\plaque 2/@13 Testo 30/ </t>
  </si>
  <si>
    <t xml:space="preserve"> 70.7924 </t>
  </si>
  <si>
    <t xml:space="preserve"> 3.8024 </t>
  </si>
  <si>
    <t xml:space="preserve"> 1914825.12 </t>
  </si>
  <si>
    <t xml:space="preserve"> 827450.699 </t>
  </si>
  <si>
    <t>F:\Données chgh\2020-CHG-CZA-Saccharin-1\plaque 2/@14 Testo 30/A2_01- exclu.tif</t>
  </si>
  <si>
    <t xml:space="preserve">F:\Données chgh\2020-CHG-CZA-Saccharin-1\plaque 2/@14 Testo 30/A2_02.tif </t>
  </si>
  <si>
    <t xml:space="preserve"> 6748.5271 </t>
  </si>
  <si>
    <t xml:space="preserve"> 65.2436 </t>
  </si>
  <si>
    <t xml:space="preserve">F:\Données chgh\2020-CHG-CZA-Saccharin-1\plaque 2/@14 Testo 30/A2_03.tif </t>
  </si>
  <si>
    <t xml:space="preserve"> 5904.9612 </t>
  </si>
  <si>
    <t xml:space="preserve"> 66.6081 </t>
  </si>
  <si>
    <t xml:space="preserve">F:\Données chgh\2020-CHG-CZA-Saccharin-1\plaque 2/@14 Testo 30/B2_01.tif </t>
  </si>
  <si>
    <t xml:space="preserve"> 28205.3826 </t>
  </si>
  <si>
    <t xml:space="preserve"> 76.135 </t>
  </si>
  <si>
    <t xml:space="preserve">F:\Données chgh\2020-CHG-CZA-Saccharin-1\plaque 2/@14 Testo 30/B2_02.tif </t>
  </si>
  <si>
    <t xml:space="preserve"> 31644.5358 </t>
  </si>
  <si>
    <t xml:space="preserve"> 76.6227 </t>
  </si>
  <si>
    <t xml:space="preserve">F:\Données chgh\2020-CHG-CZA-Saccharin-1\plaque 2/@14 Testo 30/B2_03.tif </t>
  </si>
  <si>
    <t xml:space="preserve"> 28746.13 </t>
  </si>
  <si>
    <t xml:space="preserve"> 74.3454 </t>
  </si>
  <si>
    <t xml:space="preserve">F:\Données chgh\2020-CHG-CZA-Saccharin-1\plaque 2/@14 Testo 30/C2_01.tif </t>
  </si>
  <si>
    <t xml:space="preserve"> 46374.4941 </t>
  </si>
  <si>
    <t xml:space="preserve"> 73.9021 </t>
  </si>
  <si>
    <t xml:space="preserve">F:\Données chgh\2020-CHG-CZA-Saccharin-1\plaque 2/@14 Testo 30/C2_02.tif </t>
  </si>
  <si>
    <t xml:space="preserve"> 42740.6718 </t>
  </si>
  <si>
    <t xml:space="preserve"> 74.3406 </t>
  </si>
  <si>
    <t xml:space="preserve">F:\Données chgh\2020-CHG-CZA-Saccharin-1\plaque 2/@14 Testo 30/C2_03.tif </t>
  </si>
  <si>
    <t xml:space="preserve"> 44622.4726 </t>
  </si>
  <si>
    <t xml:space="preserve"> 72.509 </t>
  </si>
  <si>
    <t>F:\Données chgh\2020-CHG-CZA-Saccharin-1\plaque 2/@14 Testo 30/D2_01- exclu.tif</t>
  </si>
  <si>
    <t xml:space="preserve">F:\Données chgh\2020-CHG-CZA-Saccharin-1\plaque 2/@14 Testo 30/D2_02.tif </t>
  </si>
  <si>
    <t xml:space="preserve"> 31363.3472 </t>
  </si>
  <si>
    <t xml:space="preserve"> 71.6979 </t>
  </si>
  <si>
    <t xml:space="preserve">F:\Données chgh\2020-CHG-CZA-Saccharin-1\plaque 2/@14 Testo 30/D2_03.tif </t>
  </si>
  <si>
    <t xml:space="preserve"> 29178.7279 </t>
  </si>
  <si>
    <t xml:space="preserve"> 70.785 </t>
  </si>
  <si>
    <t xml:space="preserve">F:\Données chgh\2020-CHG-CZA-Saccharin-1\plaque 2/@14 Testo 30/E2_01.tif </t>
  </si>
  <si>
    <t xml:space="preserve"> 34694.351 </t>
  </si>
  <si>
    <t xml:space="preserve"> 75.6172 </t>
  </si>
  <si>
    <t xml:space="preserve">F:\Données chgh\2020-CHG-CZA-Saccharin-1\plaque 2/@14 Testo 30/E2_02.tif </t>
  </si>
  <si>
    <t xml:space="preserve"> 27448.3363 </t>
  </si>
  <si>
    <t xml:space="preserve"> 67.643 </t>
  </si>
  <si>
    <t xml:space="preserve">F:\Données chgh\2020-CHG-CZA-Saccharin-1\plaque 2/@14 Testo 30/E2_03.tif </t>
  </si>
  <si>
    <t xml:space="preserve"> 37895.5754 </t>
  </si>
  <si>
    <t xml:space="preserve"> 77.2477 </t>
  </si>
  <si>
    <t xml:space="preserve">F:\Données chgh\2020-CHG-CZA-Saccharin-1\plaque 2/@14 Testo 30/F2_01.tif </t>
  </si>
  <si>
    <t xml:space="preserve"> 63.7619 </t>
  </si>
  <si>
    <t xml:space="preserve">F:\Données chgh\2020-CHG-CZA-Saccharin-1\plaque 2/@14 Testo 30/F2_02.tif </t>
  </si>
  <si>
    <t xml:space="preserve"> 1946.6905 </t>
  </si>
  <si>
    <t xml:space="preserve"> 64.3556 </t>
  </si>
  <si>
    <t xml:space="preserve">F:\Données chgh\2020-CHG-CZA-Saccharin-1\plaque 2/@14 Testo 30/F2_03.tif </t>
  </si>
  <si>
    <t xml:space="preserve"> 63.2353 </t>
  </si>
  <si>
    <t xml:space="preserve">F:\Données chgh\2020-CHG-CZA-Saccharin-1\plaque 2/@14 Testo 30/G2_01.tif </t>
  </si>
  <si>
    <t xml:space="preserve"> 30390.002 </t>
  </si>
  <si>
    <t xml:space="preserve"> 67.0868 </t>
  </si>
  <si>
    <t xml:space="preserve">F:\Données chgh\2020-CHG-CZA-Saccharin-1\plaque 2/@14 Testo 30/G2_02.tif </t>
  </si>
  <si>
    <t xml:space="preserve"> 25696.3148 </t>
  </si>
  <si>
    <t xml:space="preserve"> 65.9167 </t>
  </si>
  <si>
    <t xml:space="preserve">F:\Données chgh\2020-CHG-CZA-Saccharin-1\plaque 2/@14 Testo 30/G2_03.tif </t>
  </si>
  <si>
    <t xml:space="preserve"> 30325.1123 </t>
  </si>
  <si>
    <t xml:space="preserve"> 67.3894 </t>
  </si>
  <si>
    <t>F:\Données chgh\2020-CHG-CZA-Saccharin-1\plaque 2/@14 Testo 30/H2_01- exclu.tif</t>
  </si>
  <si>
    <t>F:\Données chgh\2020-CHG-CZA-Saccharin-1\plaque 2/@14 Testo 30/H2_02- exclu.tif</t>
  </si>
  <si>
    <t xml:space="preserve">F:\Données chgh\2020-CHG-CZA-Saccharin-1\plaque 2/@14 Testo 30/H2_03.tif </t>
  </si>
  <si>
    <t xml:space="preserve"> 10187.6804 </t>
  </si>
  <si>
    <t xml:space="preserve"> 68.9427 </t>
  </si>
  <si>
    <t xml:space="preserve">F:\Données chgh\2020-CHG-CZA-Saccharin-1\plaque 2/@14 Testo 30/ </t>
  </si>
  <si>
    <t xml:space="preserve"> 69.3643 </t>
  </si>
  <si>
    <t xml:space="preserve"> 4.6653 </t>
  </si>
  <si>
    <t xml:space="preserve"> 1555321.04 </t>
  </si>
  <si>
    <t xml:space="preserve"> 1159291.13 </t>
  </si>
  <si>
    <t xml:space="preserve">F:\Données chgh\2020-CHG-CZA-Saccharin-1\plaque 2/@15 Testo + EE2/A3_01.tif </t>
  </si>
  <si>
    <t xml:space="preserve"> 48299.5547 </t>
  </si>
  <si>
    <t xml:space="preserve"> 76.7138 </t>
  </si>
  <si>
    <t xml:space="preserve">F:\Données chgh\2020-CHG-CZA-Saccharin-1\plaque 2/@15 Testo + EE2/A3_02.tif </t>
  </si>
  <si>
    <t xml:space="preserve"> 45055.0705 </t>
  </si>
  <si>
    <t xml:space="preserve"> 75.3673 </t>
  </si>
  <si>
    <t xml:space="preserve">F:\Données chgh\2020-CHG-CZA-Saccharin-1\plaque 2/@15 Testo + EE2/A3_03.tif </t>
  </si>
  <si>
    <t xml:space="preserve"> 47174.8002 </t>
  </si>
  <si>
    <t xml:space="preserve"> 77.1403 </t>
  </si>
  <si>
    <t xml:space="preserve">F:\Données chgh\2020-CHG-CZA-Saccharin-1\plaque 2/@15 Testo + EE2/B3_01.tif </t>
  </si>
  <si>
    <t xml:space="preserve"> 57665.2991 </t>
  </si>
  <si>
    <t xml:space="preserve"> 87.0484 </t>
  </si>
  <si>
    <t xml:space="preserve">F:\Données chgh\2020-CHG-CZA-Saccharin-1\plaque 2/@15 Testo + EE2/B3_02.tif </t>
  </si>
  <si>
    <t xml:space="preserve"> 53014.8717 </t>
  </si>
  <si>
    <t xml:space="preserve"> 85.9221 </t>
  </si>
  <si>
    <t xml:space="preserve">F:\Données chgh\2020-CHG-CZA-Saccharin-1\plaque 2/@15 Testo + EE2/B3_03.tif </t>
  </si>
  <si>
    <t xml:space="preserve"> 51349.3698 </t>
  </si>
  <si>
    <t xml:space="preserve"> 88.1639 </t>
  </si>
  <si>
    <t>F:\Données chgh\2020-CHG-CZA-Saccharin-1\plaque 2/@15 Testo + EE2/C3_01- exclu.tif</t>
  </si>
  <si>
    <t xml:space="preserve">F:\Données chgh\2020-CHG-CZA-Saccharin-1\plaque 2/@15 Testo + EE2/C3_02.tif </t>
  </si>
  <si>
    <t xml:space="preserve"> 29092.2083 </t>
  </si>
  <si>
    <t xml:space="preserve"> 73.3948 </t>
  </si>
  <si>
    <t xml:space="preserve">F:\Données chgh\2020-CHG-CZA-Saccharin-1\plaque 2/@15 Testo + EE2/C3_03.tif </t>
  </si>
  <si>
    <t xml:space="preserve"> 26539.8807 </t>
  </si>
  <si>
    <t xml:space="preserve"> 68.8745 </t>
  </si>
  <si>
    <t xml:space="preserve">F:\Données chgh\2020-CHG-CZA-Saccharin-1\plaque 2/@15 Testo + EE2/D3_01.tif </t>
  </si>
  <si>
    <t xml:space="preserve"> 35278.3581 </t>
  </si>
  <si>
    <t xml:space="preserve"> 71.0846 </t>
  </si>
  <si>
    <t xml:space="preserve">F:\Données chgh\2020-CHG-CZA-Saccharin-1\plaque 2/@15 Testo + EE2/D3_02.tif </t>
  </si>
  <si>
    <t xml:space="preserve"> 45595.8179 </t>
  </si>
  <si>
    <t xml:space="preserve"> 76.1129 </t>
  </si>
  <si>
    <t xml:space="preserve">F:\Données chgh\2020-CHG-CZA-Saccharin-1\plaque 2/@15 Testo + EE2/D3_03.tif </t>
  </si>
  <si>
    <t xml:space="preserve"> 44319.6541 </t>
  </si>
  <si>
    <t xml:space="preserve"> 73.6144 </t>
  </si>
  <si>
    <t xml:space="preserve">F:\Données chgh\2020-CHG-CZA-Saccharin-1\plaque 2/@15 Testo + EE2/E3_01.tif </t>
  </si>
  <si>
    <t xml:space="preserve"> 63786.5593 </t>
  </si>
  <si>
    <t xml:space="preserve"> 78.1913 </t>
  </si>
  <si>
    <t xml:space="preserve">F:\Données chgh\2020-CHG-CZA-Saccharin-1\plaque 2/@15 Testo + EE2/E3_02.tif </t>
  </si>
  <si>
    <t xml:space="preserve"> 60909.7833 </t>
  </si>
  <si>
    <t xml:space="preserve"> 73.9862 </t>
  </si>
  <si>
    <t xml:space="preserve">F:\Données chgh\2020-CHG-CZA-Saccharin-1\plaque 2/@15 Testo + EE2/E3_03.tif </t>
  </si>
  <si>
    <t xml:space="preserve"> 65625.1003 </t>
  </si>
  <si>
    <t xml:space="preserve"> 78.6737 </t>
  </si>
  <si>
    <t xml:space="preserve">F:\Données chgh\2020-CHG-CZA-Saccharin-1\plaque 2/@15 Testo + EE2/F3_01.tif </t>
  </si>
  <si>
    <t xml:space="preserve"> 41875.476 </t>
  </si>
  <si>
    <t xml:space="preserve"> 73.2598 </t>
  </si>
  <si>
    <t xml:space="preserve">F:\Données chgh\2020-CHG-CZA-Saccharin-1\plaque 2/@15 Testo + EE2/F3_02.tif </t>
  </si>
  <si>
    <t xml:space="preserve"> 44535.953 </t>
  </si>
  <si>
    <t xml:space="preserve"> 74.7348 </t>
  </si>
  <si>
    <t xml:space="preserve">F:\Données chgh\2020-CHG-CZA-Saccharin-1\plaque 2/@15 Testo + EE2/F3_03.tif </t>
  </si>
  <si>
    <t xml:space="preserve"> 41118.4297 </t>
  </si>
  <si>
    <t xml:space="preserve"> 74.7154 </t>
  </si>
  <si>
    <t xml:space="preserve">F:\Données chgh\2020-CHG-CZA-Saccharin-1\plaque 2/@15 Testo + EE2/G3_01.tif </t>
  </si>
  <si>
    <t xml:space="preserve"> 64673.3849 </t>
  </si>
  <si>
    <t xml:space="preserve"> 83.3151 </t>
  </si>
  <si>
    <t xml:space="preserve">F:\Données chgh\2020-CHG-CZA-Saccharin-1\plaque 2/@15 Testo + EE2/G3_02.tif </t>
  </si>
  <si>
    <t xml:space="preserve"> 62358.9862 </t>
  </si>
  <si>
    <t xml:space="preserve"> 83.1655 </t>
  </si>
  <si>
    <t xml:space="preserve">F:\Données chgh\2020-CHG-CZA-Saccharin-1\plaque 2/@15 Testo + EE2/G3_03.tif </t>
  </si>
  <si>
    <t xml:space="preserve"> 59720.1391 </t>
  </si>
  <si>
    <t xml:space="preserve"> 84.2445 </t>
  </si>
  <si>
    <t xml:space="preserve">F:\Données chgh\2020-CHG-CZA-Saccharin-1\plaque 2/@15 Testo + EE2/H3_01.tif </t>
  </si>
  <si>
    <t xml:space="preserve"> 41204.9493 </t>
  </si>
  <si>
    <t xml:space="preserve"> 74.8903 </t>
  </si>
  <si>
    <t xml:space="preserve">F:\Données chgh\2020-CHG-CZA-Saccharin-1\plaque 2/@15 Testo + EE2/H3_02.tif </t>
  </si>
  <si>
    <t xml:space="preserve"> 32963.9594 </t>
  </si>
  <si>
    <t xml:space="preserve"> 72.7631 </t>
  </si>
  <si>
    <t xml:space="preserve">F:\Données chgh\2020-CHG-CZA-Saccharin-1\plaque 2/@15 Testo + EE2/H3_03.tif </t>
  </si>
  <si>
    <t xml:space="preserve"> 37203.4188 </t>
  </si>
  <si>
    <t xml:space="preserve"> 73.825 </t>
  </si>
  <si>
    <t xml:space="preserve">F:\Données chgh\2020-CHG-CZA-Saccharin-1\plaque 2/@15 Testo + EE2/ </t>
  </si>
  <si>
    <t xml:space="preserve"> 77.5333 </t>
  </si>
  <si>
    <t xml:space="preserve"> 5.3122 </t>
  </si>
  <si>
    <t xml:space="preserve"> 3641674.83 </t>
  </si>
  <si>
    <t xml:space="preserve"> 1166670.49 </t>
  </si>
  <si>
    <t xml:space="preserve">F:\Données chgh\2020-CHG-CZA-Saccharin-1\plaque 2/@16 Testo + FAD/A4_01.tif </t>
  </si>
  <si>
    <t xml:space="preserve"> 62.5814 </t>
  </si>
  <si>
    <t xml:space="preserve">F:\Données chgh\2020-CHG-CZA-Saccharin-1\plaque 2/@16 Testo + FAD/A4_02.tif </t>
  </si>
  <si>
    <t xml:space="preserve"> 62.28 </t>
  </si>
  <si>
    <t xml:space="preserve">F:\Données chgh\2020-CHG-CZA-Saccharin-1\plaque 2/@16 Testo + FAD/A4_03.tif </t>
  </si>
  <si>
    <t xml:space="preserve"> 63.4 </t>
  </si>
  <si>
    <t xml:space="preserve">F:\Données chgh\2020-CHG-CZA-Saccharin-1\plaque 2/@16 Testo + FAD/B4_01.tif </t>
  </si>
  <si>
    <t xml:space="preserve"> 64.0889 </t>
  </si>
  <si>
    <t xml:space="preserve">F:\Données chgh\2020-CHG-CZA-Saccharin-1\plaque 2/@16 Testo + FAD/B4_02.tif </t>
  </si>
  <si>
    <t xml:space="preserve"> 62.1304 </t>
  </si>
  <si>
    <t xml:space="preserve">F:\Données chgh\2020-CHG-CZA-Saccharin-1\plaque 2/@16 Testo + FAD/B4_03.tif </t>
  </si>
  <si>
    <t xml:space="preserve">F:\Données chgh\2020-CHG-CZA-Saccharin-1\plaque 2/@16 Testo + FAD/C4_01.tif </t>
  </si>
  <si>
    <t xml:space="preserve"> 65.3111 </t>
  </si>
  <si>
    <t xml:space="preserve">F:\Données chgh\2020-CHG-CZA-Saccharin-1\plaque 2/@16 Testo + FAD/C4_02.tif </t>
  </si>
  <si>
    <t xml:space="preserve"> 1124.7545 </t>
  </si>
  <si>
    <t xml:space="preserve"> 64.4808 </t>
  </si>
  <si>
    <t xml:space="preserve">F:\Données chgh\2020-CHG-CZA-Saccharin-1\plaque 2/@16 Testo + FAD/C4_03.tif </t>
  </si>
  <si>
    <t xml:space="preserve"> 454.2278 </t>
  </si>
  <si>
    <t xml:space="preserve"> 64.0952 </t>
  </si>
  <si>
    <t xml:space="preserve">F:\Données chgh\2020-CHG-CZA-Saccharin-1\plaque 2/@16 Testo + FAD/D4_01.tif </t>
  </si>
  <si>
    <t xml:space="preserve"> 5775.1819 </t>
  </si>
  <si>
    <t xml:space="preserve"> 71.1049 </t>
  </si>
  <si>
    <t xml:space="preserve">F:\Données chgh\2020-CHG-CZA-Saccharin-1\plaque 2/@16 Testo + FAD/D4_02.tif </t>
  </si>
  <si>
    <t xml:space="preserve"> 64.029 </t>
  </si>
  <si>
    <t xml:space="preserve">F:\Données chgh\2020-CHG-CZA-Saccharin-1\plaque 2/@16 Testo + FAD/D4_03.tif </t>
  </si>
  <si>
    <t xml:space="preserve"> 2595.5874 </t>
  </si>
  <si>
    <t xml:space="preserve"> 64.0667 </t>
  </si>
  <si>
    <t xml:space="preserve">F:\Données chgh\2020-CHG-CZA-Saccharin-1\plaque 2/@16 Testo + FAD/E4_01.tif </t>
  </si>
  <si>
    <t xml:space="preserve"> 8197.7301 </t>
  </si>
  <si>
    <t xml:space="preserve"> 70.0053 </t>
  </si>
  <si>
    <t xml:space="preserve">F:\Données chgh\2020-CHG-CZA-Saccharin-1\plaque 2/@16 Testo + FAD/E4_02.tif </t>
  </si>
  <si>
    <t xml:space="preserve"> 7721.8724 </t>
  </si>
  <si>
    <t xml:space="preserve"> 68.4398 </t>
  </si>
  <si>
    <t xml:space="preserve">F:\Données chgh\2020-CHG-CZA-Saccharin-1\plaque 2/@16 Testo + FAD/E4_03.tif </t>
  </si>
  <si>
    <t xml:space="preserve"> 1081.4947 </t>
  </si>
  <si>
    <t xml:space="preserve"> 64.08 </t>
  </si>
  <si>
    <t>F:\Données chgh\2020-CHG-CZA-Saccharin-1\plaque 2/@16 Testo + FAD/F4_01- exclu.tif</t>
  </si>
  <si>
    <t xml:space="preserve">F:\Données chgh\2020-CHG-CZA-Saccharin-1\plaque 2/@16 Testo + FAD/F4_02.tif </t>
  </si>
  <si>
    <t xml:space="preserve"> 4607.1676 </t>
  </si>
  <si>
    <t xml:space="preserve"> 66.554 </t>
  </si>
  <si>
    <t xml:space="preserve">F:\Données chgh\2020-CHG-CZA-Saccharin-1\plaque 2/@16 Testo + FAD/F4_03.tif </t>
  </si>
  <si>
    <t xml:space="preserve"> 3763.6017 </t>
  </si>
  <si>
    <t xml:space="preserve"> 65.9023 </t>
  </si>
  <si>
    <t xml:space="preserve">F:\Données chgh\2020-CHG-CZA-Saccharin-1\plaque 2/@16 Testo + FAD/G4_01.tif </t>
  </si>
  <si>
    <t xml:space="preserve"> 4023.1604 </t>
  </si>
  <si>
    <t xml:space="preserve"> 64.6183 </t>
  </si>
  <si>
    <t xml:space="preserve">F:\Données chgh\2020-CHG-CZA-Saccharin-1\plaque 2/@16 Testo + FAD/G4_02.tif </t>
  </si>
  <si>
    <t xml:space="preserve"> 994.9752 </t>
  </si>
  <si>
    <t xml:space="preserve"> 62.8913 </t>
  </si>
  <si>
    <t xml:space="preserve">F:\Données chgh\2020-CHG-CZA-Saccharin-1\plaque 2/@16 Testo + FAD/G4_03.tif </t>
  </si>
  <si>
    <t xml:space="preserve">F:\Données chgh\2020-CHG-CZA-Saccharin-1\plaque 2/@16 Testo + FAD/H4_01.tif </t>
  </si>
  <si>
    <t xml:space="preserve"> 4455.7583 </t>
  </si>
  <si>
    <t xml:space="preserve"> 65.6019 </t>
  </si>
  <si>
    <t>F:\Données chgh\2020-CHG-CZA-Saccharin-1\plaque 2/@16 Testo + FAD/H4_02- exclu.tif</t>
  </si>
  <si>
    <t>F:\Données chgh\2020-CHG-CZA-Saccharin-1\plaque 2/@16 Testo + FAD/H4_03- exclu.tif</t>
  </si>
  <si>
    <t xml:space="preserve">F:\Données chgh\2020-CHG-CZA-Saccharin-1\plaque 2/@16 Testo + FAD/ </t>
  </si>
  <si>
    <t xml:space="preserve"> 65.3338 </t>
  </si>
  <si>
    <t xml:space="preserve"> 2.9421 </t>
  </si>
  <si>
    <t xml:space="preserve"> 188393.667 </t>
  </si>
  <si>
    <t xml:space="preserve"> 190018.744 </t>
  </si>
  <si>
    <t xml:space="preserve">F:\Données chgh\2020-CHG-CZA-Saccharin-1\plaque 2/@17 Testo +  Saccharin 0,01/A5_01.tif </t>
  </si>
  <si>
    <t xml:space="preserve"> 26907.5889 </t>
  </si>
  <si>
    <t xml:space="preserve"> 69.6961 </t>
  </si>
  <si>
    <t xml:space="preserve">F:\Données chgh\2020-CHG-CZA-Saccharin-1\plaque 2/@17 Testo +  Saccharin 0,01/A5_02.tif </t>
  </si>
  <si>
    <t xml:space="preserve"> 19423.6454 </t>
  </si>
  <si>
    <t xml:space="preserve"> 68.6481 </t>
  </si>
  <si>
    <t xml:space="preserve">F:\Données chgh\2020-CHG-CZA-Saccharin-1\plaque 2/@17 Testo +  Saccharin 0,01/A5_03.tif </t>
  </si>
  <si>
    <t xml:space="preserve"> 5969.8509 </t>
  </si>
  <si>
    <t xml:space="preserve"> 63.4275 </t>
  </si>
  <si>
    <t>F:\Données chgh\2020-CHG-CZA-Saccharin-1\plaque 2/@17 Testo +  Saccharin 0,01/B5_01- exclu.tif</t>
  </si>
  <si>
    <t xml:space="preserve">F:\Données chgh\2020-CHG-CZA-Saccharin-1\plaque 2/@17 Testo +  Saccharin 0,01/B5_02.tif </t>
  </si>
  <si>
    <t xml:space="preserve"> 37982.095 </t>
  </si>
  <si>
    <t xml:space="preserve"> 69.7244 </t>
  </si>
  <si>
    <t xml:space="preserve">F:\Données chgh\2020-CHG-CZA-Saccharin-1\plaque 2/@17 Testo +  Saccharin 0,01/B5_03.tif </t>
  </si>
  <si>
    <t xml:space="preserve"> 35992.1447 </t>
  </si>
  <si>
    <t xml:space="preserve"> 71.89 </t>
  </si>
  <si>
    <t>F:\Données chgh\2020-CHG-CZA-Saccharin-1\plaque 2/@17 Testo +  Saccharin 0,01/C5_01- exclu.tif</t>
  </si>
  <si>
    <t xml:space="preserve">F:\Données chgh\2020-CHG-CZA-Saccharin-1\plaque 2/@17 Testo +  Saccharin 0,01/C5_02.tif </t>
  </si>
  <si>
    <t xml:space="preserve"> 26777.8096 </t>
  </si>
  <si>
    <t xml:space="preserve"> 70.92 </t>
  </si>
  <si>
    <t xml:space="preserve">F:\Données chgh\2020-CHG-CZA-Saccharin-1\plaque 2/@17 Testo +  Saccharin 0,01/C5_03.tif </t>
  </si>
  <si>
    <t xml:space="preserve"> 27491.5961 </t>
  </si>
  <si>
    <t xml:space="preserve"> 71.8867 </t>
  </si>
  <si>
    <t xml:space="preserve">F:\Données chgh\2020-CHG-CZA-Saccharin-1\plaque 2/@17 Testo +  Saccharin 0,01/D5_01.tif </t>
  </si>
  <si>
    <t xml:space="preserve"> 2314.3987 </t>
  </si>
  <si>
    <t xml:space="preserve"> 62.5421 </t>
  </si>
  <si>
    <t xml:space="preserve">F:\Données chgh\2020-CHG-CZA-Saccharin-1\plaque 2/@17 Testo +  Saccharin 0,01/D5_02.tif </t>
  </si>
  <si>
    <t xml:space="preserve"> 62.3125 </t>
  </si>
  <si>
    <t xml:space="preserve">F:\Données chgh\2020-CHG-CZA-Saccharin-1\plaque 2/@17 Testo +  Saccharin 0,01/D5_03.tif </t>
  </si>
  <si>
    <t xml:space="preserve"> 3395.8935 </t>
  </si>
  <si>
    <t xml:space="preserve"> 63.3949 </t>
  </si>
  <si>
    <t xml:space="preserve">F:\Données chgh\2020-CHG-CZA-Saccharin-1\plaque 2/@17 Testo +  Saccharin 0,01/E5_01.tif </t>
  </si>
  <si>
    <t xml:space="preserve"> 31925.7245 </t>
  </si>
  <si>
    <t xml:space="preserve"> 70.4804 </t>
  </si>
  <si>
    <t xml:space="preserve">F:\Données chgh\2020-CHG-CZA-Saccharin-1\plaque 2/@17 Testo +  Saccharin 0,01/E5_02.tif </t>
  </si>
  <si>
    <t xml:space="preserve"> 30260.2226 </t>
  </si>
  <si>
    <t xml:space="preserve"> 70.7391 </t>
  </si>
  <si>
    <t xml:space="preserve">F:\Données chgh\2020-CHG-CZA-Saccharin-1\plaque 2/@17 Testo +  Saccharin 0,01/E5_03.tif </t>
  </si>
  <si>
    <t xml:space="preserve"> 32206.9131 </t>
  </si>
  <si>
    <t xml:space="preserve"> 70.4822 </t>
  </si>
  <si>
    <t xml:space="preserve">F:\Données chgh\2020-CHG-CZA-Saccharin-1\plaque 2/@17 Testo +  Saccharin 0,01/F5_01.tif </t>
  </si>
  <si>
    <t xml:space="preserve"> 41421.2482 </t>
  </si>
  <si>
    <t xml:space="preserve">F:\Données chgh\2020-CHG-CZA-Saccharin-1\plaque 2/@17 Testo +  Saccharin 0,01/F5_02.tif </t>
  </si>
  <si>
    <t xml:space="preserve"> 36576.1518 </t>
  </si>
  <si>
    <t xml:space="preserve"> 70.1053 </t>
  </si>
  <si>
    <t xml:space="preserve">F:\Données chgh\2020-CHG-CZA-Saccharin-1\plaque 2/@17 Testo +  Saccharin 0,01/F5_03.tif </t>
  </si>
  <si>
    <t xml:space="preserve"> 32747.6605 </t>
  </si>
  <si>
    <t xml:space="preserve"> 69.4577 </t>
  </si>
  <si>
    <t xml:space="preserve">F:\Données chgh\2020-CHG-CZA-Saccharin-1\plaque 2/@17 Testo +  Saccharin 0,01/G5_01.tif </t>
  </si>
  <si>
    <t xml:space="preserve"> 10771.6875 </t>
  </si>
  <si>
    <t xml:space="preserve"> 67.7269 </t>
  </si>
  <si>
    <t xml:space="preserve">F:\Données chgh\2020-CHG-CZA-Saccharin-1\plaque 2/@17 Testo +  Saccharin 0,01/G5_02.tif </t>
  </si>
  <si>
    <t xml:space="preserve"> 6013.1107 </t>
  </si>
  <si>
    <t xml:space="preserve"> 66.6331 </t>
  </si>
  <si>
    <t xml:space="preserve">F:\Données chgh\2020-CHG-CZA-Saccharin-1\plaque 2/@17 Testo +  Saccharin 0,01/G5_03.tif </t>
  </si>
  <si>
    <t xml:space="preserve"> 10533.7587 </t>
  </si>
  <si>
    <t xml:space="preserve"> 68.3614 </t>
  </si>
  <si>
    <t xml:space="preserve">F:\Données chgh\2020-CHG-CZA-Saccharin-1\plaque 2/@17 Testo +  Saccharin 0,01/H5_01.tif </t>
  </si>
  <si>
    <t xml:space="preserve"> 36619.4116 </t>
  </si>
  <si>
    <t xml:space="preserve"> 70.0041 </t>
  </si>
  <si>
    <t xml:space="preserve">F:\Données chgh\2020-CHG-CZA-Saccharin-1\plaque 2/@17 Testo +  Saccharin 0,01/H5_02.tif </t>
  </si>
  <si>
    <t xml:space="preserve"> 33158.6285 </t>
  </si>
  <si>
    <t xml:space="preserve"> 74.4684 </t>
  </si>
  <si>
    <t xml:space="preserve">F:\Données chgh\2020-CHG-CZA-Saccharin-1\plaque 2/@17 Testo +  Saccharin 0,01/H5_03.tif </t>
  </si>
  <si>
    <t xml:space="preserve"> 38479.5825 </t>
  </si>
  <si>
    <t xml:space="preserve"> 73.2805 </t>
  </si>
  <si>
    <t xml:space="preserve">F:\Données chgh\2020-CHG-CZA-Saccharin-1\plaque 2/@17 Testo +  Saccharin 0,01/ </t>
  </si>
  <si>
    <t xml:space="preserve"> 69.5 </t>
  </si>
  <si>
    <t xml:space="preserve"> 3.9945 </t>
  </si>
  <si>
    <t xml:space="preserve"> 1827733.21 </t>
  </si>
  <si>
    <t xml:space="preserve"> 1111652.45 </t>
  </si>
  <si>
    <t xml:space="preserve">F:\Données chgh\2020-CHG-CZA-Saccharin-1\plaque 2/@18  Testo +  Saccharin 0,1/A6_01.tif </t>
  </si>
  <si>
    <t xml:space="preserve"> 43411.1985 </t>
  </si>
  <si>
    <t xml:space="preserve"> 72.7544 </t>
  </si>
  <si>
    <t xml:space="preserve">F:\Données chgh\2020-CHG-CZA-Saccharin-1\plaque 2/@18  Testo +  Saccharin 0,1/A6_02.tif </t>
  </si>
  <si>
    <t xml:space="preserve"> 36165.1838 </t>
  </si>
  <si>
    <t xml:space="preserve"> 74.8206 </t>
  </si>
  <si>
    <t xml:space="preserve">F:\Données chgh\2020-CHG-CZA-Saccharin-1\plaque 2/@18  Testo +  Saccharin 0,1/A6_03.tif </t>
  </si>
  <si>
    <t xml:space="preserve"> 40123.4545 </t>
  </si>
  <si>
    <t xml:space="preserve"> 70.627 </t>
  </si>
  <si>
    <t xml:space="preserve">F:\Données chgh\2020-CHG-CZA-Saccharin-1\plaque 2/@18  Testo +  Saccharin 0,1/B6_01.tif </t>
  </si>
  <si>
    <t xml:space="preserve"> 7635.3528 </t>
  </si>
  <si>
    <t xml:space="preserve"> 67.3399 </t>
  </si>
  <si>
    <t>F:\Données chgh\2020-CHG-CZA-Saccharin-1\plaque 2/@18  Testo +  Saccharin 0,1/B6_02- exclu.tif</t>
  </si>
  <si>
    <t xml:space="preserve">F:\Données chgh\2020-CHG-CZA-Saccharin-1\plaque 2/@18  Testo +  Saccharin 0,1/B6_03.tif </t>
  </si>
  <si>
    <t xml:space="preserve"> 65.8631 </t>
  </si>
  <si>
    <t xml:space="preserve">F:\Données chgh\2020-CHG-CZA-Saccharin-1\plaque 2/@18  Testo +  Saccharin 0,1/C6_01.tif </t>
  </si>
  <si>
    <t xml:space="preserve"> 6078.0004 </t>
  </si>
  <si>
    <t xml:space="preserve"> 65.1495 </t>
  </si>
  <si>
    <t xml:space="preserve">F:\Données chgh\2020-CHG-CZA-Saccharin-1\plaque 2/@18  Testo +  Saccharin 0,1/C6_02.tif </t>
  </si>
  <si>
    <t xml:space="preserve"> 692.1566 </t>
  </si>
  <si>
    <t xml:space="preserve"> 62.8438 </t>
  </si>
  <si>
    <t xml:space="preserve">F:\Données chgh\2020-CHG-CZA-Saccharin-1\plaque 2/@18  Testo +  Saccharin 0,1/C6_03.tif </t>
  </si>
  <si>
    <t xml:space="preserve"> 3114.7048 </t>
  </si>
  <si>
    <t xml:space="preserve"> 63.8889 </t>
  </si>
  <si>
    <t xml:space="preserve">F:\Données chgh\2020-CHG-CZA-Saccharin-1\plaque 2/@18  Testo +  Saccharin 0,1/D6_01.tif </t>
  </si>
  <si>
    <t xml:space="preserve"> 26885.959 </t>
  </si>
  <si>
    <t xml:space="preserve"> 68.0965 </t>
  </si>
  <si>
    <t xml:space="preserve">F:\Données chgh\2020-CHG-CZA-Saccharin-1\plaque 2/@18  Testo +  Saccharin 0,1/D6_02.tif </t>
  </si>
  <si>
    <t xml:space="preserve"> 22062.4925 </t>
  </si>
  <si>
    <t xml:space="preserve"> 68.2961 </t>
  </si>
  <si>
    <t xml:space="preserve">F:\Données chgh\2020-CHG-CZA-Saccharin-1\plaque 2/@18  Testo +  Saccharin 0,1/D6_03.tif </t>
  </si>
  <si>
    <t xml:space="preserve"> 18212.3713 </t>
  </si>
  <si>
    <t xml:space="preserve"> 67.1247 </t>
  </si>
  <si>
    <t xml:space="preserve">F:\Données chgh\2020-CHG-CZA-Saccharin-1\plaque 2/@18  Testo +  Saccharin 0,1/E6_01.tif </t>
  </si>
  <si>
    <t xml:space="preserve"> 14729.9582 </t>
  </si>
  <si>
    <t xml:space="preserve"> 71.9824 </t>
  </si>
  <si>
    <t xml:space="preserve">F:\Données chgh\2020-CHG-CZA-Saccharin-1\plaque 2/@18  Testo +  Saccharin 0,1/E6_02.tif </t>
  </si>
  <si>
    <t xml:space="preserve"> 12112.741 </t>
  </si>
  <si>
    <t xml:space="preserve"> 71.4321 </t>
  </si>
  <si>
    <t xml:space="preserve">F:\Données chgh\2020-CHG-CZA-Saccharin-1\plaque 2/@18  Testo +  Saccharin 0,1/E6_03.tif </t>
  </si>
  <si>
    <t xml:space="preserve"> 12675.1183 </t>
  </si>
  <si>
    <t xml:space="preserve"> 71.5051 </t>
  </si>
  <si>
    <t xml:space="preserve">F:\Données chgh\2020-CHG-CZA-Saccharin-1\plaque 2/@18  Testo +  Saccharin 0,1/F6_01.tif </t>
  </si>
  <si>
    <t xml:space="preserve"> 63.3478 </t>
  </si>
  <si>
    <t xml:space="preserve">F:\Données chgh\2020-CHG-CZA-Saccharin-1\plaque 2/@18  Testo +  Saccharin 0,1/F6_02.tif </t>
  </si>
  <si>
    <t xml:space="preserve">F:\Données chgh\2020-CHG-CZA-Saccharin-1\plaque 2/@18  Testo +  Saccharin 0,1/F6_03.tif </t>
  </si>
  <si>
    <t xml:space="preserve"> 63.6 </t>
  </si>
  <si>
    <t xml:space="preserve">F:\Données chgh\2020-CHG-CZA-Saccharin-1\plaque 2/@18  Testo +  Saccharin 0,1/G6_01.tif </t>
  </si>
  <si>
    <t xml:space="preserve"> 25458.386 </t>
  </si>
  <si>
    <t xml:space="preserve"> 68.0442 </t>
  </si>
  <si>
    <t xml:space="preserve">F:\Données chgh\2020-CHG-CZA-Saccharin-1\plaque 2/@18  Testo +  Saccharin 0,1/G6_02.tif </t>
  </si>
  <si>
    <t xml:space="preserve"> 32142.0234 </t>
  </si>
  <si>
    <t xml:space="preserve"> 73.6447 </t>
  </si>
  <si>
    <t xml:space="preserve">F:\Données chgh\2020-CHG-CZA-Saccharin-1\plaque 2/@18  Testo +  Saccharin 0,1/G6_03.tif </t>
  </si>
  <si>
    <t xml:space="preserve"> 30195.3329 </t>
  </si>
  <si>
    <t xml:space="preserve"> 75.9871 </t>
  </si>
  <si>
    <t xml:space="preserve">F:\Données chgh\2020-CHG-CZA-Saccharin-1\plaque 2/@18  Testo +  Saccharin 0,1/H6_01.tif </t>
  </si>
  <si>
    <t xml:space="preserve"> 19012.6774 </t>
  </si>
  <si>
    <t xml:space="preserve"> 69.3629 </t>
  </si>
  <si>
    <t xml:space="preserve">F:\Données chgh\2020-CHG-CZA-Saccharin-1\plaque 2/@18  Testo +  Saccharin 0,1/H6_02.tif </t>
  </si>
  <si>
    <t xml:space="preserve"> 62.6429 </t>
  </si>
  <si>
    <t xml:space="preserve">F:\Données chgh\2020-CHG-CZA-Saccharin-1\plaque 2/@18  Testo +  Saccharin 0,1/H6_03.tif </t>
  </si>
  <si>
    <t xml:space="preserve"> 14535.2892 </t>
  </si>
  <si>
    <t xml:space="preserve"> 72.0923 </t>
  </si>
  <si>
    <t xml:space="preserve">F:\Données chgh\2020-CHG-CZA-Saccharin-1\plaque 2/@18  Testo +  Saccharin 0,1/ </t>
  </si>
  <si>
    <t xml:space="preserve"> 68.2964 </t>
  </si>
  <si>
    <t xml:space="preserve"> 4.0775 </t>
  </si>
  <si>
    <t xml:space="preserve"> 1110711.29 </t>
  </si>
  <si>
    <t xml:space="preserve"> 998076.955 </t>
  </si>
  <si>
    <t xml:space="preserve">F:\Données chgh\2020-CHG-CZA-Saccharin-1\plaque 2/@19 Testo +  Saccharin 1/A7_01.tif </t>
  </si>
  <si>
    <t xml:space="preserve"> 6121.2602 </t>
  </si>
  <si>
    <t xml:space="preserve"> 65.5406 </t>
  </si>
  <si>
    <t xml:space="preserve">F:\Données chgh\2020-CHG-CZA-Saccharin-1\plaque 2/@19 Testo +  Saccharin 1/A7_02.tif </t>
  </si>
  <si>
    <t xml:space="preserve"> 475.8577 </t>
  </si>
  <si>
    <t xml:space="preserve"> 63.3182 </t>
  </si>
  <si>
    <t xml:space="preserve">F:\Données chgh\2020-CHG-CZA-Saccharin-1\plaque 2/@19 Testo +  Saccharin 1/A7_03.tif </t>
  </si>
  <si>
    <t xml:space="preserve"> 64.3684 </t>
  </si>
  <si>
    <t xml:space="preserve">F:\Données chgh\2020-CHG-CZA-Saccharin-1\plaque 2/@19 Testo +  Saccharin 1/B7_01.tif </t>
  </si>
  <si>
    <t xml:space="preserve"> 43238.1594 </t>
  </si>
  <si>
    <t xml:space="preserve"> 75.3732 </t>
  </si>
  <si>
    <t xml:space="preserve">F:\Données chgh\2020-CHG-CZA-Saccharin-1\plaque 2/@19 Testo +  Saccharin 1/B7_02.tif </t>
  </si>
  <si>
    <t xml:space="preserve"> 41724.0667 </t>
  </si>
  <si>
    <t xml:space="preserve"> 74.8149 </t>
  </si>
  <si>
    <t xml:space="preserve">F:\Données chgh\2020-CHG-CZA-Saccharin-1\plaque 2/@19 Testo +  Saccharin 1/B7_03.tif </t>
  </si>
  <si>
    <t xml:space="preserve"> 43692.3872 </t>
  </si>
  <si>
    <t xml:space="preserve"> 74.8465 </t>
  </si>
  <si>
    <t xml:space="preserve">F:\Données chgh\2020-CHG-CZA-Saccharin-1\plaque 2/@19 Testo +  Saccharin 1/C7_01.tif </t>
  </si>
  <si>
    <t xml:space="preserve"> 15313.9654 </t>
  </si>
  <si>
    <t xml:space="preserve"> 74.1907 </t>
  </si>
  <si>
    <t xml:space="preserve">F:\Données chgh\2020-CHG-CZA-Saccharin-1\plaque 2/@19 Testo +  Saccharin 1/C7_02.tif </t>
  </si>
  <si>
    <t xml:space="preserve"> 6294.2993 </t>
  </si>
  <si>
    <t xml:space="preserve"> 66.1581 </t>
  </si>
  <si>
    <t xml:space="preserve">F:\Données chgh\2020-CHG-CZA-Saccharin-1\plaque 2/@19 Testo +  Saccharin 1/C7_03.tif </t>
  </si>
  <si>
    <t xml:space="preserve"> 6445.7086 </t>
  </si>
  <si>
    <t xml:space="preserve"> 66.557 </t>
  </si>
  <si>
    <t xml:space="preserve">F:\Données chgh\2020-CHG-CZA-Saccharin-1\plaque 2/@19 Testo +  Saccharin 1/D7_01.tif </t>
  </si>
  <si>
    <t xml:space="preserve"> 31514.7565 </t>
  </si>
  <si>
    <t xml:space="preserve"> 73.1633 </t>
  </si>
  <si>
    <t xml:space="preserve">F:\Données chgh\2020-CHG-CZA-Saccharin-1\plaque 2/@19 Testo +  Saccharin 1/D7_02.tif </t>
  </si>
  <si>
    <t xml:space="preserve"> 29719.4752 </t>
  </si>
  <si>
    <t xml:space="preserve"> 76.0189 </t>
  </si>
  <si>
    <t xml:space="preserve">F:\Données chgh\2020-CHG-CZA-Saccharin-1\plaque 2/@19 Testo +  Saccharin 1/D7_03.tif </t>
  </si>
  <si>
    <t xml:space="preserve"> 22841.1687 </t>
  </si>
  <si>
    <t xml:space="preserve"> 68.7311 </t>
  </si>
  <si>
    <t xml:space="preserve">F:\Données chgh\2020-CHG-CZA-Saccharin-1\plaque 2/@19 Testo +  Saccharin 1/E7_01.tif </t>
  </si>
  <si>
    <t xml:space="preserve"> 22754.6491 </t>
  </si>
  <si>
    <t xml:space="preserve"> 69.4183 </t>
  </si>
  <si>
    <t xml:space="preserve">F:\Données chgh\2020-CHG-CZA-Saccharin-1\plaque 2/@19 Testo +  Saccharin 1/E7_02.tif </t>
  </si>
  <si>
    <t xml:space="preserve"> 16438.7199 </t>
  </si>
  <si>
    <t xml:space="preserve"> 67.2224 </t>
  </si>
  <si>
    <t xml:space="preserve">F:\Données chgh\2020-CHG-CZA-Saccharin-1\plaque 2/@19 Testo +  Saccharin 1/E7_03.tif </t>
  </si>
  <si>
    <t xml:space="preserve"> 13648.4635 </t>
  </si>
  <si>
    <t xml:space="preserve"> 66.5182 </t>
  </si>
  <si>
    <t xml:space="preserve">F:\Données chgh\2020-CHG-CZA-Saccharin-1\plaque 2/@19 Testo +  Saccharin 1/F7_01.tif </t>
  </si>
  <si>
    <t xml:space="preserve"> 43021.8604 </t>
  </si>
  <si>
    <t xml:space="preserve"> 74.8753 </t>
  </si>
  <si>
    <t xml:space="preserve">F:\Données chgh\2020-CHG-CZA-Saccharin-1\plaque 2/@19 Testo +  Saccharin 1/F7_02.tif </t>
  </si>
  <si>
    <t xml:space="preserve"> 39950.4154 </t>
  </si>
  <si>
    <t xml:space="preserve"> 70.9762 </t>
  </si>
  <si>
    <t xml:space="preserve">F:\Données chgh\2020-CHG-CZA-Saccharin-1\plaque 2/@19 Testo +  Saccharin 1/F7_03.tif </t>
  </si>
  <si>
    <t xml:space="preserve"> 36013.7746 </t>
  </si>
  <si>
    <t xml:space="preserve"> 73.2198 </t>
  </si>
  <si>
    <t xml:space="preserve">F:\Données chgh\2020-CHG-CZA-Saccharin-1\plaque 2/@19 Testo +  Saccharin 1/G7_01.tif </t>
  </si>
  <si>
    <t xml:space="preserve"> 41983.6255 </t>
  </si>
  <si>
    <t xml:space="preserve"> 70.8485 </t>
  </si>
  <si>
    <t xml:space="preserve">F:\Données chgh\2020-CHG-CZA-Saccharin-1\plaque 2/@19 Testo +  Saccharin 1/G7_02.tif </t>
  </si>
  <si>
    <t xml:space="preserve"> 39409.668 </t>
  </si>
  <si>
    <t xml:space="preserve"> 69.4396 </t>
  </si>
  <si>
    <t xml:space="preserve">F:\Données chgh\2020-CHG-CZA-Saccharin-1\plaque 2/@19 Testo +  Saccharin 1/G7_03.tif </t>
  </si>
  <si>
    <t xml:space="preserve"> 34456.4221 </t>
  </si>
  <si>
    <t xml:space="preserve"> 68.9567 </t>
  </si>
  <si>
    <t xml:space="preserve">F:\Données chgh\2020-CHG-CZA-Saccharin-1\plaque 2/@19 Testo +  Saccharin 1/H7_01.tif </t>
  </si>
  <si>
    <t xml:space="preserve">F:\Données chgh\2020-CHG-CZA-Saccharin-1\plaque 2/@19 Testo +  Saccharin 1/H7_02.tif </t>
  </si>
  <si>
    <t xml:space="preserve"> 65.08 </t>
  </si>
  <si>
    <t xml:space="preserve">F:\Données chgh\2020-CHG-CZA-Saccharin-1\plaque 2/@19 Testo +  Saccharin 1/H7_03.tif </t>
  </si>
  <si>
    <t xml:space="preserve"> 63.5714 </t>
  </si>
  <si>
    <t xml:space="preserve">F:\Données chgh\2020-CHG-CZA-Saccharin-1\plaque 2/@19 Testo +  Saccharin 1/ </t>
  </si>
  <si>
    <t xml:space="preserve"> 69.467 </t>
  </si>
  <si>
    <t xml:space="preserve"> 4.2524 </t>
  </si>
  <si>
    <t xml:space="preserve"> 1617540.29 </t>
  </si>
  <si>
    <t xml:space="preserve"> 1231488.44 </t>
  </si>
  <si>
    <t xml:space="preserve">F:\Données chgh\2020-CHG-CZA-Saccharin-1\plaque 2/@20 Testo +  Saccharin 10/A8_01.tif </t>
  </si>
  <si>
    <t xml:space="preserve"> 43065.1202 </t>
  </si>
  <si>
    <t xml:space="preserve"> 68.9473 </t>
  </si>
  <si>
    <t xml:space="preserve">F:\Données chgh\2020-CHG-CZA-Saccharin-1\plaque 2/@20 Testo +  Saccharin 10/A8_02.tif </t>
  </si>
  <si>
    <t xml:space="preserve"> 45228.1097 </t>
  </si>
  <si>
    <t xml:space="preserve"> 69.2253 </t>
  </si>
  <si>
    <t xml:space="preserve">F:\Données chgh\2020-CHG-CZA-Saccharin-1\plaque 2/@20 Testo +  Saccharin 10/A8_03.tif </t>
  </si>
  <si>
    <t xml:space="preserve"> 38674.2516 </t>
  </si>
  <si>
    <t xml:space="preserve"> 68.2366 </t>
  </si>
  <si>
    <t xml:space="preserve">F:\Données chgh\2020-CHG-CZA-Saccharin-1\plaque 2/@20 Testo +  Saccharin 10/B8_01.tif </t>
  </si>
  <si>
    <t xml:space="preserve"> 1232.904 </t>
  </si>
  <si>
    <t xml:space="preserve"> 65.9474 </t>
  </si>
  <si>
    <t xml:space="preserve">F:\Données chgh\2020-CHG-CZA-Saccharin-1\plaque 2/@20 Testo +  Saccharin 10/B8_02.tif </t>
  </si>
  <si>
    <t xml:space="preserve">F:\Données chgh\2020-CHG-CZA-Saccharin-1\plaque 2/@20 Testo +  Saccharin 10/B8_03.tif </t>
  </si>
  <si>
    <t xml:space="preserve"> 64.5455 </t>
  </si>
  <si>
    <t xml:space="preserve">F:\Données chgh\2020-CHG-CZA-Saccharin-1\plaque 2/@20 Testo +  Saccharin 10/C8_01.tif </t>
  </si>
  <si>
    <t xml:space="preserve"> 5212.8046 </t>
  </si>
  <si>
    <t xml:space="preserve"> 65.1494 </t>
  </si>
  <si>
    <t xml:space="preserve">F:\Données chgh\2020-CHG-CZA-Saccharin-1\plaque 2/@20 Testo +  Saccharin 10/C8_02.tif </t>
  </si>
  <si>
    <t xml:space="preserve"> 1557.3524 </t>
  </si>
  <si>
    <t xml:space="preserve"> 64.4028 </t>
  </si>
  <si>
    <t xml:space="preserve">F:\Données chgh\2020-CHG-CZA-Saccharin-1\plaque 2/@20 Testo +  Saccharin 10/C8_03.tif </t>
  </si>
  <si>
    <t xml:space="preserve"> 66.2297 </t>
  </si>
  <si>
    <t>F:\Données chgh\2020-CHG-CZA-Saccharin-1\plaque 2/@20 Testo +  Saccharin 10/D8_01- exclu.tif</t>
  </si>
  <si>
    <t xml:space="preserve">F:\Données chgh\2020-CHG-CZA-Saccharin-1\plaque 2/@20 Testo +  Saccharin 10/D8_02.tif </t>
  </si>
  <si>
    <t xml:space="preserve"> 24917.6386 </t>
  </si>
  <si>
    <t xml:space="preserve"> 68.2005 </t>
  </si>
  <si>
    <t xml:space="preserve">F:\Données chgh\2020-CHG-CZA-Saccharin-1\plaque 2/@20 Testo +  Saccharin 10/D8_03.tif </t>
  </si>
  <si>
    <t xml:space="preserve"> 25004.1582 </t>
  </si>
  <si>
    <t xml:space="preserve"> 69.4948 </t>
  </si>
  <si>
    <t xml:space="preserve">F:\Données chgh\2020-CHG-CZA-Saccharin-1\plaque 2/@20 Testo +  Saccharin 10/E8_01.tif </t>
  </si>
  <si>
    <t xml:space="preserve"> 63.2692 </t>
  </si>
  <si>
    <t xml:space="preserve">F:\Données chgh\2020-CHG-CZA-Saccharin-1\plaque 2/@20 Testo +  Saccharin 10/E8_02.tif </t>
  </si>
  <si>
    <t xml:space="preserve"> 389.3381 </t>
  </si>
  <si>
    <t xml:space="preserve"> 62.2222 </t>
  </si>
  <si>
    <t xml:space="preserve">F:\Données chgh\2020-CHG-CZA-Saccharin-1\plaque 2/@20 Testo +  Saccharin 10/E8_03.tif </t>
  </si>
  <si>
    <t xml:space="preserve"> 64.0833 </t>
  </si>
  <si>
    <t>F:\Données chgh\2020-CHG-CZA-Saccharin-1\plaque 2/@20 Testo +  Saccharin 10/F8_01- exclu.tif</t>
  </si>
  <si>
    <t xml:space="preserve">F:\Données chgh\2020-CHG-CZA-Saccharin-1\plaque 2/@20 Testo +  Saccharin 10/F8_02.tif </t>
  </si>
  <si>
    <t xml:space="preserve"> 19228.9763 </t>
  </si>
  <si>
    <t xml:space="preserve"> 68.7109 </t>
  </si>
  <si>
    <t xml:space="preserve">F:\Données chgh\2020-CHG-CZA-Saccharin-1\plaque 2/@20 Testo +  Saccharin 10/F8_03.tif </t>
  </si>
  <si>
    <t xml:space="preserve"> 20159.0618 </t>
  </si>
  <si>
    <t xml:space="preserve"> 67.6695 </t>
  </si>
  <si>
    <t xml:space="preserve">F:\Données chgh\2020-CHG-CZA-Saccharin-1\plaque 2/@20 Testo +  Saccharin 10/G8_01.tif </t>
  </si>
  <si>
    <t xml:space="preserve"> 62.9444 </t>
  </si>
  <si>
    <t xml:space="preserve">F:\Données chgh\2020-CHG-CZA-Saccharin-1\plaque 2/@20 Testo +  Saccharin 10/G8_02.tif </t>
  </si>
  <si>
    <t xml:space="preserve"> 63.1515 </t>
  </si>
  <si>
    <t xml:space="preserve">F:\Données chgh\2020-CHG-CZA-Saccharin-1\plaque 2/@20 Testo +  Saccharin 10/G8_03.tif </t>
  </si>
  <si>
    <t xml:space="preserve"> 843.5659 </t>
  </si>
  <si>
    <t xml:space="preserve"> 64.0769 </t>
  </si>
  <si>
    <t xml:space="preserve">F:\Données chgh\2020-CHG-CZA-Saccharin-1\plaque 2/@20 Testo +  Saccharin 10/H8_01.tif </t>
  </si>
  <si>
    <t xml:space="preserve"> 28291.9022 </t>
  </si>
  <si>
    <t xml:space="preserve"> 70.5917 </t>
  </si>
  <si>
    <t xml:space="preserve">F:\Données chgh\2020-CHG-CZA-Saccharin-1\plaque 2/@20 Testo +  Saccharin 10/H8_02.tif </t>
  </si>
  <si>
    <t xml:space="preserve"> 24506.6706 </t>
  </si>
  <si>
    <t xml:space="preserve"> 68.1289 </t>
  </si>
  <si>
    <t xml:space="preserve">F:\Données chgh\2020-CHG-CZA-Saccharin-1\plaque 2/@20 Testo +  Saccharin 10/H8_03.tif </t>
  </si>
  <si>
    <t xml:space="preserve"> 67.5922 </t>
  </si>
  <si>
    <t xml:space="preserve">F:\Données chgh\2020-CHG-CZA-Saccharin-1\plaque 2/@20 Testo +  Saccharin 10/ </t>
  </si>
  <si>
    <t xml:space="preserve"> 66.1354 </t>
  </si>
  <si>
    <t xml:space="preserve"> 2.4268 </t>
  </si>
  <si>
    <t xml:space="preserve"> 870371.625 </t>
  </si>
  <si>
    <t xml:space="preserve"> 1064602.8 </t>
  </si>
  <si>
    <t xml:space="preserve">F:\Données chgh\2020-CHG-CZA-Saccharin-1\plaque 2/@21 Testo +   Saccharin 100/A9_01.tif </t>
  </si>
  <si>
    <t xml:space="preserve"> 63.8148 </t>
  </si>
  <si>
    <t xml:space="preserve">F:\Données chgh\2020-CHG-CZA-Saccharin-1\plaque 2/@21 Testo +   Saccharin 100/A9_02.tif </t>
  </si>
  <si>
    <t xml:space="preserve"> 64.2373 </t>
  </si>
  <si>
    <t xml:space="preserve">F:\Données chgh\2020-CHG-CZA-Saccharin-1\plaque 2/@21 Testo +   Saccharin 100/A9_03.tif </t>
  </si>
  <si>
    <t xml:space="preserve"> 778.6762 </t>
  </si>
  <si>
    <t xml:space="preserve"> 63.7778 </t>
  </si>
  <si>
    <t xml:space="preserve">F:\Données chgh\2020-CHG-CZA-Saccharin-1\plaque 2/@21 Testo +   Saccharin 100/B9_01.tif </t>
  </si>
  <si>
    <t xml:space="preserve"> 59936.438 </t>
  </si>
  <si>
    <t xml:space="preserve"> 76.0834 </t>
  </si>
  <si>
    <t xml:space="preserve">F:\Données chgh\2020-CHG-CZA-Saccharin-1\plaque 2/@21 Testo +   Saccharin 100/B9_02.tif </t>
  </si>
  <si>
    <t xml:space="preserve"> 48169.7753 </t>
  </si>
  <si>
    <t xml:space="preserve"> 73.8716 </t>
  </si>
  <si>
    <t xml:space="preserve">F:\Données chgh\2020-CHG-CZA-Saccharin-1\plaque 2/@21 Testo +   Saccharin 100/B9_03.tif </t>
  </si>
  <si>
    <t xml:space="preserve"> 52063.1564 </t>
  </si>
  <si>
    <t xml:space="preserve"> 73.5509 </t>
  </si>
  <si>
    <t xml:space="preserve">F:\Données chgh\2020-CHG-CZA-Saccharin-1\plaque 2/@21 Testo +   Saccharin 100/C9_01.tif </t>
  </si>
  <si>
    <t xml:space="preserve"> 39820.636 </t>
  </si>
  <si>
    <t xml:space="preserve"> 75.8599 </t>
  </si>
  <si>
    <t xml:space="preserve">F:\Données chgh\2020-CHG-CZA-Saccharin-1\plaque 2/@21 Testo +   Saccharin 100/C9_02.tif </t>
  </si>
  <si>
    <t xml:space="preserve"> 35018.7994 </t>
  </si>
  <si>
    <t xml:space="preserve"> 82.491 </t>
  </si>
  <si>
    <t xml:space="preserve">F:\Données chgh\2020-CHG-CZA-Saccharin-1\plaque 2/@21 Testo +   Saccharin 100/C9_03.tif </t>
  </si>
  <si>
    <t xml:space="preserve"> 39106.8495 </t>
  </si>
  <si>
    <t xml:space="preserve"> 81.6278 </t>
  </si>
  <si>
    <t xml:space="preserve">F:\Données chgh\2020-CHG-CZA-Saccharin-1\plaque 2/@21 Testo +   Saccharin 100/D9_01.tif </t>
  </si>
  <si>
    <t xml:space="preserve"> 2119.7297 </t>
  </si>
  <si>
    <t xml:space="preserve"> 65.2449 </t>
  </si>
  <si>
    <t xml:space="preserve">F:\Données chgh\2020-CHG-CZA-Saccharin-1\plaque 2/@21 Testo +   Saccharin 100/D9_02.tif </t>
  </si>
  <si>
    <t xml:space="preserve"> 65.8 </t>
  </si>
  <si>
    <t xml:space="preserve">F:\Données chgh\2020-CHG-CZA-Saccharin-1\plaque 2/@21 Testo +   Saccharin 100/D9_03.tif </t>
  </si>
  <si>
    <t xml:space="preserve"> 1687.1318 </t>
  </si>
  <si>
    <t xml:space="preserve"> 63.8718 </t>
  </si>
  <si>
    <t xml:space="preserve">F:\Données chgh\2020-CHG-CZA-Saccharin-1\plaque 2/@21 Testo +   Saccharin 100/E9_01.tif </t>
  </si>
  <si>
    <t xml:space="preserve"> 49813.6473 </t>
  </si>
  <si>
    <t xml:space="preserve"> 72.9301 </t>
  </si>
  <si>
    <t xml:space="preserve">F:\Données chgh\2020-CHG-CZA-Saccharin-1\plaque 2/@21 Testo +   Saccharin 100/E9_02.tif </t>
  </si>
  <si>
    <t xml:space="preserve"> 45314.6292 </t>
  </si>
  <si>
    <t xml:space="preserve"> 72.2539 </t>
  </si>
  <si>
    <t xml:space="preserve">F:\Données chgh\2020-CHG-CZA-Saccharin-1\plaque 2/@21 Testo +   Saccharin 100/E9_03.tif </t>
  </si>
  <si>
    <t xml:space="preserve"> 49921.7968 </t>
  </si>
  <si>
    <t xml:space="preserve"> 73.364 </t>
  </si>
  <si>
    <t xml:space="preserve">F:\Données chgh\2020-CHG-CZA-Saccharin-1\plaque 2/@21 Testo +   Saccharin 100/F9_01.tif </t>
  </si>
  <si>
    <t xml:space="preserve"> 10793.3174 </t>
  </si>
  <si>
    <t xml:space="preserve"> 66.511 </t>
  </si>
  <si>
    <t xml:space="preserve">F:\Données chgh\2020-CHG-CZA-Saccharin-1\plaque 2/@21 Testo +   Saccharin 100/F9_02.tif </t>
  </si>
  <si>
    <t xml:space="preserve"> 13843.1326 </t>
  </si>
  <si>
    <t xml:space="preserve"> 69.325 </t>
  </si>
  <si>
    <t xml:space="preserve">F:\Données chgh\2020-CHG-CZA-Saccharin-1\plaque 2/@21 Testo +   Saccharin 100/F9_03.tif </t>
  </si>
  <si>
    <t xml:space="preserve"> 8781.7372 </t>
  </si>
  <si>
    <t xml:space="preserve"> 68.0517 </t>
  </si>
  <si>
    <t xml:space="preserve">F:\Données chgh\2020-CHG-CZA-Saccharin-1\plaque 2/@21 Testo +   Saccharin 100/G9_01.tif </t>
  </si>
  <si>
    <t xml:space="preserve"> 13497.0542 </t>
  </si>
  <si>
    <t xml:space="preserve"> 65.0801 </t>
  </si>
  <si>
    <t xml:space="preserve">F:\Données chgh\2020-CHG-CZA-Saccharin-1\plaque 2/@21 Testo +   Saccharin 100/G9_02.tif </t>
  </si>
  <si>
    <t xml:space="preserve"> 26301.9519 </t>
  </si>
  <si>
    <t xml:space="preserve"> 72.9951 </t>
  </si>
  <si>
    <t xml:space="preserve">F:\Données chgh\2020-CHG-CZA-Saccharin-1\plaque 2/@21 Testo +   Saccharin 100/G9_03.tif </t>
  </si>
  <si>
    <t xml:space="preserve"> 15487.0046 </t>
  </si>
  <si>
    <t xml:space="preserve"> 66.648 </t>
  </si>
  <si>
    <t xml:space="preserve">F:\Données chgh\2020-CHG-CZA-Saccharin-1\plaque 2/@21 Testo +   Saccharin 100/H9_01.tif </t>
  </si>
  <si>
    <t xml:space="preserve"> 10641.9082 </t>
  </si>
  <si>
    <t xml:space="preserve"> 68.7744 </t>
  </si>
  <si>
    <t xml:space="preserve">F:\Données chgh\2020-CHG-CZA-Saccharin-1\plaque 2/@21 Testo +   Saccharin 100/H9_02.tif </t>
  </si>
  <si>
    <t xml:space="preserve"> 7008.0859 </t>
  </si>
  <si>
    <t xml:space="preserve"> 67.5741 </t>
  </si>
  <si>
    <t xml:space="preserve">F:\Données chgh\2020-CHG-CZA-Saccharin-1\plaque 2/@21 Testo +   Saccharin 100/H9_03.tif </t>
  </si>
  <si>
    <t xml:space="preserve"> 8695.2176 </t>
  </si>
  <si>
    <t xml:space="preserve"> 66.291 </t>
  </si>
  <si>
    <t xml:space="preserve">F:\Données chgh\2020-CHG-CZA-Saccharin-1\plaque 2/@21 Testo +   Saccharin 100/ </t>
  </si>
  <si>
    <t xml:space="preserve"> 70.0012 </t>
  </si>
  <si>
    <t xml:space="preserve"> 5.4578 </t>
  </si>
  <si>
    <t xml:space="preserve"> 1665178.33 </t>
  </si>
  <si>
    <t xml:space="preserve"> 1546619.46 </t>
  </si>
  <si>
    <t xml:space="preserve"> n total analysed</t>
  </si>
  <si>
    <t>01 TS</t>
  </si>
  <si>
    <t>02 EE2 34</t>
  </si>
  <si>
    <t>03 EE2 51</t>
  </si>
  <si>
    <t>04 EE2 76</t>
  </si>
  <si>
    <t>05 EE2 114</t>
  </si>
  <si>
    <t>06 EE2 171</t>
  </si>
  <si>
    <t>07 EE2 488</t>
  </si>
  <si>
    <t>08 Saccharin 0,01</t>
  </si>
  <si>
    <t>09  Saccharin 0,1</t>
  </si>
  <si>
    <t>10  Saccharin 1</t>
  </si>
  <si>
    <t>11  Saccharin 10</t>
  </si>
  <si>
    <t>12  Saccharin 100</t>
  </si>
  <si>
    <t>13 Testo 30</t>
  </si>
  <si>
    <t>14 Testo 30</t>
  </si>
  <si>
    <t>15 Testo + EE2</t>
  </si>
  <si>
    <t>16 Testo + FAD</t>
  </si>
  <si>
    <t>17 Testo +  Saccharin 0,01</t>
  </si>
  <si>
    <t>18  Testo +  Saccharin 0,1</t>
  </si>
  <si>
    <t>19 Testo +  Saccharin 1</t>
  </si>
  <si>
    <t>20 Testo +  Saccharin 10</t>
  </si>
  <si>
    <t>21 Testo +   Saccharin 100</t>
  </si>
  <si>
    <t>B</t>
  </si>
  <si>
    <t>C</t>
  </si>
  <si>
    <t>D</t>
  </si>
  <si>
    <t>E</t>
  </si>
  <si>
    <t>F</t>
  </si>
  <si>
    <t>G</t>
  </si>
  <si>
    <t>H</t>
  </si>
  <si>
    <t>NC</t>
  </si>
  <si>
    <t xml:space="preserve"> 63.75 </t>
  </si>
  <si>
    <t xml:space="preserve"> 5840.0715 </t>
  </si>
  <si>
    <t xml:space="preserve"> 5948.221 </t>
  </si>
  <si>
    <t xml:space="preserve"> 63.1667 </t>
  </si>
  <si>
    <t xml:space="preserve"> 1059.8648 </t>
  </si>
  <si>
    <t xml:space="preserve"> 64.5714 </t>
  </si>
  <si>
    <t xml:space="preserve"> 2682.1069 </t>
  </si>
  <si>
    <t xml:space="preserve"> 2617.2173 </t>
  </si>
  <si>
    <t xml:space="preserve"> 43.2598 </t>
  </si>
  <si>
    <t xml:space="preserve"> 5472.3633 </t>
  </si>
  <si>
    <t xml:space="preserve"> 4888.3562 </t>
  </si>
  <si>
    <t xml:space="preserve"> 7354.1642 </t>
  </si>
  <si>
    <t xml:space="preserve"> 4953.2459 </t>
  </si>
  <si>
    <t xml:space="preserve"> 951.7154 </t>
  </si>
  <si>
    <t xml:space="preserve"> 5277.6943 </t>
  </si>
  <si>
    <t xml:space="preserve"> 3309.3739 </t>
  </si>
  <si>
    <t xml:space="preserve"> 63.8954 </t>
  </si>
  <si>
    <t xml:space="preserve"> 3374.2636 </t>
  </si>
  <si>
    <t xml:space="preserve"> 3504.0429 </t>
  </si>
  <si>
    <t xml:space="preserve"> 9495.5237 </t>
  </si>
  <si>
    <t xml:space="preserve"> 2141.3596 </t>
  </si>
  <si>
    <t xml:space="preserve"> 7267.6446 </t>
  </si>
  <si>
    <t xml:space="preserve"> 10706.7978 </t>
  </si>
  <si>
    <t xml:space="preserve"> 15465.3747 </t>
  </si>
  <si>
    <t xml:space="preserve"> 15032.7768 </t>
  </si>
  <si>
    <t xml:space="preserve"> 18493.5599 </t>
  </si>
  <si>
    <t xml:space="preserve"> 54074.7366 </t>
  </si>
  <si>
    <t xml:space="preserve"> 8435.6589 </t>
  </si>
  <si>
    <t xml:space="preserve"> 2487.4379 </t>
  </si>
  <si>
    <t xml:space="preserve"> 7029.7158 </t>
  </si>
  <si>
    <t xml:space="preserve"> 821.936 </t>
  </si>
  <si>
    <t xml:space="preserve"> 886.8257 </t>
  </si>
  <si>
    <t xml:space="preserve"> 3633.8223 </t>
  </si>
  <si>
    <t xml:space="preserve"> 63.7105 </t>
  </si>
  <si>
    <t xml:space="preserve"> 1016.605 </t>
  </si>
  <si>
    <t xml:space="preserve"> 1297.7937 </t>
  </si>
  <si>
    <t xml:space="preserve"> 63.4615 </t>
  </si>
  <si>
    <t xml:space="preserve"> 63.1429 </t>
  </si>
  <si>
    <t xml:space="preserve"> 62.3333 </t>
  </si>
  <si>
    <t xml:space="preserve"> 4066.4202 </t>
  </si>
  <si>
    <t xml:space="preserve"> 63.8125 </t>
  </si>
  <si>
    <t xml:space="preserve"> 64.5 </t>
  </si>
  <si>
    <t xml:space="preserve"> 2703.7368 </t>
  </si>
  <si>
    <t xml:space="preserve"> 8846.6269 </t>
  </si>
  <si>
    <t xml:space="preserve"> 62.75 </t>
  </si>
  <si>
    <t xml:space="preserve"> 2249.509 </t>
  </si>
  <si>
    <t xml:space="preserve"> 33072.1089 </t>
  </si>
  <si>
    <t xml:space="preserve"> 30065.5535 </t>
  </si>
  <si>
    <t xml:space="preserve"> 48256.2949 </t>
  </si>
  <si>
    <t xml:space="preserve"> 28962.4289 </t>
  </si>
  <si>
    <t xml:space="preserve"> 42783.9316 </t>
  </si>
  <si>
    <t xml:space="preserve"> 46439.3838 </t>
  </si>
  <si>
    <t xml:space="preserve"> 54615.4839 </t>
  </si>
  <si>
    <t xml:space="preserve"> 69.3703 </t>
  </si>
  <si>
    <t xml:space="preserve"> 4347.6088 </t>
  </si>
  <si>
    <t xml:space="preserve"> 2660.477 </t>
  </si>
  <si>
    <t xml:space="preserve"> 11355.6947 </t>
  </si>
  <si>
    <t xml:space="preserve"> 72.6779 </t>
  </si>
  <si>
    <t xml:space="preserve"> 65.625 </t>
  </si>
  <si>
    <t xml:space="preserve">F:\Données chgh\2020-CHG-CZA-Saccharin-2\plaque 2/@19 Testo +  Saccharin 1/A7_01.tif </t>
  </si>
  <si>
    <t xml:space="preserve"> 28637.9805 </t>
  </si>
  <si>
    <t xml:space="preserve"> 71.469 </t>
  </si>
  <si>
    <t xml:space="preserve">F:\Données chgh\2020-CHG-CZA-Saccharin-2\plaque 2/@19 Testo +  Saccharin 1/A7_02.tif </t>
  </si>
  <si>
    <t xml:space="preserve"> 68.3082 </t>
  </si>
  <si>
    <t xml:space="preserve">F:\Données chgh\2020-CHG-CZA-Saccharin-2\plaque 2/@19 Testo +  Saccharin 1/A7_03.tif </t>
  </si>
  <si>
    <t xml:space="preserve"> 17693.2538 </t>
  </si>
  <si>
    <t xml:space="preserve"> 68.4254 </t>
  </si>
  <si>
    <t xml:space="preserve">F:\Données chgh\2020-CHG-CZA-Saccharin-2\plaque 2/@19 Testo +  Saccharin 1/B7_01.tif </t>
  </si>
  <si>
    <t xml:space="preserve"> 7959.8012 </t>
  </si>
  <si>
    <t xml:space="preserve"> 66.9946 </t>
  </si>
  <si>
    <t xml:space="preserve">F:\Données chgh\2020-CHG-CZA-Saccharin-2\plaque 2/@19 Testo +  Saccharin 1/B7_02.tif </t>
  </si>
  <si>
    <t xml:space="preserve"> 64.3152 </t>
  </si>
  <si>
    <t xml:space="preserve">F:\Données chgh\2020-CHG-CZA-Saccharin-2\plaque 2/@19 Testo +  Saccharin 1/B7_03.tif </t>
  </si>
  <si>
    <t xml:space="preserve"> 4412.4985 </t>
  </si>
  <si>
    <t xml:space="preserve"> 65.1471 </t>
  </si>
  <si>
    <t xml:space="preserve">F:\Données chgh\2020-CHG-CZA-Saccharin-2\plaque 2/@19 Testo +  Saccharin 1/C7_01.tif </t>
  </si>
  <si>
    <t xml:space="preserve"> 20613.2896 </t>
  </si>
  <si>
    <t xml:space="preserve"> 75.9433 </t>
  </si>
  <si>
    <t xml:space="preserve">F:\Données chgh\2020-CHG-CZA-Saccharin-2\plaque 2/@19 Testo +  Saccharin 1/C7_02.tif </t>
  </si>
  <si>
    <t xml:space="preserve"> 21240.5565 </t>
  </si>
  <si>
    <t xml:space="preserve"> 77.6599 </t>
  </si>
  <si>
    <t>F:\Données chgh\2020-CHG-CZA-Saccharin-2\plaque 2/@19 Testo +  Saccharin 1/C7_03- exclu.tif</t>
  </si>
  <si>
    <t xml:space="preserve">F:\Données chgh\2020-CHG-CZA-Saccharin-2\plaque 2/@19 Testo +  Saccharin 1/D7_01.tif </t>
  </si>
  <si>
    <t xml:space="preserve"> 39388.0381 </t>
  </si>
  <si>
    <t xml:space="preserve"> 75.5706 </t>
  </si>
  <si>
    <t xml:space="preserve">F:\Données chgh\2020-CHG-CZA-Saccharin-2\plaque 2/@19 Testo +  Saccharin 1/D7_02.tif </t>
  </si>
  <si>
    <t xml:space="preserve"> 40166.7143 </t>
  </si>
  <si>
    <t xml:space="preserve"> 74.147 </t>
  </si>
  <si>
    <t xml:space="preserve">F:\Données chgh\2020-CHG-CZA-Saccharin-2\plaque 2/@19 Testo +  Saccharin 1/D7_03.tif </t>
  </si>
  <si>
    <t xml:space="preserve"> 29979.034 </t>
  </si>
  <si>
    <t xml:space="preserve"> 72.1941 </t>
  </si>
  <si>
    <t xml:space="preserve">F:\Données chgh\2020-CHG-CZA-Saccharin-2\plaque 2/@19 Testo +  Saccharin 1/E7_01.tif </t>
  </si>
  <si>
    <t xml:space="preserve"> 41572.6575 </t>
  </si>
  <si>
    <t xml:space="preserve"> 72.4797 </t>
  </si>
  <si>
    <t xml:space="preserve">F:\Données chgh\2020-CHG-CZA-Saccharin-2\plaque 2/@19 Testo +  Saccharin 1/E7_02.tif </t>
  </si>
  <si>
    <t xml:space="preserve"> 39582.7072 </t>
  </si>
  <si>
    <t xml:space="preserve"> 70.6475 </t>
  </si>
  <si>
    <t xml:space="preserve">F:\Données chgh\2020-CHG-CZA-Saccharin-2\plaque 2/@19 Testo +  Saccharin 1/E7_03.tif </t>
  </si>
  <si>
    <t xml:space="preserve"> 32379.9523 </t>
  </si>
  <si>
    <t xml:space="preserve"> 70.8864 </t>
  </si>
  <si>
    <t>F:\Données chgh\2020-CHG-CZA-Saccharin-2\plaque 2/@19 Testo +  Saccharin 1/F7_01- exclu.tif</t>
  </si>
  <si>
    <t xml:space="preserve">F:\Données chgh\2020-CHG-CZA-Saccharin-2\plaque 2/@19 Testo +  Saccharin 1/F7_02.tif </t>
  </si>
  <si>
    <t xml:space="preserve"> 62.9186 </t>
  </si>
  <si>
    <t xml:space="preserve">F:\Données chgh\2020-CHG-CZA-Saccharin-2\plaque 2/@19 Testo +  Saccharin 1/F7_03.tif </t>
  </si>
  <si>
    <t xml:space="preserve"> 62.4167 </t>
  </si>
  <si>
    <t xml:space="preserve">F:\Données chgh\2020-CHG-CZA-Saccharin-2\plaque 2/@19 Testo +  Saccharin 1/G7_01.tif </t>
  </si>
  <si>
    <t xml:space="preserve"> 8824.997 </t>
  </si>
  <si>
    <t xml:space="preserve"> 65.8064 </t>
  </si>
  <si>
    <t xml:space="preserve">F:\Données chgh\2020-CHG-CZA-Saccharin-2\plaque 2/@19 Testo +  Saccharin 1/G7_02.tif </t>
  </si>
  <si>
    <t xml:space="preserve"> 7072.9755 </t>
  </si>
  <si>
    <t xml:space="preserve"> 64.8777 </t>
  </si>
  <si>
    <t xml:space="preserve">F:\Données chgh\2020-CHG-CZA-Saccharin-2\plaque 2/@19 Testo +  Saccharin 1/G7_03.tif </t>
  </si>
  <si>
    <t xml:space="preserve"> 8868.2568 </t>
  </si>
  <si>
    <t xml:space="preserve"> 66.2976 </t>
  </si>
  <si>
    <t xml:space="preserve">F:\Données chgh\2020-CHG-CZA-Saccharin-2\plaque 2/@19 Testo +  Saccharin 1/H7_01.tif </t>
  </si>
  <si>
    <t xml:space="preserve"> 32552.9914 </t>
  </si>
  <si>
    <t xml:space="preserve"> 68.9223 </t>
  </si>
  <si>
    <t xml:space="preserve">F:\Données chgh\2020-CHG-CZA-Saccharin-2\plaque 2/@19 Testo +  Saccharin 1/H7_02.tif </t>
  </si>
  <si>
    <t xml:space="preserve"> 28032.3434 </t>
  </si>
  <si>
    <t xml:space="preserve"> 67.8981 </t>
  </si>
  <si>
    <t xml:space="preserve">F:\Données chgh\2020-CHG-CZA-Saccharin-2\plaque 2/@19 Testo +  Saccharin 1/H7_03.tif </t>
  </si>
  <si>
    <t xml:space="preserve"> 39690.8566 </t>
  </si>
  <si>
    <t xml:space="preserve"> 70.5499 </t>
  </si>
  <si>
    <t xml:space="preserve">F:\Données chgh\2020-CHG-CZA-Saccharin-2\plaque 2/@19 Testo +  Saccharin 1/ </t>
  </si>
  <si>
    <t xml:space="preserve"> 68.7969 </t>
  </si>
  <si>
    <t xml:space="preserve"> 4.3981 </t>
  </si>
  <si>
    <t xml:space="preserve"> 1418224.42 </t>
  </si>
  <si>
    <t xml:space="preserve"> 1079198.75 </t>
  </si>
  <si>
    <t xml:space="preserve">F:\Données chgh\2020-CHG-CZA-Saccharin-2\plaque 2/@20 Testo +  Saccharin 10/A8_01.tif </t>
  </si>
  <si>
    <t xml:space="preserve"> 48926.8217 </t>
  </si>
  <si>
    <t xml:space="preserve"> 73.1065 </t>
  </si>
  <si>
    <t xml:space="preserve">F:\Données chgh\2020-CHG-CZA-Saccharin-2\plaque 2/@20 Testo +  Saccharin 10/A8_02.tif </t>
  </si>
  <si>
    <t xml:space="preserve"> 55567.1993 </t>
  </si>
  <si>
    <t xml:space="preserve"> 74.0319 </t>
  </si>
  <si>
    <t xml:space="preserve">F:\Données chgh\2020-CHG-CZA-Saccharin-2\plaque 2/@20 Testo +  Saccharin 10/A8_03.tif </t>
  </si>
  <si>
    <t xml:space="preserve"> 49208.0103 </t>
  </si>
  <si>
    <t xml:space="preserve"> 72.2382 </t>
  </si>
  <si>
    <t xml:space="preserve">F:\Données chgh\2020-CHG-CZA-Saccharin-2\plaque 2/@20 Testo +  Saccharin 10/B8_01.tif </t>
  </si>
  <si>
    <t xml:space="preserve"> 53750.2882 </t>
  </si>
  <si>
    <t xml:space="preserve"> 76.2435 </t>
  </si>
  <si>
    <t xml:space="preserve">F:\Données chgh\2020-CHG-CZA-Saccharin-2\plaque 2/@20 Testo +  Saccharin 10/B8_02.tif </t>
  </si>
  <si>
    <t xml:space="preserve"> 43800.5366 </t>
  </si>
  <si>
    <t xml:space="preserve"> 76.3951 </t>
  </si>
  <si>
    <t xml:space="preserve">F:\Données chgh\2020-CHG-CZA-Saccharin-2\plaque 2/@20 Testo +  Saccharin 10/B8_03.tif </t>
  </si>
  <si>
    <t xml:space="preserve"> 72.2498 </t>
  </si>
  <si>
    <t xml:space="preserve">F:\Données chgh\2020-CHG-CZA-Saccharin-2\plaque 2/@20 Testo +  Saccharin 10/C8_01.tif </t>
  </si>
  <si>
    <t xml:space="preserve"> 65.0895 </t>
  </si>
  <si>
    <t xml:space="preserve">F:\Données chgh\2020-CHG-CZA-Saccharin-2\plaque 2/@20 Testo +  Saccharin 10/C8_02.tif </t>
  </si>
  <si>
    <t xml:space="preserve"> 4563.9078 </t>
  </si>
  <si>
    <t xml:space="preserve"> 65.0521 </t>
  </si>
  <si>
    <t xml:space="preserve">F:\Données chgh\2020-CHG-CZA-Saccharin-2\plaque 2/@20 Testo +  Saccharin 10/C8_03.tif </t>
  </si>
  <si>
    <t xml:space="preserve"> 63.984 </t>
  </si>
  <si>
    <t xml:space="preserve">F:\Données chgh\2020-CHG-CZA-Saccharin-2\plaque 2/@20 Testo +  Saccharin 10/D8_01.tif </t>
  </si>
  <si>
    <t xml:space="preserve"> 70.5189 </t>
  </si>
  <si>
    <t xml:space="preserve">F:\Données chgh\2020-CHG-CZA-Saccharin-2\plaque 2/@20 Testo +  Saccharin 10/D8_02.tif </t>
  </si>
  <si>
    <t xml:space="preserve"> 12977.9368 </t>
  </si>
  <si>
    <t xml:space="preserve"> 67.5417 </t>
  </si>
  <si>
    <t xml:space="preserve">F:\Données chgh\2020-CHG-CZA-Saccharin-2\plaque 2/@20 Testo +  Saccharin 10/D8_03.tif </t>
  </si>
  <si>
    <t xml:space="preserve"> 10598.6484 </t>
  </si>
  <si>
    <t xml:space="preserve"> 65.6449 </t>
  </si>
  <si>
    <t>F:\Données chgh\2020-CHG-CZA-Saccharin-2\plaque 2/@20 Testo +  Saccharin 10/E8_01- exclu.tif</t>
  </si>
  <si>
    <t xml:space="preserve">F:\Données chgh\2020-CHG-CZA-Saccharin-2\plaque 2/@20 Testo +  Saccharin 10/E8_02.tif </t>
  </si>
  <si>
    <t xml:space="preserve"> 36597.7817 </t>
  </si>
  <si>
    <t xml:space="preserve"> 73.2719 </t>
  </si>
  <si>
    <t xml:space="preserve">F:\Données chgh\2020-CHG-CZA-Saccharin-2\plaque 2/@20 Testo +  Saccharin 10/E8_03.tif </t>
  </si>
  <si>
    <t xml:space="preserve"> 32769.2904 </t>
  </si>
  <si>
    <t xml:space="preserve"> 71.3347 </t>
  </si>
  <si>
    <t xml:space="preserve">F:\Données chgh\2020-CHG-CZA-Saccharin-2\plaque 2/@20 Testo +  Saccharin 10/F8_01.tif </t>
  </si>
  <si>
    <t xml:space="preserve"> 21024.2576 </t>
  </si>
  <si>
    <t xml:space="preserve"> 73.3395 </t>
  </si>
  <si>
    <t xml:space="preserve">F:\Données chgh\2020-CHG-CZA-Saccharin-2\plaque 2/@20 Testo +  Saccharin 10/F8_02.tif </t>
  </si>
  <si>
    <t xml:space="preserve"> 20916.1081 </t>
  </si>
  <si>
    <t xml:space="preserve"> 71.1758 </t>
  </si>
  <si>
    <t xml:space="preserve">F:\Données chgh\2020-CHG-CZA-Saccharin-2\plaque 2/@20 Testo +  Saccharin 10/F8_03.tif </t>
  </si>
  <si>
    <t xml:space="preserve"> 20894.4782 </t>
  </si>
  <si>
    <t xml:space="preserve"> 74.8458 </t>
  </si>
  <si>
    <t xml:space="preserve">F:\Données chgh\2020-CHG-CZA-Saccharin-2\plaque 2/@20 Testo +  Saccharin 10/G8_01.tif </t>
  </si>
  <si>
    <t xml:space="preserve"> 42697.412 </t>
  </si>
  <si>
    <t xml:space="preserve"> 78.3455 </t>
  </si>
  <si>
    <t xml:space="preserve">F:\Données chgh\2020-CHG-CZA-Saccharin-2\plaque 2/@20 Testo +  Saccharin 10/G8_02.tif </t>
  </si>
  <si>
    <t xml:space="preserve"> 79.0932 </t>
  </si>
  <si>
    <t xml:space="preserve">F:\Données chgh\2020-CHG-CZA-Saccharin-2\plaque 2/@20 Testo +  Saccharin 10/G8_03.tif </t>
  </si>
  <si>
    <t xml:space="preserve"> 38501.2124 </t>
  </si>
  <si>
    <t xml:space="preserve"> 78.9309 </t>
  </si>
  <si>
    <t xml:space="preserve">F:\Données chgh\2020-CHG-CZA-Saccharin-2\plaque 2/@20 Testo +  Saccharin 10/H8_01.tif </t>
  </si>
  <si>
    <t xml:space="preserve"> 40837.2411 </t>
  </si>
  <si>
    <t xml:space="preserve"> 72.6377 </t>
  </si>
  <si>
    <t xml:space="preserve">F:\Données chgh\2020-CHG-CZA-Saccharin-2\plaque 2/@20 Testo +  Saccharin 10/H8_02.tif </t>
  </si>
  <si>
    <t xml:space="preserve"> 39885.5257 </t>
  </si>
  <si>
    <t xml:space="preserve"> 72.7749 </t>
  </si>
  <si>
    <t xml:space="preserve">F:\Données chgh\2020-CHG-CZA-Saccharin-2\plaque 2/@20 Testo +  Saccharin 10/H8_03.tif </t>
  </si>
  <si>
    <t xml:space="preserve"> 36489.6322 </t>
  </si>
  <si>
    <t xml:space="preserve"> 71.4582 </t>
  </si>
  <si>
    <t xml:space="preserve">F:\Données chgh\2020-CHG-CZA-Saccharin-2\plaque 2/@20 Testo +  Saccharin 10/ </t>
  </si>
  <si>
    <t xml:space="preserve"> 72.13 </t>
  </si>
  <si>
    <t xml:space="preserve"> 4.2616 </t>
  </si>
  <si>
    <t xml:space="preserve"> 2293094.25 </t>
  </si>
  <si>
    <t xml:space="preserve"> 1272343.01 </t>
  </si>
  <si>
    <t xml:space="preserve">F:\Données chgh\2020-CHG-CZA-Saccharin-2\plaque 2/@21 Testo +   Saccharin 100/A9_01.tif </t>
  </si>
  <si>
    <t xml:space="preserve"> 12653.4884 </t>
  </si>
  <si>
    <t xml:space="preserve"> 69.8821 </t>
  </si>
  <si>
    <t xml:space="preserve">F:\Données chgh\2020-CHG-CZA-Saccharin-2\plaque 2/@21 Testo +   Saccharin 100/A9_02.tif </t>
  </si>
  <si>
    <t xml:space="preserve"> 12610.2286 </t>
  </si>
  <si>
    <t xml:space="preserve"> 69.3739 </t>
  </si>
  <si>
    <t xml:space="preserve">F:\Données chgh\2020-CHG-CZA-Saccharin-2\plaque 2/@21 Testo +   Saccharin 100/A9_03.tif </t>
  </si>
  <si>
    <t xml:space="preserve"> 7570.4631 </t>
  </si>
  <si>
    <t xml:space="preserve"> 66.2543 </t>
  </si>
  <si>
    <t xml:space="preserve">F:\Données chgh\2020-CHG-CZA-Saccharin-2\plaque 2/@21 Testo +   Saccharin 100/B9_01.tif </t>
  </si>
  <si>
    <t xml:space="preserve"> 43281.4192 </t>
  </si>
  <si>
    <t xml:space="preserve"> 72.8046 </t>
  </si>
  <si>
    <t xml:space="preserve">F:\Données chgh\2020-CHG-CZA-Saccharin-2\plaque 2/@21 Testo +   Saccharin 100/B9_02.tif </t>
  </si>
  <si>
    <t xml:space="preserve"> 42199.9244 </t>
  </si>
  <si>
    <t xml:space="preserve"> 72.3685 </t>
  </si>
  <si>
    <t xml:space="preserve">F:\Données chgh\2020-CHG-CZA-Saccharin-2\plaque 2/@21 Testo +   Saccharin 100/B9_03.tif </t>
  </si>
  <si>
    <t xml:space="preserve"> 33699.3758 </t>
  </si>
  <si>
    <t xml:space="preserve"> 74.7317 </t>
  </si>
  <si>
    <t xml:space="preserve">F:\Données chgh\2020-CHG-CZA-Saccharin-2\plaque 2/@21 Testo +   Saccharin 100/C9_01.tif </t>
  </si>
  <si>
    <t xml:space="preserve"> 10750.0576 </t>
  </si>
  <si>
    <t xml:space="preserve"> 68.1127 </t>
  </si>
  <si>
    <t xml:space="preserve">F:\Données chgh\2020-CHG-CZA-Saccharin-2\plaque 2/@21 Testo +   Saccharin 100/C9_02.tif </t>
  </si>
  <si>
    <t xml:space="preserve"> 67.0652 </t>
  </si>
  <si>
    <t xml:space="preserve">F:\Données chgh\2020-CHG-CZA-Saccharin-2\plaque 2/@21 Testo +   Saccharin 100/C9_03.tif </t>
  </si>
  <si>
    <t xml:space="preserve"> 64.3438 </t>
  </si>
  <si>
    <t xml:space="preserve">F:\Données chgh\2020-CHG-CZA-Saccharin-2\plaque 2/@21 Testo +   Saccharin 100/D9_01.tif </t>
  </si>
  <si>
    <t xml:space="preserve"> 12631.8585 </t>
  </si>
  <si>
    <t xml:space="preserve"> 66.0034 </t>
  </si>
  <si>
    <t xml:space="preserve">F:\Données chgh\2020-CHG-CZA-Saccharin-2\plaque 2/@21 Testo +   Saccharin 100/D9_02.tif </t>
  </si>
  <si>
    <t xml:space="preserve"> 7548.8332 </t>
  </si>
  <si>
    <t xml:space="preserve"> 66.5272 </t>
  </si>
  <si>
    <t xml:space="preserve">F:\Données chgh\2020-CHG-CZA-Saccharin-2\plaque 2/@21 Testo +   Saccharin 100/D9_03.tif </t>
  </si>
  <si>
    <t xml:space="preserve"> 17649.994 </t>
  </si>
  <si>
    <t xml:space="preserve"> 67.8358 </t>
  </si>
  <si>
    <t xml:space="preserve">F:\Données chgh\2020-CHG-CZA-Saccharin-2\plaque 2/@21 Testo +   Saccharin 100/E9_01.tif </t>
  </si>
  <si>
    <t xml:space="preserve"> 5407.4737 </t>
  </si>
  <si>
    <t xml:space="preserve"> 63.22 </t>
  </si>
  <si>
    <t xml:space="preserve">F:\Données chgh\2020-CHG-CZA-Saccharin-2\plaque 2/@21 Testo +   Saccharin 100/E9_02.tif </t>
  </si>
  <si>
    <t xml:space="preserve"> 1838.541 </t>
  </si>
  <si>
    <t xml:space="preserve"> 62.9176 </t>
  </si>
  <si>
    <t xml:space="preserve">F:\Données chgh\2020-CHG-CZA-Saccharin-2\plaque 2/@21 Testo +   Saccharin 100/E9_03.tif </t>
  </si>
  <si>
    <t xml:space="preserve"> 61.8667 </t>
  </si>
  <si>
    <t xml:space="preserve">F:\Données chgh\2020-CHG-CZA-Saccharin-2\plaque 2/@21 Testo +   Saccharin 100/F9_01.tif </t>
  </si>
  <si>
    <t xml:space="preserve"> 42243.1842 </t>
  </si>
  <si>
    <t xml:space="preserve"> 73.3425 </t>
  </si>
  <si>
    <t xml:space="preserve">F:\Données chgh\2020-CHG-CZA-Saccharin-2\plaque 2/@21 Testo +   Saccharin 100/F9_02.tif </t>
  </si>
  <si>
    <t xml:space="preserve"> 41961.9956 </t>
  </si>
  <si>
    <t xml:space="preserve"> 73.901 </t>
  </si>
  <si>
    <t xml:space="preserve">F:\Données chgh\2020-CHG-CZA-Saccharin-2\plaque 2/@21 Testo +   Saccharin 100/F9_03.tif </t>
  </si>
  <si>
    <t xml:space="preserve"> 37333.1981 </t>
  </si>
  <si>
    <t xml:space="preserve"> 70.9623 </t>
  </si>
  <si>
    <t xml:space="preserve">F:\Données chgh\2020-CHG-CZA-Saccharin-2\plaque 2/@21 Testo +   Saccharin 100/G9_01.tif </t>
  </si>
  <si>
    <t xml:space="preserve"> 60866.5235 </t>
  </si>
  <si>
    <t xml:space="preserve"> 73.2424 </t>
  </si>
  <si>
    <t xml:space="preserve">F:\Données chgh\2020-CHG-CZA-Saccharin-2\plaque 2/@21 Testo +   Saccharin 100/G9_02.tif </t>
  </si>
  <si>
    <t xml:space="preserve"> 58573.7547 </t>
  </si>
  <si>
    <t xml:space="preserve"> 73.1839 </t>
  </si>
  <si>
    <t xml:space="preserve">F:\Données chgh\2020-CHG-CZA-Saccharin-2\plaque 2/@21 Testo +   Saccharin 100/G9_03.tif </t>
  </si>
  <si>
    <t xml:space="preserve"> 49467.569 </t>
  </si>
  <si>
    <t xml:space="preserve"> 70.2886 </t>
  </si>
  <si>
    <t>F:\Données chgh\2020-CHG-CZA-Saccharin-2\plaque 2/@21 Testo +   Saccharin 100/H9_01- exclu.tif</t>
  </si>
  <si>
    <t xml:space="preserve">F:\Données chgh\2020-CHG-CZA-Saccharin-2\plaque 2/@21 Testo +   Saccharin 100/H9_02.tif </t>
  </si>
  <si>
    <t xml:space="preserve"> 66.328 </t>
  </si>
  <si>
    <t xml:space="preserve">F:\Données chgh\2020-CHG-CZA-Saccharin-2\plaque 2/@21 Testo +   Saccharin 100/H9_03.tif </t>
  </si>
  <si>
    <t xml:space="preserve"> 5602.1427 </t>
  </si>
  <si>
    <t xml:space="preserve"> 65.6525 </t>
  </si>
  <si>
    <t xml:space="preserve">F:\Données chgh\2020-CHG-CZA-Saccharin-2\plaque 2/@21 Testo +   Saccharin 100/ </t>
  </si>
  <si>
    <t xml:space="preserve"> 68.5743 </t>
  </si>
  <si>
    <t xml:space="preserve"> 3.8488 </t>
  </si>
  <si>
    <t xml:space="preserve"> 1580999.33 </t>
  </si>
  <si>
    <t xml:space="preserve"> 1448872.56 </t>
  </si>
  <si>
    <t>2020-CHG-CZA-Saccharin-1</t>
  </si>
  <si>
    <t>2020-CHG-CZA-Saccharin-2</t>
  </si>
  <si>
    <t>2020-CHG-CZA-Saccharin-3</t>
  </si>
  <si>
    <t>***</t>
  </si>
  <si>
    <t xml:space="preserve">F:\Données chgh\2020-CHG-CZA-Saccharin-3\plaque 1/@01 TS/A1_01.tif </t>
  </si>
  <si>
    <t xml:space="preserve"> 65.3684 </t>
  </si>
  <si>
    <t xml:space="preserve">F:\Données chgh\2020-CHG-CZA-Saccharin-3\plaque 1/@01 TS/A1_02.tif </t>
  </si>
  <si>
    <t xml:space="preserve"> 67.5532 </t>
  </si>
  <si>
    <t xml:space="preserve">F:\Données chgh\2020-CHG-CZA-Saccharin-3\plaque 1/@01 TS/A1_03.tif </t>
  </si>
  <si>
    <t xml:space="preserve"> 66.4054 </t>
  </si>
  <si>
    <t xml:space="preserve">F:\Données chgh\2020-CHG-CZA-Saccharin-3\plaque 1/@01 TS/B1_01.tif </t>
  </si>
  <si>
    <t xml:space="preserve">F:\Données chgh\2020-CHG-CZA-Saccharin-3\plaque 1/@01 TS/B1_02.tif </t>
  </si>
  <si>
    <t xml:space="preserve"> 2876.776 </t>
  </si>
  <si>
    <t xml:space="preserve"> 66.7669 </t>
  </si>
  <si>
    <t xml:space="preserve">F:\Données chgh\2020-CHG-CZA-Saccharin-3\plaque 1/@01 TS/B1_03.tif </t>
  </si>
  <si>
    <t xml:space="preserve"> 65.4775 </t>
  </si>
  <si>
    <t xml:space="preserve">F:\Données chgh\2020-CHG-CZA-Saccharin-3\plaque 1/@01 TS/C1_01.tif </t>
  </si>
  <si>
    <t xml:space="preserve"> 4628.7975 </t>
  </si>
  <si>
    <t xml:space="preserve"> 68.8084 </t>
  </si>
  <si>
    <t xml:space="preserve">F:\Données chgh\2020-CHG-CZA-Saccharin-3\plaque 1/@01 TS/C1_02.tif </t>
  </si>
  <si>
    <t xml:space="preserve"> 67.973 </t>
  </si>
  <si>
    <t xml:space="preserve">F:\Données chgh\2020-CHG-CZA-Saccharin-3\plaque 1/@01 TS/C1_03.tif </t>
  </si>
  <si>
    <t xml:space="preserve"> 3439.1532 </t>
  </si>
  <si>
    <t xml:space="preserve"> 66.1761 </t>
  </si>
  <si>
    <t xml:space="preserve">F:\Données chgh\2020-CHG-CZA-Saccharin-3\plaque 1/@01 TS/D1_01.tif </t>
  </si>
  <si>
    <t xml:space="preserve"> 13561.9439 </t>
  </si>
  <si>
    <t xml:space="preserve"> 71.7033 </t>
  </si>
  <si>
    <t xml:space="preserve">F:\Données chgh\2020-CHG-CZA-Saccharin-3\plaque 1/@01 TS/D1_02.tif </t>
  </si>
  <si>
    <t xml:space="preserve"> 63.6364 </t>
  </si>
  <si>
    <t xml:space="preserve">F:\Données chgh\2020-CHG-CZA-Saccharin-3\plaque 1/@01 TS/D1_03.tif </t>
  </si>
  <si>
    <t xml:space="preserve">F:\Données chgh\2020-CHG-CZA-Saccharin-3\plaque 1/@01 TS/E1_01.tif </t>
  </si>
  <si>
    <t xml:space="preserve"> 62.9565 </t>
  </si>
  <si>
    <t xml:space="preserve">F:\Données chgh\2020-CHG-CZA-Saccharin-3\plaque 1/@01 TS/E1_02.tif </t>
  </si>
  <si>
    <t xml:space="preserve"> 67.8269 </t>
  </si>
  <si>
    <t xml:space="preserve">F:\Données chgh\2020-CHG-CZA-Saccharin-3\plaque 1/@01 TS/E1_03.tif </t>
  </si>
  <si>
    <t xml:space="preserve"> 63.6829 </t>
  </si>
  <si>
    <t xml:space="preserve">F:\Données chgh\2020-CHG-CZA-Saccharin-3\plaque 1/@01 TS/F1_01.tif </t>
  </si>
  <si>
    <t xml:space="preserve">F:\Données chgh\2020-CHG-CZA-Saccharin-3\plaque 1/@01 TS/F1_02.tif </t>
  </si>
  <si>
    <t>F:\Données chgh\2020-CHG-CZA-Saccharin-3\plaque 1/@01 TS/F1_03- exclu.tif</t>
  </si>
  <si>
    <t xml:space="preserve">F:\Données chgh\2020-CHG-CZA-Saccharin-3\plaque 1/@01 TS/G1_01.tif </t>
  </si>
  <si>
    <t xml:space="preserve"> 4801.8366 </t>
  </si>
  <si>
    <t xml:space="preserve"> 70.3964 </t>
  </si>
  <si>
    <t xml:space="preserve">F:\Données chgh\2020-CHG-CZA-Saccharin-3\plaque 1/@01 TS/G1_02.tif </t>
  </si>
  <si>
    <t xml:space="preserve"> 69.5552 </t>
  </si>
  <si>
    <t xml:space="preserve">F:\Données chgh\2020-CHG-CZA-Saccharin-3\plaque 1/@01 TS/G1_03.tif </t>
  </si>
  <si>
    <t xml:space="preserve"> 64.2245 </t>
  </si>
  <si>
    <t xml:space="preserve">F:\Données chgh\2020-CHG-CZA-Saccharin-3\plaque 1/@01 TS/H1_01.tif </t>
  </si>
  <si>
    <t xml:space="preserve"> 65.3717 </t>
  </si>
  <si>
    <t xml:space="preserve">F:\Données chgh\2020-CHG-CZA-Saccharin-3\plaque 1/@01 TS/H1_02.tif </t>
  </si>
  <si>
    <t xml:space="preserve"> 3460.7831 </t>
  </si>
  <si>
    <t xml:space="preserve"> 66.0938 </t>
  </si>
  <si>
    <t xml:space="preserve">F:\Données chgh\2020-CHG-CZA-Saccharin-3\plaque 1/@01 TS/H1_03.tif </t>
  </si>
  <si>
    <t xml:space="preserve"> 64.9672 </t>
  </si>
  <si>
    <t xml:space="preserve">F:\Données chgh\2020-CHG-CZA-Saccharin-3\plaque 1/@01 TS/ </t>
  </si>
  <si>
    <t xml:space="preserve"> 66.0525 </t>
  </si>
  <si>
    <t xml:space="preserve"> 2.4037 </t>
  </si>
  <si>
    <t xml:space="preserve"> 187806.042 </t>
  </si>
  <si>
    <t xml:space="preserve"> 207674.366 </t>
  </si>
  <si>
    <t xml:space="preserve">F:\Données chgh\2020-CHG-CZA-Saccharin-3\plaque 1/@02 EE2 34/A2_01.tif </t>
  </si>
  <si>
    <t xml:space="preserve"> 64.4559 </t>
  </si>
  <si>
    <t xml:space="preserve">F:\Données chgh\2020-CHG-CZA-Saccharin-3\plaque 1/@02 EE2 34/A2_02.tif </t>
  </si>
  <si>
    <t xml:space="preserve"> 65.8605 </t>
  </si>
  <si>
    <t xml:space="preserve">F:\Données chgh\2020-CHG-CZA-Saccharin-3\plaque 1/@02 EE2 34/A2_03.tif </t>
  </si>
  <si>
    <t xml:space="preserve"> 62.4545 </t>
  </si>
  <si>
    <t xml:space="preserve">F:\Données chgh\2020-CHG-CZA-Saccharin-3\plaque 1/@02 EE2 34/B2_01.tif </t>
  </si>
  <si>
    <t xml:space="preserve"> 8760.1073 </t>
  </si>
  <si>
    <t xml:space="preserve"> 73.1185 </t>
  </si>
  <si>
    <t xml:space="preserve">F:\Données chgh\2020-CHG-CZA-Saccharin-3\plaque 1/@02 EE2 34/B2_02.tif </t>
  </si>
  <si>
    <t xml:space="preserve"> 66.6951 </t>
  </si>
  <si>
    <t xml:space="preserve">F:\Données chgh\2020-CHG-CZA-Saccharin-3\plaque 1/@02 EE2 34/B2_03.tif </t>
  </si>
  <si>
    <t xml:space="preserve"> 2811.8863 </t>
  </si>
  <si>
    <t xml:space="preserve"> 66.0692 </t>
  </si>
  <si>
    <t xml:space="preserve">F:\Données chgh\2020-CHG-CZA-Saccharin-3\plaque 1/@02 EE2 34/C2_01.tif </t>
  </si>
  <si>
    <t xml:space="preserve"> 73.2926 </t>
  </si>
  <si>
    <t xml:space="preserve">F:\Données chgh\2020-CHG-CZA-Saccharin-3\plaque 1/@02 EE2 34/C2_02.tif </t>
  </si>
  <si>
    <t xml:space="preserve"> 5429.1036 </t>
  </si>
  <si>
    <t xml:space="preserve"> 73.8048 </t>
  </si>
  <si>
    <t xml:space="preserve">F:\Données chgh\2020-CHG-CZA-Saccharin-3\plaque 1/@02 EE2 34/C2_03.tif </t>
  </si>
  <si>
    <t xml:space="preserve"> 67.1813 </t>
  </si>
  <si>
    <t>F:\Données chgh\2020-CHG-CZA-Saccharin-3\plaque 1/@02 EE2 34/D2_01- exclu.tif</t>
  </si>
  <si>
    <t xml:space="preserve">F:\Données chgh\2020-CHG-CZA-Saccharin-3\plaque 1/@02 EE2 34/D2_02.tif </t>
  </si>
  <si>
    <t xml:space="preserve"> 63.6327 </t>
  </si>
  <si>
    <t xml:space="preserve">F:\Données chgh\2020-CHG-CZA-Saccharin-3\plaque 1/@02 EE2 34/D2_03.tif </t>
  </si>
  <si>
    <t xml:space="preserve"> 62.2727 </t>
  </si>
  <si>
    <t xml:space="preserve">F:\Données chgh\2020-CHG-CZA-Saccharin-3\plaque 1/@02 EE2 34/E2_01.tif </t>
  </si>
  <si>
    <t xml:space="preserve"> 2573.9575 </t>
  </si>
  <si>
    <t xml:space="preserve"> 67.5714 </t>
  </si>
  <si>
    <t xml:space="preserve">F:\Données chgh\2020-CHG-CZA-Saccharin-3\plaque 1/@02 EE2 34/E2_02.tif </t>
  </si>
  <si>
    <t xml:space="preserve"> 71.0513 </t>
  </si>
  <si>
    <t xml:space="preserve">F:\Données chgh\2020-CHG-CZA-Saccharin-3\plaque 1/@02 EE2 34/E2_03.tif </t>
  </si>
  <si>
    <t xml:space="preserve"> 63.8947 </t>
  </si>
  <si>
    <t xml:space="preserve">F:\Données chgh\2020-CHG-CZA-Saccharin-3\plaque 1/@02 EE2 34/F2_01.tif </t>
  </si>
  <si>
    <t xml:space="preserve"> 8976.4063 </t>
  </si>
  <si>
    <t xml:space="preserve"> 76.1205 </t>
  </si>
  <si>
    <t>F:\Données chgh\2020-CHG-CZA-Saccharin-3\plaque 1/@02 EE2 34/F2_02- exclu.tif</t>
  </si>
  <si>
    <t xml:space="preserve">F:\Données chgh\2020-CHG-CZA-Saccharin-3\plaque 1/@02 EE2 34/F2_03.tif </t>
  </si>
  <si>
    <t xml:space="preserve"> 72.6689 </t>
  </si>
  <si>
    <t xml:space="preserve">F:\Données chgh\2020-CHG-CZA-Saccharin-3\plaque 1/@02 EE2 34/G2_01.tif </t>
  </si>
  <si>
    <t xml:space="preserve"> 9127.8155 </t>
  </si>
  <si>
    <t xml:space="preserve"> 71.1659 </t>
  </si>
  <si>
    <t xml:space="preserve">F:\Données chgh\2020-CHG-CZA-Saccharin-3\plaque 1/@02 EE2 34/G2_02.tif </t>
  </si>
  <si>
    <t xml:space="preserve"> 62.5455 </t>
  </si>
  <si>
    <t xml:space="preserve">F:\Données chgh\2020-CHG-CZA-Saccharin-3\plaque 1/@02 EE2 34/G2_03.tif </t>
  </si>
  <si>
    <t xml:space="preserve"> 66.4581 </t>
  </si>
  <si>
    <t>F:\Données chgh\2020-CHG-CZA-Saccharin-3\plaque 1/@02 EE2 34/H2_01- exclu.tif</t>
  </si>
  <si>
    <t xml:space="preserve">F:\Données chgh\2020-CHG-CZA-Saccharin-3\plaque 1/@02 EE2 34/H2_02.tif </t>
  </si>
  <si>
    <t xml:space="preserve"> 10620.2783 </t>
  </si>
  <si>
    <t xml:space="preserve"> 81.6477 </t>
  </si>
  <si>
    <t xml:space="preserve">F:\Données chgh\2020-CHG-CZA-Saccharin-3\plaque 1/@02 EE2 34/H2_03.tif </t>
  </si>
  <si>
    <t xml:space="preserve"> 10274.1999 </t>
  </si>
  <si>
    <t xml:space="preserve"> 71.1789 </t>
  </si>
  <si>
    <t xml:space="preserve">F:\Données chgh\2020-CHG-CZA-Saccharin-3\plaque 1/@02 EE2 34/ </t>
  </si>
  <si>
    <t xml:space="preserve"> 68.3942 </t>
  </si>
  <si>
    <t xml:space="preserve"> 5.1924 </t>
  </si>
  <si>
    <t xml:space="preserve"> 339455.083 </t>
  </si>
  <si>
    <t xml:space="preserve"> 294445.08 </t>
  </si>
  <si>
    <t xml:space="preserve">F:\Données chgh\2020-CHG-CZA-Saccharin-3\plaque 1/@03 EE2 51/A3_01.tif </t>
  </si>
  <si>
    <t xml:space="preserve"> 80.8883 </t>
  </si>
  <si>
    <t xml:space="preserve">F:\Données chgh\2020-CHG-CZA-Saccharin-3\plaque 1/@03 EE2 51/A3_02.tif </t>
  </si>
  <si>
    <t xml:space="preserve"> 82.9763 </t>
  </si>
  <si>
    <t xml:space="preserve">F:\Données chgh\2020-CHG-CZA-Saccharin-3\plaque 1/@03 EE2 51/A3_03.tif </t>
  </si>
  <si>
    <t xml:space="preserve"> 64.8108 </t>
  </si>
  <si>
    <t xml:space="preserve">F:\Données chgh\2020-CHG-CZA-Saccharin-3\plaque 1/@03 EE2 51/B3_01.tif </t>
  </si>
  <si>
    <t xml:space="preserve">F:\Données chgh\2020-CHG-CZA-Saccharin-3\plaque 1/@03 EE2 51/B3_02.tif </t>
  </si>
  <si>
    <t xml:space="preserve"> 66.9643 </t>
  </si>
  <si>
    <t xml:space="preserve">F:\Données chgh\2020-CHG-CZA-Saccharin-3\plaque 1/@03 EE2 51/B3_03.tif </t>
  </si>
  <si>
    <t xml:space="preserve"> 63.44 </t>
  </si>
  <si>
    <t xml:space="preserve">F:\Données chgh\2020-CHG-CZA-Saccharin-3\plaque 1/@03 EE2 51/C3_01.tif </t>
  </si>
  <si>
    <t xml:space="preserve"> 7505.5734 </t>
  </si>
  <si>
    <t xml:space="preserve"> 65.6715 </t>
  </si>
  <si>
    <t xml:space="preserve">F:\Données chgh\2020-CHG-CZA-Saccharin-3\plaque 1/@03 EE2 51/C3_02.tif </t>
  </si>
  <si>
    <t xml:space="preserve"> 4736.9469 </t>
  </si>
  <si>
    <t xml:space="preserve"> 65.7169 </t>
  </si>
  <si>
    <t xml:space="preserve">F:\Données chgh\2020-CHG-CZA-Saccharin-3\plaque 1/@03 EE2 51/C3_03.tif </t>
  </si>
  <si>
    <t xml:space="preserve"> 2292.7688 </t>
  </si>
  <si>
    <t xml:space="preserve"> 65.0566 </t>
  </si>
  <si>
    <t xml:space="preserve">F:\Données chgh\2020-CHG-CZA-Saccharin-3\plaque 1/@03 EE2 51/D3_01.tif </t>
  </si>
  <si>
    <t xml:space="preserve"> 65.3151 </t>
  </si>
  <si>
    <t xml:space="preserve">F:\Données chgh\2020-CHG-CZA-Saccharin-3\plaque 1/@03 EE2 51/D3_02.tif </t>
  </si>
  <si>
    <t xml:space="preserve"> 64.2188 </t>
  </si>
  <si>
    <t xml:space="preserve">F:\Données chgh\2020-CHG-CZA-Saccharin-3\plaque 1/@03 EE2 51/D3_03.tif </t>
  </si>
  <si>
    <t xml:space="preserve">F:\Données chgh\2020-CHG-CZA-Saccharin-3\plaque 1/@03 EE2 51/E3_01.tif </t>
  </si>
  <si>
    <t xml:space="preserve"> 9344.1145 </t>
  </si>
  <si>
    <t xml:space="preserve"> 70.7546 </t>
  </si>
  <si>
    <t xml:space="preserve">F:\Données chgh\2020-CHG-CZA-Saccharin-3\plaque 1/@03 EE2 51/E3_02.tif </t>
  </si>
  <si>
    <t xml:space="preserve"> 62.973 </t>
  </si>
  <si>
    <t xml:space="preserve">F:\Données chgh\2020-CHG-CZA-Saccharin-3\plaque 1/@03 EE2 51/E3_03.tif </t>
  </si>
  <si>
    <t xml:space="preserve"> 4174.5697 </t>
  </si>
  <si>
    <t xml:space="preserve"> 64.5181 </t>
  </si>
  <si>
    <t xml:space="preserve">F:\Données chgh\2020-CHG-CZA-Saccharin-3\plaque 1/@03 EE2 51/F3_01.tif </t>
  </si>
  <si>
    <t xml:space="preserve"> 14600.1789 </t>
  </si>
  <si>
    <t xml:space="preserve"> 88.8444 </t>
  </si>
  <si>
    <t xml:space="preserve">F:\Données chgh\2020-CHG-CZA-Saccharin-3\plaque 1/@03 EE2 51/F3_02.tif </t>
  </si>
  <si>
    <t xml:space="preserve"> 75.4863 </t>
  </si>
  <si>
    <t xml:space="preserve">F:\Données chgh\2020-CHG-CZA-Saccharin-3\plaque 1/@03 EE2 51/F3_03.tif </t>
  </si>
  <si>
    <t xml:space="preserve"> 8889.8867 </t>
  </si>
  <si>
    <t xml:space="preserve"> 75.9708 </t>
  </si>
  <si>
    <t xml:space="preserve">F:\Données chgh\2020-CHG-CZA-Saccharin-3\plaque 1/@03 EE2 51/G3_01.tif </t>
  </si>
  <si>
    <t xml:space="preserve"> 7851.6518 </t>
  </si>
  <si>
    <t xml:space="preserve"> 72.5455 </t>
  </si>
  <si>
    <t xml:space="preserve">F:\Données chgh\2020-CHG-CZA-Saccharin-3\plaque 1/@03 EE2 51/G3_02.tif </t>
  </si>
  <si>
    <t xml:space="preserve"> 67.7427 </t>
  </si>
  <si>
    <t xml:space="preserve">F:\Données chgh\2020-CHG-CZA-Saccharin-3\plaque 1/@03 EE2 51/G3_03.tif </t>
  </si>
  <si>
    <t xml:space="preserve"> 65.7817 </t>
  </si>
  <si>
    <t xml:space="preserve">F:\Données chgh\2020-CHG-CZA-Saccharin-3\plaque 1/@03 EE2 51/H3_01.tif </t>
  </si>
  <si>
    <t xml:space="preserve"> 7397.424 </t>
  </si>
  <si>
    <t xml:space="preserve"> 69.7953 </t>
  </si>
  <si>
    <t xml:space="preserve">F:\Données chgh\2020-CHG-CZA-Saccharin-3\plaque 1/@03 EE2 51/H3_02.tif </t>
  </si>
  <si>
    <t xml:space="preserve"> 63.8167 </t>
  </si>
  <si>
    <t xml:space="preserve">F:\Données chgh\2020-CHG-CZA-Saccharin-3\plaque 1/@03 EE2 51/H3_03.tif </t>
  </si>
  <si>
    <t xml:space="preserve"> 63.0286 </t>
  </si>
  <si>
    <t xml:space="preserve">F:\Données chgh\2020-CHG-CZA-Saccharin-3\plaque 1/@03 EE2 51/ </t>
  </si>
  <si>
    <t xml:space="preserve"> 68.74 </t>
  </si>
  <si>
    <t xml:space="preserve"> 7.2208 </t>
  </si>
  <si>
    <t xml:space="preserve"> 315393.877 </t>
  </si>
  <si>
    <t xml:space="preserve">F:\Données chgh\2020-CHG-CZA-Saccharin-3\plaque 1/@04 EE2 76/A4_01.tif </t>
  </si>
  <si>
    <t xml:space="preserve"> 5385.8438 </t>
  </si>
  <si>
    <t xml:space="preserve"> 63.8554 </t>
  </si>
  <si>
    <t xml:space="preserve">F:\Données chgh\2020-CHG-CZA-Saccharin-3\plaque 1/@04 EE2 76/A4_02.tif </t>
  </si>
  <si>
    <t xml:space="preserve"> 63.0917 </t>
  </si>
  <si>
    <t xml:space="preserve">F:\Données chgh\2020-CHG-CZA-Saccharin-3\plaque 1/@04 EE2 76/A4_03.tif </t>
  </si>
  <si>
    <t xml:space="preserve"> 63.4747 </t>
  </si>
  <si>
    <t xml:space="preserve">F:\Données chgh\2020-CHG-CZA-Saccharin-3\plaque 1/@04 EE2 76/B4_01.tif </t>
  </si>
  <si>
    <t xml:space="preserve"> 62.7391 </t>
  </si>
  <si>
    <t xml:space="preserve">F:\Données chgh\2020-CHG-CZA-Saccharin-3\plaque 1/@04 EE2 76/B4_02.tif </t>
  </si>
  <si>
    <t xml:space="preserve"> 63.5909 </t>
  </si>
  <si>
    <t xml:space="preserve">F:\Données chgh\2020-CHG-CZA-Saccharin-3\plaque 1/@04 EE2 76/B4_03.tif </t>
  </si>
  <si>
    <t xml:space="preserve"> 63.8667 </t>
  </si>
  <si>
    <t xml:space="preserve">F:\Données chgh\2020-CHG-CZA-Saccharin-3\plaque 1/@04 EE2 76/C4_01.tif </t>
  </si>
  <si>
    <t xml:space="preserve"> 9365.7444 </t>
  </si>
  <si>
    <t xml:space="preserve"> 65.7344 </t>
  </si>
  <si>
    <t xml:space="preserve">F:\Données chgh\2020-CHG-CZA-Saccharin-3\plaque 1/@04 EE2 76/C4_02.tif </t>
  </si>
  <si>
    <t xml:space="preserve"> 7137.8652 </t>
  </si>
  <si>
    <t xml:space="preserve"> 64.4727 </t>
  </si>
  <si>
    <t xml:space="preserve">F:\Données chgh\2020-CHG-CZA-Saccharin-3\plaque 1/@04 EE2 76/C4_03.tif </t>
  </si>
  <si>
    <t xml:space="preserve"> 64.9043 </t>
  </si>
  <si>
    <t xml:space="preserve">F:\Données chgh\2020-CHG-CZA-Saccharin-3\plaque 1/@04 EE2 76/D4_01.tif </t>
  </si>
  <si>
    <t xml:space="preserve"> 10512.1288 </t>
  </si>
  <si>
    <t xml:space="preserve"> 68.0309 </t>
  </si>
  <si>
    <t xml:space="preserve">F:\Données chgh\2020-CHG-CZA-Saccharin-3\plaque 1/@04 EE2 76/D4_02.tif </t>
  </si>
  <si>
    <t xml:space="preserve"> 8240.9899 </t>
  </si>
  <si>
    <t xml:space="preserve"> 68.6115 </t>
  </si>
  <si>
    <t xml:space="preserve">F:\Données chgh\2020-CHG-CZA-Saccharin-3\plaque 1/@04 EE2 76/D4_03.tif </t>
  </si>
  <si>
    <t xml:space="preserve"> 7700.2425 </t>
  </si>
  <si>
    <t xml:space="preserve"> 69.6348 </t>
  </si>
  <si>
    <t xml:space="preserve">F:\Données chgh\2020-CHG-CZA-Saccharin-3\plaque 1/@04 EE2 76/E4_01.tif </t>
  </si>
  <si>
    <t xml:space="preserve"> 66.8211 </t>
  </si>
  <si>
    <t xml:space="preserve">F:\Données chgh\2020-CHG-CZA-Saccharin-3\plaque 1/@04 EE2 76/E4_02.tif </t>
  </si>
  <si>
    <t xml:space="preserve"> 13129.346 </t>
  </si>
  <si>
    <t xml:space="preserve"> 67.2916 </t>
  </si>
  <si>
    <t xml:space="preserve">F:\Données chgh\2020-CHG-CZA-Saccharin-3\plaque 1/@04 EE2 76/E4_03.tif </t>
  </si>
  <si>
    <t xml:space="preserve"> 67.423 </t>
  </si>
  <si>
    <t xml:space="preserve">F:\Données chgh\2020-CHG-CZA-Saccharin-3\plaque 1/@04 EE2 76/F4_01.tif </t>
  </si>
  <si>
    <t xml:space="preserve"> 2725.3667 </t>
  </si>
  <si>
    <t xml:space="preserve"> 65.8016 </t>
  </si>
  <si>
    <t xml:space="preserve">F:\Données chgh\2020-CHG-CZA-Saccharin-3\plaque 1/@04 EE2 76/F4_02.tif </t>
  </si>
  <si>
    <t xml:space="preserve"> 4650.4273 </t>
  </si>
  <si>
    <t xml:space="preserve"> 67.2419 </t>
  </si>
  <si>
    <t xml:space="preserve">F:\Données chgh\2020-CHG-CZA-Saccharin-3\plaque 1/@04 EE2 76/F4_03.tif </t>
  </si>
  <si>
    <t xml:space="preserve"> 3179.5945 </t>
  </si>
  <si>
    <t xml:space="preserve"> 68.2041 </t>
  </si>
  <si>
    <t xml:space="preserve">F:\Données chgh\2020-CHG-CZA-Saccharin-3\plaque 1/@04 EE2 76/G4_01.tif </t>
  </si>
  <si>
    <t xml:space="preserve"> 61.7857 </t>
  </si>
  <si>
    <t xml:space="preserve">F:\Données chgh\2020-CHG-CZA-Saccharin-3\plaque 1/@04 EE2 76/G4_02.tif </t>
  </si>
  <si>
    <t xml:space="preserve"> 63.96 </t>
  </si>
  <si>
    <t xml:space="preserve">F:\Données chgh\2020-CHG-CZA-Saccharin-3\plaque 1/@04 EE2 76/G4_03.tif </t>
  </si>
  <si>
    <t xml:space="preserve"> 64.7222 </t>
  </si>
  <si>
    <t xml:space="preserve">F:\Données chgh\2020-CHG-CZA-Saccharin-3\plaque 1/@04 EE2 76/H4_01.tif </t>
  </si>
  <si>
    <t xml:space="preserve"> 5731.9221 </t>
  </si>
  <si>
    <t xml:space="preserve"> 75.1887 </t>
  </si>
  <si>
    <t xml:space="preserve">F:\Données chgh\2020-CHG-CZA-Saccharin-3\plaque 1/@04 EE2 76/H4_02.tif </t>
  </si>
  <si>
    <t xml:space="preserve"> 6899.9364 </t>
  </si>
  <si>
    <t xml:space="preserve"> 75.5611 </t>
  </si>
  <si>
    <t xml:space="preserve">F:\Données chgh\2020-CHG-CZA-Saccharin-3\plaque 1/@04 EE2 76/H4_03.tif </t>
  </si>
  <si>
    <t xml:space="preserve"> 6034.7406 </t>
  </si>
  <si>
    <t xml:space="preserve"> 74.6165 </t>
  </si>
  <si>
    <t xml:space="preserve">F:\Données chgh\2020-CHG-CZA-Saccharin-3\plaque 1/@04 EE2 76/ </t>
  </si>
  <si>
    <t xml:space="preserve"> 66.6927 </t>
  </si>
  <si>
    <t xml:space="preserve"> 3.8511 </t>
  </si>
  <si>
    <t xml:space="preserve"> 370226.208 </t>
  </si>
  <si>
    <t xml:space="preserve"> 280259.22 </t>
  </si>
  <si>
    <t xml:space="preserve">F:\Données chgh\2020-CHG-CZA-Saccharin-3\plaque 1/@05 EE2 114/A5_01.tif </t>
  </si>
  <si>
    <t xml:space="preserve"> 9322.4846 </t>
  </si>
  <si>
    <t xml:space="preserve"> 67.5313 </t>
  </si>
  <si>
    <t xml:space="preserve">F:\Données chgh\2020-CHG-CZA-Saccharin-3\plaque 1/@05 EE2 114/A5_02.tif </t>
  </si>
  <si>
    <t xml:space="preserve"> 64.4872 </t>
  </si>
  <si>
    <t xml:space="preserve">F:\Données chgh\2020-CHG-CZA-Saccharin-3\plaque 1/@05 EE2 114/A5_03.tif </t>
  </si>
  <si>
    <t xml:space="preserve"> 8414.029 </t>
  </si>
  <si>
    <t xml:space="preserve"> 64.0488 </t>
  </si>
  <si>
    <t xml:space="preserve">F:\Données chgh\2020-CHG-CZA-Saccharin-3\plaque 1/@05 EE2 114/B5_01.tif </t>
  </si>
  <si>
    <t xml:space="preserve"> 53339.3202 </t>
  </si>
  <si>
    <t xml:space="preserve"> 80.4745 </t>
  </si>
  <si>
    <t xml:space="preserve">F:\Données chgh\2020-CHG-CZA-Saccharin-3\plaque 1/@05 EE2 114/B5_02.tif </t>
  </si>
  <si>
    <t xml:space="preserve"> 57686.929 </t>
  </si>
  <si>
    <t xml:space="preserve"> 77.4777 </t>
  </si>
  <si>
    <t xml:space="preserve">F:\Données chgh\2020-CHG-CZA-Saccharin-3\plaque 1/@05 EE2 114/B5_03.tif </t>
  </si>
  <si>
    <t xml:space="preserve"> 45877.0065 </t>
  </si>
  <si>
    <t xml:space="preserve"> 79.0712 </t>
  </si>
  <si>
    <t xml:space="preserve">F:\Données chgh\2020-CHG-CZA-Saccharin-3\plaque 1/@05 EE2 114/C5_01.tif </t>
  </si>
  <si>
    <t xml:space="preserve"> 63.5361 </t>
  </si>
  <si>
    <t xml:space="preserve">F:\Données chgh\2020-CHG-CZA-Saccharin-3\plaque 1/@05 EE2 114/C5_02.tif </t>
  </si>
  <si>
    <t xml:space="preserve"> 63.9447 </t>
  </si>
  <si>
    <t xml:space="preserve">F:\Données chgh\2020-CHG-CZA-Saccharin-3\plaque 1/@05 EE2 114/C5_03.tif </t>
  </si>
  <si>
    <t xml:space="preserve"> 1427.573 </t>
  </si>
  <si>
    <t xml:space="preserve">F:\Données chgh\2020-CHG-CZA-Saccharin-3\plaque 1/@05 EE2 114/D5_01.tif </t>
  </si>
  <si>
    <t xml:space="preserve"> 24809.4891 </t>
  </si>
  <si>
    <t xml:space="preserve"> 69.6373 </t>
  </si>
  <si>
    <t xml:space="preserve">F:\Données chgh\2020-CHG-CZA-Saccharin-3\plaque 1/@05 EE2 114/D5_02.tif </t>
  </si>
  <si>
    <t xml:space="preserve"> 67.4803 </t>
  </si>
  <si>
    <t xml:space="preserve">F:\Données chgh\2020-CHG-CZA-Saccharin-3\plaque 1/@05 EE2 114/D5_03.tif </t>
  </si>
  <si>
    <t xml:space="preserve"> 21348.706 </t>
  </si>
  <si>
    <t xml:space="preserve"> 69.6342 </t>
  </si>
  <si>
    <t xml:space="preserve">F:\Données chgh\2020-CHG-CZA-Saccharin-3\plaque 1/@05 EE2 114/E5_01.tif </t>
  </si>
  <si>
    <t xml:space="preserve"> 63.5664 </t>
  </si>
  <si>
    <t xml:space="preserve">F:\Données chgh\2020-CHG-CZA-Saccharin-3\plaque 1/@05 EE2 114/E5_02.tif </t>
  </si>
  <si>
    <t xml:space="preserve"> 10447.2391 </t>
  </si>
  <si>
    <t xml:space="preserve"> 73.7909 </t>
  </si>
  <si>
    <t xml:space="preserve">F:\Données chgh\2020-CHG-CZA-Saccharin-3\plaque 1/@05 EE2 114/E5_03.tif </t>
  </si>
  <si>
    <t xml:space="preserve"> 5169.5448 </t>
  </si>
  <si>
    <t xml:space="preserve"> 64.2845 </t>
  </si>
  <si>
    <t xml:space="preserve">F:\Données chgh\2020-CHG-CZA-Saccharin-3\plaque 1/@05 EE2 114/F5_01.tif </t>
  </si>
  <si>
    <t xml:space="preserve"> 67.6385 </t>
  </si>
  <si>
    <t xml:space="preserve">F:\Données chgh\2020-CHG-CZA-Saccharin-3\plaque 1/@05 EE2 114/F5_02.tif </t>
  </si>
  <si>
    <t xml:space="preserve"> 11420.5844 </t>
  </si>
  <si>
    <t xml:space="preserve"> 73.0625 </t>
  </si>
  <si>
    <t xml:space="preserve">F:\Données chgh\2020-CHG-CZA-Saccharin-3\plaque 1/@05 EE2 114/F5_03.tif </t>
  </si>
  <si>
    <t xml:space="preserve"> 3828.4913 </t>
  </si>
  <si>
    <t xml:space="preserve"> 67.6893 </t>
  </si>
  <si>
    <t xml:space="preserve">F:\Données chgh\2020-CHG-CZA-Saccharin-3\plaque 1/@05 EE2 114/G5_01.tif </t>
  </si>
  <si>
    <t xml:space="preserve"> 67.844 </t>
  </si>
  <si>
    <t>F:\Données chgh\2020-CHG-CZA-Saccharin-3\plaque 1/@05 EE2 114/G5_02- exclu.tif</t>
  </si>
  <si>
    <t xml:space="preserve">F:\Données chgh\2020-CHG-CZA-Saccharin-3\plaque 1/@05 EE2 114/G5_03.tif </t>
  </si>
  <si>
    <t xml:space="preserve"> 64.0679 </t>
  </si>
  <si>
    <t xml:space="preserve">F:\Données chgh\2020-CHG-CZA-Saccharin-3\plaque 1/@05 EE2 114/H5_01.tif </t>
  </si>
  <si>
    <t xml:space="preserve"> 64.8514 </t>
  </si>
  <si>
    <t xml:space="preserve">F:\Données chgh\2020-CHG-CZA-Saccharin-3\plaque 1/@05 EE2 114/H5_02.tif </t>
  </si>
  <si>
    <t xml:space="preserve"> 65.0823 </t>
  </si>
  <si>
    <t xml:space="preserve">F:\Données chgh\2020-CHG-CZA-Saccharin-3\plaque 1/@05 EE2 114/H5_03.tif </t>
  </si>
  <si>
    <t xml:space="preserve"> 64.09 </t>
  </si>
  <si>
    <t xml:space="preserve">F:\Données chgh\2020-CHG-CZA-Saccharin-3\plaque 1/@05 EE2 114/ </t>
  </si>
  <si>
    <t xml:space="preserve"> 67.8674 </t>
  </si>
  <si>
    <t xml:space="preserve"> 5.2543 </t>
  </si>
  <si>
    <t xml:space="preserve"> 1015895.79 </t>
  </si>
  <si>
    <t xml:space="preserve"> 1284236.25 </t>
  </si>
  <si>
    <t xml:space="preserve">F:\Données chgh\2020-CHG-CZA-Saccharin-3\plaque 1/@06 EE2 171/A6_01.tif </t>
  </si>
  <si>
    <t xml:space="preserve"> 33850.7851 </t>
  </si>
  <si>
    <t xml:space="preserve"> 69.3342 </t>
  </si>
  <si>
    <t xml:space="preserve">F:\Données chgh\2020-CHG-CZA-Saccharin-3\plaque 1/@06 EE2 171/A6_02.tif </t>
  </si>
  <si>
    <t xml:space="preserve"> 13626.8336 </t>
  </si>
  <si>
    <t xml:space="preserve"> 65.3683 </t>
  </si>
  <si>
    <t xml:space="preserve">F:\Données chgh\2020-CHG-CZA-Saccharin-3\plaque 1/@06 EE2 171/A6_03.tif </t>
  </si>
  <si>
    <t xml:space="preserve"> 29373.3969 </t>
  </si>
  <si>
    <t xml:space="preserve"> 70.0442 </t>
  </si>
  <si>
    <t xml:space="preserve">F:\Données chgh\2020-CHG-CZA-Saccharin-3\plaque 1/@06 EE2 171/B6_01.tif </t>
  </si>
  <si>
    <t xml:space="preserve"> 45422.7787 </t>
  </si>
  <si>
    <t xml:space="preserve"> 70.6738 </t>
  </si>
  <si>
    <t xml:space="preserve">F:\Données chgh\2020-CHG-CZA-Saccharin-3\plaque 1/@06 EE2 171/B6_02.tif </t>
  </si>
  <si>
    <t xml:space="preserve"> 37181.7889 </t>
  </si>
  <si>
    <t xml:space="preserve"> 69.2245 </t>
  </si>
  <si>
    <t xml:space="preserve">F:\Données chgh\2020-CHG-CZA-Saccharin-3\plaque 1/@06 EE2 171/B6_03.tif </t>
  </si>
  <si>
    <t xml:space="preserve"> 43843.7964 </t>
  </si>
  <si>
    <t xml:space="preserve"> 69.8515 </t>
  </si>
  <si>
    <t xml:space="preserve">F:\Données chgh\2020-CHG-CZA-Saccharin-3\plaque 1/@06 EE2 171/C6_01.tif </t>
  </si>
  <si>
    <t xml:space="preserve"> 8089.5806 </t>
  </si>
  <si>
    <t xml:space="preserve"> 65.0508 </t>
  </si>
  <si>
    <t xml:space="preserve">F:\Données chgh\2020-CHG-CZA-Saccharin-3\plaque 1/@06 EE2 171/C6_02.tif </t>
  </si>
  <si>
    <t xml:space="preserve"> 13086.0863 </t>
  </si>
  <si>
    <t xml:space="preserve"> 65.6281 </t>
  </si>
  <si>
    <t xml:space="preserve">F:\Données chgh\2020-CHG-CZA-Saccharin-3\plaque 1/@06 EE2 171/C6_03.tif </t>
  </si>
  <si>
    <t xml:space="preserve"> 11571.9936 </t>
  </si>
  <si>
    <t xml:space="preserve"> 64.7028 </t>
  </si>
  <si>
    <t xml:space="preserve">F:\Données chgh\2020-CHG-CZA-Saccharin-3\plaque 1/@06 EE2 171/D6_01.tif </t>
  </si>
  <si>
    <t xml:space="preserve"> 55177.8612 </t>
  </si>
  <si>
    <t xml:space="preserve"> 73.1399 </t>
  </si>
  <si>
    <t xml:space="preserve">F:\Données chgh\2020-CHG-CZA-Saccharin-3\plaque 1/@06 EE2 171/D6_02.tif </t>
  </si>
  <si>
    <t xml:space="preserve"> 72.1445 </t>
  </si>
  <si>
    <t xml:space="preserve">F:\Données chgh\2020-CHG-CZA-Saccharin-3\plaque 1/@06 EE2 171/D6_03.tif </t>
  </si>
  <si>
    <t xml:space="preserve"> 68.6164 </t>
  </si>
  <si>
    <t xml:space="preserve">F:\Données chgh\2020-CHG-CZA-Saccharin-3\plaque 1/@06 EE2 171/E6_01.tif </t>
  </si>
  <si>
    <t xml:space="preserve"> 37138.5291 </t>
  </si>
  <si>
    <t xml:space="preserve"> 69.7595 </t>
  </si>
  <si>
    <t xml:space="preserve">F:\Données chgh\2020-CHG-CZA-Saccharin-3\plaque 1/@06 EE2 171/E6_02.tif </t>
  </si>
  <si>
    <t xml:space="preserve"> 42935.3408 </t>
  </si>
  <si>
    <t xml:space="preserve"> 73.5305 </t>
  </si>
  <si>
    <t xml:space="preserve">F:\Données chgh\2020-CHG-CZA-Saccharin-3\plaque 1/@06 EE2 171/E6_03.tif </t>
  </si>
  <si>
    <t xml:space="preserve"> 20180.6917 </t>
  </si>
  <si>
    <t xml:space="preserve"> 66.2572 </t>
  </si>
  <si>
    <t xml:space="preserve">F:\Données chgh\2020-CHG-CZA-Saccharin-3\plaque 1/@06 EE2 171/F6_01.tif </t>
  </si>
  <si>
    <t xml:space="preserve"> 66.555 </t>
  </si>
  <si>
    <t xml:space="preserve">F:\Données chgh\2020-CHG-CZA-Saccharin-3\plaque 1/@06 EE2 171/F6_02.tif </t>
  </si>
  <si>
    <t xml:space="preserve"> 66.9532 </t>
  </si>
  <si>
    <t xml:space="preserve">F:\Données chgh\2020-CHG-CZA-Saccharin-3\plaque 1/@06 EE2 171/F6_03.tif </t>
  </si>
  <si>
    <t xml:space="preserve"> 21867.8235 </t>
  </si>
  <si>
    <t xml:space="preserve"> 68.3333 </t>
  </si>
  <si>
    <t xml:space="preserve">F:\Données chgh\2020-CHG-CZA-Saccharin-3\plaque 1/@06 EE2 171/G6_01.tif </t>
  </si>
  <si>
    <t xml:space="preserve"> 34045.4541 </t>
  </si>
  <si>
    <t xml:space="preserve"> 70.5229 </t>
  </si>
  <si>
    <t xml:space="preserve">F:\Données chgh\2020-CHG-CZA-Saccharin-3\plaque 1/@06 EE2 171/G6_02.tif </t>
  </si>
  <si>
    <t xml:space="preserve"> 71.3416 </t>
  </si>
  <si>
    <t xml:space="preserve">F:\Données chgh\2020-CHG-CZA-Saccharin-3\plaque 1/@06 EE2 171/G6_03.tif </t>
  </si>
  <si>
    <t xml:space="preserve"> 32985.5893 </t>
  </si>
  <si>
    <t xml:space="preserve"> 69.5718 </t>
  </si>
  <si>
    <t xml:space="preserve">F:\Données chgh\2020-CHG-CZA-Saccharin-3\plaque 1/@06 EE2 171/H6_01.tif </t>
  </si>
  <si>
    <t xml:space="preserve"> 52149.676 </t>
  </si>
  <si>
    <t xml:space="preserve"> 77.8129 </t>
  </si>
  <si>
    <t xml:space="preserve">F:\Données chgh\2020-CHG-CZA-Saccharin-3\plaque 1/@06 EE2 171/H6_02.tif </t>
  </si>
  <si>
    <t xml:space="preserve"> 78.8753 </t>
  </si>
  <si>
    <t xml:space="preserve">F:\Données chgh\2020-CHG-CZA-Saccharin-3\plaque 1/@06 EE2 171/H6_03.tif </t>
  </si>
  <si>
    <t xml:space="preserve"> 49727.1278 </t>
  </si>
  <si>
    <t xml:space="preserve"> 77.7386 </t>
  </si>
  <si>
    <t xml:space="preserve">F:\Données chgh\2020-CHG-CZA-Saccharin-3\plaque 1/@06 EE2 171/ </t>
  </si>
  <si>
    <t xml:space="preserve"> 70.043 </t>
  </si>
  <si>
    <t xml:space="preserve"> 3.9749 </t>
  </si>
  <si>
    <t xml:space="preserve"> 2333538.5 </t>
  </si>
  <si>
    <t xml:space="preserve"> 1098733.65 </t>
  </si>
  <si>
    <t xml:space="preserve">F:\Données chgh\2020-CHG-CZA-Saccharin-3\plaque 1/@07 EE2 488/A7_01.tif </t>
  </si>
  <si>
    <t xml:space="preserve"> 57319.2208 </t>
  </si>
  <si>
    <t xml:space="preserve"> 89.263 </t>
  </si>
  <si>
    <t xml:space="preserve">F:\Données chgh\2020-CHG-CZA-Saccharin-3\plaque 1/@07 EE2 488/A7_02.tif </t>
  </si>
  <si>
    <t xml:space="preserve"> 46525.9033 </t>
  </si>
  <si>
    <t xml:space="preserve"> 86.855 </t>
  </si>
  <si>
    <t xml:space="preserve">F:\Données chgh\2020-CHG-CZA-Saccharin-3\plaque 1/@07 EE2 488/A7_03.tif </t>
  </si>
  <si>
    <t xml:space="preserve"> 58054.6372 </t>
  </si>
  <si>
    <t xml:space="preserve"> 79.1785 </t>
  </si>
  <si>
    <t xml:space="preserve">F:\Données chgh\2020-CHG-CZA-Saccharin-3\plaque 1/@07 EE2 488/B7_01.tif </t>
  </si>
  <si>
    <t xml:space="preserve"> 54117.9964 </t>
  </si>
  <si>
    <t xml:space="preserve"> 83.8797 </t>
  </si>
  <si>
    <t xml:space="preserve">F:\Données chgh\2020-CHG-CZA-Saccharin-3\plaque 1/@07 EE2 488/B7_02.tif </t>
  </si>
  <si>
    <t xml:space="preserve"> 54658.7437 </t>
  </si>
  <si>
    <t xml:space="preserve"> 84.9577 </t>
  </si>
  <si>
    <t xml:space="preserve">F:\Données chgh\2020-CHG-CZA-Saccharin-3\plaque 1/@07 EE2 488/B7_03.tif </t>
  </si>
  <si>
    <t xml:space="preserve"> 51565.6688 </t>
  </si>
  <si>
    <t xml:space="preserve"> 85.5067 </t>
  </si>
  <si>
    <t xml:space="preserve">F:\Données chgh\2020-CHG-CZA-Saccharin-3\plaque 1/@07 EE2 488/C7_01.tif </t>
  </si>
  <si>
    <t xml:space="preserve"> 69475.2215 </t>
  </si>
  <si>
    <t xml:space="preserve"> 94.2366 </t>
  </si>
  <si>
    <t xml:space="preserve">F:\Données chgh\2020-CHG-CZA-Saccharin-3\plaque 1/@07 EE2 488/C7_02.tif </t>
  </si>
  <si>
    <t xml:space="preserve"> 60931.4132 </t>
  </si>
  <si>
    <t xml:space="preserve"> 95.7316 </t>
  </si>
  <si>
    <t xml:space="preserve">F:\Données chgh\2020-CHG-CZA-Saccharin-3\plaque 1/@07 EE2 488/C7_03.tif </t>
  </si>
  <si>
    <t xml:space="preserve"> 67442.0115 </t>
  </si>
  <si>
    <t xml:space="preserve"> 94.1078 </t>
  </si>
  <si>
    <t xml:space="preserve">F:\Données chgh\2020-CHG-CZA-Saccharin-3\plaque 1/@07 EE2 488/D7_01.tif </t>
  </si>
  <si>
    <t xml:space="preserve"> 64348.9365 </t>
  </si>
  <si>
    <t xml:space="preserve"> 83.7029 </t>
  </si>
  <si>
    <t xml:space="preserve">F:\Données chgh\2020-CHG-CZA-Saccharin-3\plaque 1/@07 EE2 488/D7_02.tif </t>
  </si>
  <si>
    <t xml:space="preserve"> 52841.8326 </t>
  </si>
  <si>
    <t xml:space="preserve"> 94.4306 </t>
  </si>
  <si>
    <t xml:space="preserve">F:\Données chgh\2020-CHG-CZA-Saccharin-3\plaque 1/@07 EE2 488/D7_03.tif </t>
  </si>
  <si>
    <t xml:space="preserve"> 56043.057 </t>
  </si>
  <si>
    <t xml:space="preserve"> 91.144 </t>
  </si>
  <si>
    <t xml:space="preserve">F:\Données chgh\2020-CHG-CZA-Saccharin-3\plaque 1/@07 EE2 488/E7_01.tif </t>
  </si>
  <si>
    <t xml:space="preserve"> 87.9842 </t>
  </si>
  <si>
    <t>F:\Données chgh\2020-CHG-CZA-Saccharin-3\plaque 1/@07 EE2 488/E7_02- exclu.tif</t>
  </si>
  <si>
    <t xml:space="preserve">F:\Données chgh\2020-CHG-CZA-Saccharin-3\plaque 1/@07 EE2 488/E7_03.tif </t>
  </si>
  <si>
    <t xml:space="preserve"> 43000.2305 </t>
  </si>
  <si>
    <t xml:space="preserve"> 89.5201 </t>
  </si>
  <si>
    <t xml:space="preserve">F:\Données chgh\2020-CHG-CZA-Saccharin-3\plaque 1/@07 EE2 488/F7_01.tif </t>
  </si>
  <si>
    <t xml:space="preserve"> 67939.499 </t>
  </si>
  <si>
    <t xml:space="preserve"> 85.4909 </t>
  </si>
  <si>
    <t xml:space="preserve">F:\Données chgh\2020-CHG-CZA-Saccharin-3\plaque 1/@07 EE2 488/F7_02.tif </t>
  </si>
  <si>
    <t xml:space="preserve"> 67117.563 </t>
  </si>
  <si>
    <t xml:space="preserve"> 87.9755 </t>
  </si>
  <si>
    <t xml:space="preserve">F:\Données chgh\2020-CHG-CZA-Saccharin-3\plaque 1/@07 EE2 488/F7_03.tif </t>
  </si>
  <si>
    <t xml:space="preserve"> 53988.217 </t>
  </si>
  <si>
    <t xml:space="preserve"> 86.2744 </t>
  </si>
  <si>
    <t xml:space="preserve">F:\Données chgh\2020-CHG-CZA-Saccharin-3\plaque 1/@07 EE2 488/G7_01.tif </t>
  </si>
  <si>
    <t xml:space="preserve"> 80506.4678 </t>
  </si>
  <si>
    <t xml:space="preserve"> 98.1018 </t>
  </si>
  <si>
    <t xml:space="preserve">F:\Données chgh\2020-CHG-CZA-Saccharin-3\plaque 1/@07 EE2 488/G7_02.tif </t>
  </si>
  <si>
    <t xml:space="preserve"> 79598.0122 </t>
  </si>
  <si>
    <t xml:space="preserve"> 97.7454 </t>
  </si>
  <si>
    <t xml:space="preserve">F:\Données chgh\2020-CHG-CZA-Saccharin-3\plaque 1/@07 EE2 488/G7_03.tif </t>
  </si>
  <si>
    <t xml:space="preserve"> 69778.0401 </t>
  </si>
  <si>
    <t xml:space="preserve"> 100.5719 </t>
  </si>
  <si>
    <t xml:space="preserve">F:\Données chgh\2020-CHG-CZA-Saccharin-3\plaque 1/@07 EE2 488/H7_01.tif </t>
  </si>
  <si>
    <t xml:space="preserve"> 88.917 </t>
  </si>
  <si>
    <t xml:space="preserve">F:\Données chgh\2020-CHG-CZA-Saccharin-3\plaque 1/@07 EE2 488/H7_02.tif </t>
  </si>
  <si>
    <t xml:space="preserve"> 42848.8213 </t>
  </si>
  <si>
    <t xml:space="preserve"> 90.371 </t>
  </si>
  <si>
    <t xml:space="preserve">F:\Données chgh\2020-CHG-CZA-Saccharin-3\plaque 1/@07 EE2 488/H7_03.tif </t>
  </si>
  <si>
    <t xml:space="preserve"> 89.9197 </t>
  </si>
  <si>
    <t xml:space="preserve">F:\Données chgh\2020-CHG-CZA-Saccharin-3\plaque 1/@07 EE2 488/ </t>
  </si>
  <si>
    <t xml:space="preserve"> 89.7535 </t>
  </si>
  <si>
    <t xml:space="preserve"> 5.2 </t>
  </si>
  <si>
    <t xml:space="preserve"> 5095777.04 </t>
  </si>
  <si>
    <t xml:space="preserve"> 1358359.25 </t>
  </si>
  <si>
    <t xml:space="preserve">F:\Données chgh\2020-CHG-CZA-Saccharin-3\plaque 1/@08 Saccharin 0,01/A8_01.tif </t>
  </si>
  <si>
    <t xml:space="preserve"> 70.8191 </t>
  </si>
  <si>
    <t xml:space="preserve">F:\Données chgh\2020-CHG-CZA-Saccharin-3\plaque 1/@08 Saccharin 0,01/A8_02.tif </t>
  </si>
  <si>
    <t xml:space="preserve"> 64.6538 </t>
  </si>
  <si>
    <t xml:space="preserve">F:\Données chgh\2020-CHG-CZA-Saccharin-3\plaque 1/@08 Saccharin 0,01/A8_03.tif </t>
  </si>
  <si>
    <t xml:space="preserve"> 62.76 </t>
  </si>
  <si>
    <t xml:space="preserve">F:\Données chgh\2020-CHG-CZA-Saccharin-3\plaque 1/@08 Saccharin 0,01/B8_01.tif </t>
  </si>
  <si>
    <t xml:space="preserve"> 65.7719 </t>
  </si>
  <si>
    <t xml:space="preserve">F:\Données chgh\2020-CHG-CZA-Saccharin-3\plaque 1/@08 Saccharin 0,01/B8_02.tif </t>
  </si>
  <si>
    <t xml:space="preserve"> 2530.6977 </t>
  </si>
  <si>
    <t xml:space="preserve"> 65.8889 </t>
  </si>
  <si>
    <t xml:space="preserve">F:\Données chgh\2020-CHG-CZA-Saccharin-3\plaque 1/@08 Saccharin 0,01/B8_03.tif </t>
  </si>
  <si>
    <t xml:space="preserve"> 63.5385 </t>
  </si>
  <si>
    <t xml:space="preserve">F:\Données chgh\2020-CHG-CZA-Saccharin-3\plaque 1/@08 Saccharin 0,01/C8_01.tif </t>
  </si>
  <si>
    <t xml:space="preserve"> 63.9846 </t>
  </si>
  <si>
    <t xml:space="preserve">F:\Données chgh\2020-CHG-CZA-Saccharin-3\plaque 1/@08 Saccharin 0,01/C8_02.tif </t>
  </si>
  <si>
    <t xml:space="preserve">F:\Données chgh\2020-CHG-CZA-Saccharin-3\plaque 1/@08 Saccharin 0,01/C8_03.tif </t>
  </si>
  <si>
    <t xml:space="preserve"> 63.2973 </t>
  </si>
  <si>
    <t xml:space="preserve">F:\Données chgh\2020-CHG-CZA-Saccharin-3\plaque 1/@08 Saccharin 0,01/D8_01.tif </t>
  </si>
  <si>
    <t xml:space="preserve"> 6618.7478 </t>
  </si>
  <si>
    <t xml:space="preserve"> 69.8399 </t>
  </si>
  <si>
    <t xml:space="preserve">F:\Données chgh\2020-CHG-CZA-Saccharin-3\plaque 1/@08 Saccharin 0,01/D8_02.tif </t>
  </si>
  <si>
    <t xml:space="preserve"> 66.936 </t>
  </si>
  <si>
    <t xml:space="preserve">F:\Données chgh\2020-CHG-CZA-Saccharin-3\plaque 1/@08 Saccharin 0,01/D8_03.tif </t>
  </si>
  <si>
    <t xml:space="preserve"> 4369.2387 </t>
  </si>
  <si>
    <t xml:space="preserve"> 64.2574 </t>
  </si>
  <si>
    <t xml:space="preserve">F:\Données chgh\2020-CHG-CZA-Saccharin-3\plaque 1/@08 Saccharin 0,01/E8_01.tif </t>
  </si>
  <si>
    <t xml:space="preserve"> 65.7175 </t>
  </si>
  <si>
    <t xml:space="preserve">F:\Données chgh\2020-CHG-CZA-Saccharin-3\plaque 1/@08 Saccharin 0,01/E8_02.tif </t>
  </si>
  <si>
    <t xml:space="preserve"> 63.0377 </t>
  </si>
  <si>
    <t xml:space="preserve">F:\Données chgh\2020-CHG-CZA-Saccharin-3\plaque 1/@08 Saccharin 0,01/E8_03.tif </t>
  </si>
  <si>
    <t xml:space="preserve"> 63.6389 </t>
  </si>
  <si>
    <t xml:space="preserve">F:\Données chgh\2020-CHG-CZA-Saccharin-3\plaque 1/@08 Saccharin 0,01/F8_01.tif </t>
  </si>
  <si>
    <t xml:space="preserve"> 64.75 </t>
  </si>
  <si>
    <t xml:space="preserve">F:\Données chgh\2020-CHG-CZA-Saccharin-3\plaque 1/@08 Saccharin 0,01/F8_02.tif </t>
  </si>
  <si>
    <t xml:space="preserve"> 1038.2349 </t>
  </si>
  <si>
    <t xml:space="preserve"> 63.4375 </t>
  </si>
  <si>
    <t xml:space="preserve">F:\Données chgh\2020-CHG-CZA-Saccharin-3\plaque 1/@08 Saccharin 0,01/F8_03.tif </t>
  </si>
  <si>
    <t xml:space="preserve"> 64.3725 </t>
  </si>
  <si>
    <t xml:space="preserve">F:\Données chgh\2020-CHG-CZA-Saccharin-3\plaque 1/@08 Saccharin 0,01/G8_01.tif </t>
  </si>
  <si>
    <t xml:space="preserve"> 69.3277 </t>
  </si>
  <si>
    <t xml:space="preserve">F:\Données chgh\2020-CHG-CZA-Saccharin-3\plaque 1/@08 Saccharin 0,01/G8_02.tif </t>
  </si>
  <si>
    <t xml:space="preserve"> 67.6371 </t>
  </si>
  <si>
    <t xml:space="preserve">F:\Données chgh\2020-CHG-CZA-Saccharin-3\plaque 1/@08 Saccharin 0,01/G8_03.tif </t>
  </si>
  <si>
    <t xml:space="preserve"> 66.4651 </t>
  </si>
  <si>
    <t xml:space="preserve">F:\Données chgh\2020-CHG-CZA-Saccharin-3\plaque 1/@08 Saccharin 0,01/H8_01.tif </t>
  </si>
  <si>
    <t xml:space="preserve"> 73.5176 </t>
  </si>
  <si>
    <t xml:space="preserve">F:\Données chgh\2020-CHG-CZA-Saccharin-3\plaque 1/@08 Saccharin 0,01/H8_02.tif </t>
  </si>
  <si>
    <t xml:space="preserve"> 68.7393 </t>
  </si>
  <si>
    <t xml:space="preserve">F:\Données chgh\2020-CHG-CZA-Saccharin-3\plaque 1/@08 Saccharin 0,01/H8_03.tif </t>
  </si>
  <si>
    <t xml:space="preserve"> 69.8945 </t>
  </si>
  <si>
    <t xml:space="preserve">F:\Données chgh\2020-CHG-CZA-Saccharin-3\plaque 1/@08 Saccharin 0,01/ </t>
  </si>
  <si>
    <t xml:space="preserve"> 66.0451 </t>
  </si>
  <si>
    <t xml:space="preserve"> 2.9506 </t>
  </si>
  <si>
    <t xml:space="preserve"> 218798.042 </t>
  </si>
  <si>
    <t xml:space="preserve"> 194717.413 </t>
  </si>
  <si>
    <t xml:space="preserve">F:\Données chgh\2020-CHG-CZA-Saccharin-3\plaque 1/@09 Saccharin 0,1/A9_01.tif </t>
  </si>
  <si>
    <t xml:space="preserve"> 62.3871 </t>
  </si>
  <si>
    <t xml:space="preserve">F:\Données chgh\2020-CHG-CZA-Saccharin-3\plaque 1/@09 Saccharin 0,1/A9_02.tif </t>
  </si>
  <si>
    <t xml:space="preserve"> 63.8723 </t>
  </si>
  <si>
    <t xml:space="preserve">F:\Données chgh\2020-CHG-CZA-Saccharin-3\plaque 1/@09 Saccharin 0,1/A9_03.tif </t>
  </si>
  <si>
    <t xml:space="preserve"> 62.1852 </t>
  </si>
  <si>
    <t xml:space="preserve">F:\Données chgh\2020-CHG-CZA-Saccharin-3\plaque 1/@09 Saccharin 0,1/B9_01.tif </t>
  </si>
  <si>
    <t xml:space="preserve"> 62.7059 </t>
  </si>
  <si>
    <t xml:space="preserve">F:\Données chgh\2020-CHG-CZA-Saccharin-3\plaque 1/@09 Saccharin 0,1/B9_02.tif </t>
  </si>
  <si>
    <t xml:space="preserve"> 62.9286 </t>
  </si>
  <si>
    <t>F:\Données chgh\2020-CHG-CZA-Saccharin-3\plaque 1/@09 Saccharin 0,1/B9_03- exclu.tif</t>
  </si>
  <si>
    <t xml:space="preserve">F:\Données chgh\2020-CHG-CZA-Saccharin-3\plaque 1/@09 Saccharin 0,1/C9_01.tif </t>
  </si>
  <si>
    <t xml:space="preserve"> 64.7959 </t>
  </si>
  <si>
    <t xml:space="preserve">F:\Données chgh\2020-CHG-CZA-Saccharin-3\plaque 1/@09 Saccharin 0,1/C9_02.tif </t>
  </si>
  <si>
    <t xml:space="preserve"> 69.3976 </t>
  </si>
  <si>
    <t xml:space="preserve">F:\Données chgh\2020-CHG-CZA-Saccharin-3\plaque 1/@09 Saccharin 0,1/C9_03.tif </t>
  </si>
  <si>
    <t xml:space="preserve"> 63.8077 </t>
  </si>
  <si>
    <t xml:space="preserve">F:\Données chgh\2020-CHG-CZA-Saccharin-3\plaque 1/@09 Saccharin 0,1/D9_01.tif </t>
  </si>
  <si>
    <t xml:space="preserve"> 66.3354 </t>
  </si>
  <si>
    <t xml:space="preserve">F:\Données chgh\2020-CHG-CZA-Saccharin-3\plaque 1/@09 Saccharin 0,1/D9_02.tif </t>
  </si>
  <si>
    <t xml:space="preserve"> 9863.232 </t>
  </si>
  <si>
    <t xml:space="preserve"> 66.364 </t>
  </si>
  <si>
    <t xml:space="preserve">F:\Données chgh\2020-CHG-CZA-Saccharin-3\plaque 1/@09 Saccharin 0,1/D9_03.tif </t>
  </si>
  <si>
    <t xml:space="preserve"> 65.9441 </t>
  </si>
  <si>
    <t xml:space="preserve">F:\Données chgh\2020-CHG-CZA-Saccharin-3\plaque 1/@09 Saccharin 0,1/E9_01.tif </t>
  </si>
  <si>
    <t xml:space="preserve"> 64.1667 </t>
  </si>
  <si>
    <t xml:space="preserve">F:\Données chgh\2020-CHG-CZA-Saccharin-3\plaque 1/@09 Saccharin 0,1/E9_02.tif </t>
  </si>
  <si>
    <t xml:space="preserve"> 61.5 </t>
  </si>
  <si>
    <t xml:space="preserve">F:\Données chgh\2020-CHG-CZA-Saccharin-3\plaque 1/@09 Saccharin 0,1/E9_03.tif </t>
  </si>
  <si>
    <t xml:space="preserve">F:\Données chgh\2020-CHG-CZA-Saccharin-3\plaque 1/@09 Saccharin 0,1/F9_01.tif </t>
  </si>
  <si>
    <t xml:space="preserve"> 74.1367 </t>
  </si>
  <si>
    <t xml:space="preserve">F:\Données chgh\2020-CHG-CZA-Saccharin-3\plaque 1/@09 Saccharin 0,1/F9_02.tif </t>
  </si>
  <si>
    <t xml:space="preserve"> 72.5506 </t>
  </si>
  <si>
    <t xml:space="preserve">F:\Données chgh\2020-CHG-CZA-Saccharin-3\plaque 1/@09 Saccharin 0,1/F9_03.tif </t>
  </si>
  <si>
    <t xml:space="preserve"> 62.3265 </t>
  </si>
  <si>
    <t xml:space="preserve">F:\Données chgh\2020-CHG-CZA-Saccharin-3\plaque 1/@09 Saccharin 0,1/G9_01.tif </t>
  </si>
  <si>
    <t xml:space="preserve"> 67.0218 </t>
  </si>
  <si>
    <t>F:\Données chgh\2020-CHG-CZA-Saccharin-3\plaque 1/@09 Saccharin 0,1/G9_02- exclu.tif</t>
  </si>
  <si>
    <t xml:space="preserve">F:\Données chgh\2020-CHG-CZA-Saccharin-3\plaque 1/@09 Saccharin 0,1/G9_03.tif </t>
  </si>
  <si>
    <t xml:space="preserve"> 63.1538 </t>
  </si>
  <si>
    <t>F:\Données chgh\2020-CHG-CZA-Saccharin-3\plaque 1/@09 Saccharin 0,1/H9_01- exclu.tif</t>
  </si>
  <si>
    <t>F:\Données chgh\2020-CHG-CZA-Saccharin-3\plaque 1/@09 Saccharin 0,1/H9_02- exclu.tif</t>
  </si>
  <si>
    <t>F:\Données chgh\2020-CHG-CZA-Saccharin-3\plaque 1/@09 Saccharin 0,1/H9_03- exclu.tif</t>
  </si>
  <si>
    <t xml:space="preserve">F:\Données chgh\2020-CHG-CZA-Saccharin-3\plaque 1/@09 Saccharin 0,1/ </t>
  </si>
  <si>
    <t xml:space="preserve"> 65.9781 </t>
  </si>
  <si>
    <t xml:space="preserve"> 4.4338 </t>
  </si>
  <si>
    <t xml:space="preserve"> 263068.125 </t>
  </si>
  <si>
    <t xml:space="preserve"> 279009.156 </t>
  </si>
  <si>
    <t xml:space="preserve">F:\Données chgh\2020-CHG-CZA-Saccharin-3\plaque 1/@10  Saccharin 1/A10_01.tif </t>
  </si>
  <si>
    <t xml:space="preserve">F:\Données chgh\2020-CHG-CZA-Saccharin-3\plaque 1/@10  Saccharin 1/A10_02.tif </t>
  </si>
  <si>
    <t xml:space="preserve">F:\Données chgh\2020-CHG-CZA-Saccharin-3\plaque 1/@10  Saccharin 1/A10_03.tif </t>
  </si>
  <si>
    <t xml:space="preserve">F:\Données chgh\2020-CHG-CZA-Saccharin-3\plaque 1/@10  Saccharin 1/B10_01.tif </t>
  </si>
  <si>
    <t xml:space="preserve"> 11550.3637 </t>
  </si>
  <si>
    <t xml:space="preserve"> 75.7547 </t>
  </si>
  <si>
    <t xml:space="preserve">F:\Données chgh\2020-CHG-CZA-Saccharin-3\plaque 1/@10  Saccharin 1/B10_02.tif </t>
  </si>
  <si>
    <t xml:space="preserve"> 63.375 </t>
  </si>
  <si>
    <t xml:space="preserve">F:\Données chgh\2020-CHG-CZA-Saccharin-3\plaque 1/@10  Saccharin 1/B10_03.tif </t>
  </si>
  <si>
    <t>F:\Données chgh\2020-CHG-CZA-Saccharin-3\plaque 1/@10  Saccharin 1/C10_01- exclu.tif</t>
  </si>
  <si>
    <t xml:space="preserve">F:\Données chgh\2020-CHG-CZA-Saccharin-3\plaque 1/@10  Saccharin 1/C10_02.tif </t>
  </si>
  <si>
    <t xml:space="preserve"> 4499.0181 </t>
  </si>
  <si>
    <t xml:space="preserve"> 68.3558 </t>
  </si>
  <si>
    <t xml:space="preserve">F:\Données chgh\2020-CHG-CZA-Saccharin-3\plaque 1/@10  Saccharin 1/C10_03.tif </t>
  </si>
  <si>
    <t xml:space="preserve"> 62.1163 </t>
  </si>
  <si>
    <t xml:space="preserve">F:\Données chgh\2020-CHG-CZA-Saccharin-3\plaque 1/@10  Saccharin 1/D10_01.tif </t>
  </si>
  <si>
    <t xml:space="preserve"> 65.392 </t>
  </si>
  <si>
    <t xml:space="preserve">F:\Données chgh\2020-CHG-CZA-Saccharin-3\plaque 1/@10  Saccharin 1/D10_02.tif </t>
  </si>
  <si>
    <t xml:space="preserve">F:\Données chgh\2020-CHG-CZA-Saccharin-3\plaque 1/@10  Saccharin 1/D10_03.tif </t>
  </si>
  <si>
    <t xml:space="preserve"> 63.5789 </t>
  </si>
  <si>
    <t xml:space="preserve">F:\Données chgh\2020-CHG-CZA-Saccharin-3\plaque 1/@10  Saccharin 1/E10_01.tif </t>
  </si>
  <si>
    <t xml:space="preserve">F:\Données chgh\2020-CHG-CZA-Saccharin-3\plaque 1/@10  Saccharin 1/E10_02.tif </t>
  </si>
  <si>
    <t xml:space="preserve">F:\Données chgh\2020-CHG-CZA-Saccharin-3\plaque 1/@10  Saccharin 1/E10_03.tif </t>
  </si>
  <si>
    <t xml:space="preserve">F:\Données chgh\2020-CHG-CZA-Saccharin-3\plaque 1/@10  Saccharin 1/F10_01.tif </t>
  </si>
  <si>
    <t xml:space="preserve">F:\Données chgh\2020-CHG-CZA-Saccharin-3\plaque 1/@10  Saccharin 1/F10_02.tif </t>
  </si>
  <si>
    <t xml:space="preserve"> 69.9715 </t>
  </si>
  <si>
    <t xml:space="preserve">F:\Données chgh\2020-CHG-CZA-Saccharin-3\plaque 1/@10  Saccharin 1/F10_03.tif </t>
  </si>
  <si>
    <t xml:space="preserve">F:\Données chgh\2020-CHG-CZA-Saccharin-3\plaque 1/@10  Saccharin 1/G10_01.tif </t>
  </si>
  <si>
    <t xml:space="preserve"> 71.3932 </t>
  </si>
  <si>
    <t xml:space="preserve">F:\Données chgh\2020-CHG-CZA-Saccharin-3\plaque 1/@10  Saccharin 1/G10_02.tif </t>
  </si>
  <si>
    <t xml:space="preserve"> 1622.2421 </t>
  </si>
  <si>
    <t xml:space="preserve"> 63.56 </t>
  </si>
  <si>
    <t xml:space="preserve">F:\Données chgh\2020-CHG-CZA-Saccharin-3\plaque 1/@10  Saccharin 1/G10_03.tif </t>
  </si>
  <si>
    <t xml:space="preserve"> 68.2923 </t>
  </si>
  <si>
    <t xml:space="preserve">F:\Données chgh\2020-CHG-CZA-Saccharin-3\plaque 1/@10  Saccharin 1/H10_01.tif </t>
  </si>
  <si>
    <t xml:space="preserve">F:\Données chgh\2020-CHG-CZA-Saccharin-3\plaque 1/@10  Saccharin 1/H10_02.tif </t>
  </si>
  <si>
    <t xml:space="preserve">F:\Données chgh\2020-CHG-CZA-Saccharin-3\plaque 1/@10  Saccharin 1/H10_03.tif </t>
  </si>
  <si>
    <t xml:space="preserve"> 63.5263 </t>
  </si>
  <si>
    <t xml:space="preserve">F:\Données chgh\2020-CHG-CZA-Saccharin-3\plaque 1/@10  Saccharin 1/ </t>
  </si>
  <si>
    <t xml:space="preserve"> 65.0445 </t>
  </si>
  <si>
    <t xml:space="preserve"> 3.4473 </t>
  </si>
  <si>
    <t xml:space="preserve"> 145813.542 </t>
  </si>
  <si>
    <t xml:space="preserve"> 216206.931 </t>
  </si>
  <si>
    <t xml:space="preserve">F:\Données chgh\2020-CHG-CZA-Saccharin-3\plaque 1/@11 Saccharin 10/A11_01.tif </t>
  </si>
  <si>
    <t xml:space="preserve">F:\Données chgh\2020-CHG-CZA-Saccharin-3\plaque 1/@11 Saccharin 10/A11_02.tif </t>
  </si>
  <si>
    <t xml:space="preserve"> 69.7429 </t>
  </si>
  <si>
    <t xml:space="preserve">F:\Données chgh\2020-CHG-CZA-Saccharin-3\plaque 1/@11 Saccharin 10/A11_03.tif </t>
  </si>
  <si>
    <t xml:space="preserve"> 62.1 </t>
  </si>
  <si>
    <t xml:space="preserve">F:\Données chgh\2020-CHG-CZA-Saccharin-3\plaque 1/@11 Saccharin 10/B11_01.tif </t>
  </si>
  <si>
    <t xml:space="preserve"> 10944.7267 </t>
  </si>
  <si>
    <t xml:space="preserve"> 65.1285 </t>
  </si>
  <si>
    <t xml:space="preserve">F:\Données chgh\2020-CHG-CZA-Saccharin-3\plaque 1/@11 Saccharin 10/B11_02.tif </t>
  </si>
  <si>
    <t xml:space="preserve"> 64.44 </t>
  </si>
  <si>
    <t xml:space="preserve">F:\Données chgh\2020-CHG-CZA-Saccharin-3\plaque 1/@11 Saccharin 10/B11_03.tif </t>
  </si>
  <si>
    <t xml:space="preserve"> 62.7727 </t>
  </si>
  <si>
    <t>F:\Données chgh\2020-CHG-CZA-Saccharin-3\plaque 1/@11 Saccharin 10/C11_01- exclu.tif</t>
  </si>
  <si>
    <t xml:space="preserve">F:\Données chgh\2020-CHG-CZA-Saccharin-3\plaque 1/@11 Saccharin 10/C11_02.tif </t>
  </si>
  <si>
    <t xml:space="preserve"> 65.0357 </t>
  </si>
  <si>
    <t xml:space="preserve">F:\Données chgh\2020-CHG-CZA-Saccharin-3\plaque 1/@11 Saccharin 10/C11_03.tif </t>
  </si>
  <si>
    <t xml:space="preserve"> 62.8421 </t>
  </si>
  <si>
    <t xml:space="preserve">F:\Données chgh\2020-CHG-CZA-Saccharin-3\plaque 1/@11 Saccharin 10/D11_01.tif </t>
  </si>
  <si>
    <t xml:space="preserve"> 3482.413 </t>
  </si>
  <si>
    <t xml:space="preserve"> 63.5528 </t>
  </si>
  <si>
    <t xml:space="preserve">F:\Données chgh\2020-CHG-CZA-Saccharin-3\plaque 1/@11 Saccharin 10/D11_02.tif </t>
  </si>
  <si>
    <t xml:space="preserve"> 63.597 </t>
  </si>
  <si>
    <t xml:space="preserve">F:\Données chgh\2020-CHG-CZA-Saccharin-3\plaque 1/@11 Saccharin 10/D11_03.tif </t>
  </si>
  <si>
    <t xml:space="preserve"> 62.7143 </t>
  </si>
  <si>
    <t xml:space="preserve">F:\Données chgh\2020-CHG-CZA-Saccharin-3\plaque 1/@11 Saccharin 10/E11_01.tif </t>
  </si>
  <si>
    <t xml:space="preserve"> 70.3694 </t>
  </si>
  <si>
    <t xml:space="preserve">F:\Données chgh\2020-CHG-CZA-Saccharin-3\plaque 1/@11 Saccharin 10/E11_02.tif </t>
  </si>
  <si>
    <t xml:space="preserve">F:\Données chgh\2020-CHG-CZA-Saccharin-3\plaque 1/@11 Saccharin 10/E11_03.tif </t>
  </si>
  <si>
    <t xml:space="preserve"> 65.7282 </t>
  </si>
  <si>
    <t xml:space="preserve">F:\Données chgh\2020-CHG-CZA-Saccharin-3\plaque 1/@11 Saccharin 10/F11_01.tif </t>
  </si>
  <si>
    <t>F:\Données chgh\2020-CHG-CZA-Saccharin-3\plaque 1/@11 Saccharin 10/F11_02- exclu.tif</t>
  </si>
  <si>
    <t xml:space="preserve">F:\Données chgh\2020-CHG-CZA-Saccharin-3\plaque 1/@11 Saccharin 10/F11_03.tif </t>
  </si>
  <si>
    <t xml:space="preserve"> 66.5354 </t>
  </si>
  <si>
    <t xml:space="preserve">F:\Données chgh\2020-CHG-CZA-Saccharin-3\plaque 1/@11 Saccharin 10/G11_01.tif </t>
  </si>
  <si>
    <t xml:space="preserve"> 10836.5772 </t>
  </si>
  <si>
    <t xml:space="preserve"> 72.5888 </t>
  </si>
  <si>
    <t xml:space="preserve">F:\Données chgh\2020-CHG-CZA-Saccharin-3\plaque 1/@11 Saccharin 10/G11_02.tif </t>
  </si>
  <si>
    <t xml:space="preserve"> 2963.2956 </t>
  </si>
  <si>
    <t xml:space="preserve"> 67.5693 </t>
  </si>
  <si>
    <t xml:space="preserve">F:\Données chgh\2020-CHG-CZA-Saccharin-3\plaque 1/@11 Saccharin 10/G11_03.tif </t>
  </si>
  <si>
    <t xml:space="preserve"> 64.8421 </t>
  </si>
  <si>
    <t xml:space="preserve">F:\Données chgh\2020-CHG-CZA-Saccharin-3\plaque 1/@11 Saccharin 10/H11_01.tif </t>
  </si>
  <si>
    <t xml:space="preserve"> 63.7403 </t>
  </si>
  <si>
    <t xml:space="preserve">F:\Données chgh\2020-CHG-CZA-Saccharin-3\plaque 1/@11 Saccharin 10/H11_02.tif </t>
  </si>
  <si>
    <t xml:space="preserve"> 62.5385 </t>
  </si>
  <si>
    <t xml:space="preserve">F:\Données chgh\2020-CHG-CZA-Saccharin-3\plaque 1/@11 Saccharin 10/H11_03.tif </t>
  </si>
  <si>
    <t xml:space="preserve">F:\Données chgh\2020-CHG-CZA-Saccharin-3\plaque 1/@11 Saccharin 10/ </t>
  </si>
  <si>
    <t xml:space="preserve"> 66.2738 </t>
  </si>
  <si>
    <t xml:space="preserve"> 5.144 </t>
  </si>
  <si>
    <t xml:space="preserve"> 238573.208 </t>
  </si>
  <si>
    <t xml:space="preserve"> 280235.937 </t>
  </si>
  <si>
    <t xml:space="preserve">F:\Données chgh\2020-CHG-CZA-Saccharin-3\plaque 1/@12  Saccharin 100/A12_01.tif </t>
  </si>
  <si>
    <t xml:space="preserve"> 65.0214 </t>
  </si>
  <si>
    <t xml:space="preserve">F:\Données chgh\2020-CHG-CZA-Saccharin-3\plaque 1/@12  Saccharin 100/A12_02.tif </t>
  </si>
  <si>
    <t xml:space="preserve"> 3049.8151 </t>
  </si>
  <si>
    <t xml:space="preserve"> 65.9149 </t>
  </si>
  <si>
    <t xml:space="preserve">F:\Données chgh\2020-CHG-CZA-Saccharin-3\plaque 1/@12  Saccharin 100/A12_03.tif </t>
  </si>
  <si>
    <t xml:space="preserve"> 65.3835 </t>
  </si>
  <si>
    <t xml:space="preserve">F:\Données chgh\2020-CHG-CZA-Saccharin-3\plaque 1/@12  Saccharin 100/B12_01.tif </t>
  </si>
  <si>
    <t xml:space="preserve">F:\Données chgh\2020-CHG-CZA-Saccharin-3\plaque 1/@12  Saccharin 100/B12_02.tif </t>
  </si>
  <si>
    <t xml:space="preserve"> 63.1111 </t>
  </si>
  <si>
    <t xml:space="preserve">F:\Données chgh\2020-CHG-CZA-Saccharin-3\plaque 1/@12  Saccharin 100/B12_03.tif </t>
  </si>
  <si>
    <t xml:space="preserve"> 63.7647 </t>
  </si>
  <si>
    <t xml:space="preserve">F:\Données chgh\2020-CHG-CZA-Saccharin-3\plaque 1/@12  Saccharin 100/C12_01.tif </t>
  </si>
  <si>
    <t xml:space="preserve"> 5018.1356 </t>
  </si>
  <si>
    <t xml:space="preserve"> 69.9957 </t>
  </si>
  <si>
    <t xml:space="preserve">F:\Données chgh\2020-CHG-CZA-Saccharin-3\plaque 1/@12  Saccharin 100/C12_02.tif </t>
  </si>
  <si>
    <t xml:space="preserve"> 70.0388 </t>
  </si>
  <si>
    <t xml:space="preserve">F:\Données chgh\2020-CHG-CZA-Saccharin-3\plaque 1/@12  Saccharin 100/C12_03.tif </t>
  </si>
  <si>
    <t xml:space="preserve"> 65.7222 </t>
  </si>
  <si>
    <t xml:space="preserve">F:\Données chgh\2020-CHG-CZA-Saccharin-3\plaque 1/@12  Saccharin 100/D12_01.tif </t>
  </si>
  <si>
    <t xml:space="preserve"> 65.6043 </t>
  </si>
  <si>
    <t xml:space="preserve">F:\Données chgh\2020-CHG-CZA-Saccharin-3\plaque 1/@12  Saccharin 100/D12_02.tif </t>
  </si>
  <si>
    <t xml:space="preserve"> 63.8875 </t>
  </si>
  <si>
    <t>F:\Données chgh\2020-CHG-CZA-Saccharin-3\plaque 1/@12  Saccharin 100/D12_03- exclu.tif</t>
  </si>
  <si>
    <t xml:space="preserve">F:\Données chgh\2020-CHG-CZA-Saccharin-3\plaque 1/@12  Saccharin 100/E12_01.tif </t>
  </si>
  <si>
    <t xml:space="preserve"> 70.8889 </t>
  </si>
  <si>
    <t xml:space="preserve">F:\Données chgh\2020-CHG-CZA-Saccharin-3\plaque 1/@12  Saccharin 100/E12_02.tif </t>
  </si>
  <si>
    <t xml:space="preserve"> 64.5156 </t>
  </si>
  <si>
    <t xml:space="preserve">F:\Données chgh\2020-CHG-CZA-Saccharin-3\plaque 1/@12  Saccharin 100/E12_03.tif </t>
  </si>
  <si>
    <t xml:space="preserve"> 65.7143 </t>
  </si>
  <si>
    <t xml:space="preserve">F:\Données chgh\2020-CHG-CZA-Saccharin-3\plaque 1/@12  Saccharin 100/F12_01.tif </t>
  </si>
  <si>
    <t xml:space="preserve"> 63.9268 </t>
  </si>
  <si>
    <t xml:space="preserve">F:\Données chgh\2020-CHG-CZA-Saccharin-3\plaque 1/@12  Saccharin 100/F12_02.tif </t>
  </si>
  <si>
    <t xml:space="preserve"> 2336.0286 </t>
  </si>
  <si>
    <t xml:space="preserve"> 65.1852 </t>
  </si>
  <si>
    <t xml:space="preserve">F:\Données chgh\2020-CHG-CZA-Saccharin-3\plaque 1/@12  Saccharin 100/F12_03.tif </t>
  </si>
  <si>
    <t xml:space="preserve">F:\Données chgh\2020-CHG-CZA-Saccharin-3\plaque 1/@12  Saccharin 100/G12_01.tif </t>
  </si>
  <si>
    <t xml:space="preserve">F:\Données chgh\2020-CHG-CZA-Saccharin-3\plaque 1/@12  Saccharin 100/G12_02.tif </t>
  </si>
  <si>
    <t xml:space="preserve">F:\Données chgh\2020-CHG-CZA-Saccharin-3\plaque 1/@12  Saccharin 100/G12_03.tif </t>
  </si>
  <si>
    <t xml:space="preserve">F:\Données chgh\2020-CHG-CZA-Saccharin-3\plaque 1/@12  Saccharin 100/H12_01.tif </t>
  </si>
  <si>
    <t xml:space="preserve"> 12740.0079 </t>
  </si>
  <si>
    <t xml:space="preserve"> 83.4686 </t>
  </si>
  <si>
    <t xml:space="preserve">F:\Données chgh\2020-CHG-CZA-Saccharin-3\plaque 1/@12  Saccharin 100/H12_02.tif </t>
  </si>
  <si>
    <t xml:space="preserve"> 9841.6021 </t>
  </si>
  <si>
    <t xml:space="preserve"> 65.1824 </t>
  </si>
  <si>
    <t xml:space="preserve">F:\Données chgh\2020-CHG-CZA-Saccharin-3\plaque 1/@12  Saccharin 100/H12_03.tif </t>
  </si>
  <si>
    <t xml:space="preserve"> 3720.3419 </t>
  </si>
  <si>
    <t xml:space="preserve"> 64.7151 </t>
  </si>
  <si>
    <t xml:space="preserve">F:\Données chgh\2020-CHG-CZA-Saccharin-3\plaque 1/@12  Saccharin 100/ </t>
  </si>
  <si>
    <t xml:space="preserve"> 65.9519 </t>
  </si>
  <si>
    <t xml:space="preserve"> 4.3373 </t>
  </si>
  <si>
    <t xml:space="preserve"> 194426.667 </t>
  </si>
  <si>
    <t xml:space="preserve"> 252976.96 </t>
  </si>
  <si>
    <t xml:space="preserve">F:\Données chgh\2020-CHG-CZA-Saccharin-3\plaque 2/@13 Testo 30/A1_01.tif </t>
  </si>
  <si>
    <t xml:space="preserve"> 62.1429 </t>
  </si>
  <si>
    <t>F:\Données chgh\2020-CHG-CZA-Saccharin-3\plaque 2/@13 Testo 30/A1_02- exclu.tif</t>
  </si>
  <si>
    <t xml:space="preserve">F:\Données chgh\2020-CHG-CZA-Saccharin-3\plaque 2/@13 Testo 30/A1_03.tif </t>
  </si>
  <si>
    <t xml:space="preserve"> 67.2563 </t>
  </si>
  <si>
    <t xml:space="preserve">F:\Données chgh\2020-CHG-CZA-Saccharin-3\plaque 2/@13 Testo 30/B1_01.tif </t>
  </si>
  <si>
    <t xml:space="preserve"> 63.6098 </t>
  </si>
  <si>
    <t xml:space="preserve">F:\Données chgh\2020-CHG-CZA-Saccharin-3\plaque 2/@13 Testo 30/B1_02.tif </t>
  </si>
  <si>
    <t xml:space="preserve"> 64.4009 </t>
  </si>
  <si>
    <t xml:space="preserve">F:\Données chgh\2020-CHG-CZA-Saccharin-3\plaque 2/@13 Testo 30/B1_03.tif </t>
  </si>
  <si>
    <t xml:space="preserve"> 61.8696 </t>
  </si>
  <si>
    <t>F:\Données chgh\2020-CHG-CZA-Saccharin-3\plaque 2/@13 Testo 30/C1_01- exclu.tif</t>
  </si>
  <si>
    <t>F:\Données chgh\2020-CHG-CZA-Saccharin-3\plaque 2/@13 Testo 30/C1_02- exclu.tif</t>
  </si>
  <si>
    <t>F:\Données chgh\2020-CHG-CZA-Saccharin-3\plaque 2/@13 Testo 30/C1_03- exclu.tif</t>
  </si>
  <si>
    <t xml:space="preserve">F:\Données chgh\2020-CHG-CZA-Saccharin-3\plaque 2/@13 Testo 30/D1_01.tif </t>
  </si>
  <si>
    <t xml:space="preserve"> 64.8371 </t>
  </si>
  <si>
    <t>F:\Données chgh\2020-CHG-CZA-Saccharin-3\plaque 2/@13 Testo 30/D1_02- exclu.tif</t>
  </si>
  <si>
    <t>F:\Données chgh\2020-CHG-CZA-Saccharin-3\plaque 2/@13 Testo 30/D1_03- exclu.tif</t>
  </si>
  <si>
    <t xml:space="preserve">F:\Données chgh\2020-CHG-CZA-Saccharin-3\plaque 2/@13 Testo 30/E1_01.tif </t>
  </si>
  <si>
    <t xml:space="preserve"> 34283.383 </t>
  </si>
  <si>
    <t xml:space="preserve"> 68.5748 </t>
  </si>
  <si>
    <t xml:space="preserve">F:\Données chgh\2020-CHG-CZA-Saccharin-3\plaque 2/@13 Testo 30/E1_02.tif </t>
  </si>
  <si>
    <t xml:space="preserve"> 35624.4365 </t>
  </si>
  <si>
    <t xml:space="preserve"> 68.5082 </t>
  </si>
  <si>
    <t xml:space="preserve">F:\Données chgh\2020-CHG-CZA-Saccharin-3\plaque 2/@13 Testo 30/E1_03.tif </t>
  </si>
  <si>
    <t xml:space="preserve"> 36403.1127 </t>
  </si>
  <si>
    <t xml:space="preserve"> 70.7421 </t>
  </si>
  <si>
    <t xml:space="preserve">F:\Données chgh\2020-CHG-CZA-Saccharin-3\plaque 2/@13 Testo 30/F1_01.tif </t>
  </si>
  <si>
    <t xml:space="preserve"> 61493.7904 </t>
  </si>
  <si>
    <t xml:space="preserve"> 76.5248 </t>
  </si>
  <si>
    <t>F:\Données chgh\2020-CHG-CZA-Saccharin-3\plaque 2/@13 Testo 30/F1_02- exclu.tif</t>
  </si>
  <si>
    <t xml:space="preserve">F:\Données chgh\2020-CHG-CZA-Saccharin-3\plaque 2/@13 Testo 30/F1_03.tif </t>
  </si>
  <si>
    <t xml:space="preserve"> 58119.5269 </t>
  </si>
  <si>
    <t xml:space="preserve"> 73.7451 </t>
  </si>
  <si>
    <t xml:space="preserve">F:\Données chgh\2020-CHG-CZA-Saccharin-3\plaque 2/@13 Testo 30/G1_01.tif </t>
  </si>
  <si>
    <t xml:space="preserve"> 43216.5295 </t>
  </si>
  <si>
    <t xml:space="preserve"> 70.8669 </t>
  </si>
  <si>
    <t xml:space="preserve">F:\Données chgh\2020-CHG-CZA-Saccharin-3\plaque 2/@13 Testo 30/G1_02.tif </t>
  </si>
  <si>
    <t xml:space="preserve"> 41810.5863 </t>
  </si>
  <si>
    <t xml:space="preserve"> 71.4542 </t>
  </si>
  <si>
    <t xml:space="preserve">F:\Données chgh\2020-CHG-CZA-Saccharin-3\plaque 2/@13 Testo 30/G1_03.tif </t>
  </si>
  <si>
    <t xml:space="preserve"> 71.5641 </t>
  </si>
  <si>
    <t xml:space="preserve">F:\Données chgh\2020-CHG-CZA-Saccharin-3\plaque 2/@13 Testo 30/H1_01.tif </t>
  </si>
  <si>
    <t xml:space="preserve"> 64.7431 </t>
  </si>
  <si>
    <t xml:space="preserve">F:\Données chgh\2020-CHG-CZA-Saccharin-3\plaque 2/@13 Testo 30/H1_02.tif </t>
  </si>
  <si>
    <t xml:space="preserve"> 7224.3848 </t>
  </si>
  <si>
    <t xml:space="preserve"> 68.1257 </t>
  </si>
  <si>
    <t xml:space="preserve">F:\Données chgh\2020-CHG-CZA-Saccharin-3\plaque 2/@13 Testo 30/H1_03.tif </t>
  </si>
  <si>
    <t xml:space="preserve"> 65.6129 </t>
  </si>
  <si>
    <t xml:space="preserve">F:\Données chgh\2020-CHG-CZA-Saccharin-3\plaque 2/@13 Testo 30/ </t>
  </si>
  <si>
    <t xml:space="preserve"> 66.8504 </t>
  </si>
  <si>
    <t xml:space="preserve"> 3.9319 </t>
  </si>
  <si>
    <t xml:space="preserve"> 1278923.54 </t>
  </si>
  <si>
    <t xml:space="preserve"> 1547701.02 </t>
  </si>
  <si>
    <t xml:space="preserve">F:\Données chgh\2020-CHG-CZA-Saccharin-3\plaque 2/@14 Testo 30/A2_01.tif </t>
  </si>
  <si>
    <t xml:space="preserve"> 58335.8258 </t>
  </si>
  <si>
    <t xml:space="preserve"> 76.2903 </t>
  </si>
  <si>
    <t xml:space="preserve">F:\Données chgh\2020-CHG-CZA-Saccharin-3\plaque 2/@14 Testo 30/A2_02.tif </t>
  </si>
  <si>
    <t xml:space="preserve"> 58162.7867 </t>
  </si>
  <si>
    <t xml:space="preserve"> 77.0175 </t>
  </si>
  <si>
    <t xml:space="preserve">F:\Données chgh\2020-CHG-CZA-Saccharin-3\plaque 2/@14 Testo 30/A2_03.tif </t>
  </si>
  <si>
    <t xml:space="preserve"> 55264.3808 </t>
  </si>
  <si>
    <t xml:space="preserve"> 78.2266 </t>
  </si>
  <si>
    <t xml:space="preserve">F:\Données chgh\2020-CHG-CZA-Saccharin-3\plaque 2/@14 Testo 30/B2_01.tif </t>
  </si>
  <si>
    <t xml:space="preserve"> 66036.0683 </t>
  </si>
  <si>
    <t xml:space="preserve"> 74.4641 </t>
  </si>
  <si>
    <t xml:space="preserve">F:\Données chgh\2020-CHG-CZA-Saccharin-3\plaque 2/@14 Testo 30/B2_02.tif </t>
  </si>
  <si>
    <t xml:space="preserve"> 60412.2957 </t>
  </si>
  <si>
    <t xml:space="preserve"> 73.8031 </t>
  </si>
  <si>
    <t xml:space="preserve">F:\Données chgh\2020-CHG-CZA-Saccharin-3\plaque 2/@14 Testo 30/B2_03.tif </t>
  </si>
  <si>
    <t xml:space="preserve"> 57362.4806 </t>
  </si>
  <si>
    <t xml:space="preserve"> 74.4012 </t>
  </si>
  <si>
    <t>F:\Données chgh\2020-CHG-CZA-Saccharin-3\plaque 2/@14 Testo 30/C2_01- exclu.tif</t>
  </si>
  <si>
    <t xml:space="preserve">F:\Données chgh\2020-CHG-CZA-Saccharin-3\plaque 2/@14 Testo 30/C2_02.tif </t>
  </si>
  <si>
    <t xml:space="preserve"> 68999.3639 </t>
  </si>
  <si>
    <t xml:space="preserve"> 74.3784 </t>
  </si>
  <si>
    <t xml:space="preserve">F:\Données chgh\2020-CHG-CZA-Saccharin-3\plaque 2/@14 Testo 30/C2_03.tif </t>
  </si>
  <si>
    <t xml:space="preserve"> 62402.246 </t>
  </si>
  <si>
    <t xml:space="preserve"> 73.8253 </t>
  </si>
  <si>
    <t xml:space="preserve">F:\Données chgh\2020-CHG-CZA-Saccharin-3\plaque 2/@14 Testo 30/D2_01.tif </t>
  </si>
  <si>
    <t xml:space="preserve"> 35646.0663 </t>
  </si>
  <si>
    <t xml:space="preserve"> 77.6377 </t>
  </si>
  <si>
    <t>F:\Données chgh\2020-CHG-CZA-Saccharin-3\plaque 2/@14 Testo 30/D2_02- exclu.tif</t>
  </si>
  <si>
    <t xml:space="preserve">F:\Données chgh\2020-CHG-CZA-Saccharin-3\plaque 2/@14 Testo 30/D2_03.tif </t>
  </si>
  <si>
    <t xml:space="preserve"> 34521.3118 </t>
  </si>
  <si>
    <t xml:space="preserve"> 75.9386 </t>
  </si>
  <si>
    <t xml:space="preserve">F:\Données chgh\2020-CHG-CZA-Saccharin-3\plaque 2/@14 Testo 30/E2_01.tif </t>
  </si>
  <si>
    <t xml:space="preserve"> 70.1475 </t>
  </si>
  <si>
    <t xml:space="preserve">F:\Données chgh\2020-CHG-CZA-Saccharin-3\plaque 2/@14 Testo 30/E2_02.tif </t>
  </si>
  <si>
    <t xml:space="preserve"> 22257.1616 </t>
  </si>
  <si>
    <t xml:space="preserve"> 66.9534 </t>
  </si>
  <si>
    <t xml:space="preserve">F:\Données chgh\2020-CHG-CZA-Saccharin-3\plaque 2/@14 Testo 30/E2_03.tif </t>
  </si>
  <si>
    <t xml:space="preserve"> 25782.8344 </t>
  </si>
  <si>
    <t xml:space="preserve"> 68.557 </t>
  </si>
  <si>
    <t xml:space="preserve">F:\Données chgh\2020-CHG-CZA-Saccharin-3\plaque 2/@14 Testo 30/F2_01.tif </t>
  </si>
  <si>
    <t xml:space="preserve"> 42091.7749 </t>
  </si>
  <si>
    <t xml:space="preserve"> 78.2189 </t>
  </si>
  <si>
    <t xml:space="preserve">F:\Données chgh\2020-CHG-CZA-Saccharin-3\plaque 2/@14 Testo 30/F2_02.tif </t>
  </si>
  <si>
    <t xml:space="preserve"> 42329.7038 </t>
  </si>
  <si>
    <t xml:space="preserve"> 77.4502 </t>
  </si>
  <si>
    <t xml:space="preserve">F:\Données chgh\2020-CHG-CZA-Saccharin-3\plaque 2/@14 Testo 30/F2_03.tif </t>
  </si>
  <si>
    <t xml:space="preserve"> 38782.4011 </t>
  </si>
  <si>
    <t xml:space="preserve"> 77.1785 </t>
  </si>
  <si>
    <t xml:space="preserve">F:\Données chgh\2020-CHG-CZA-Saccharin-3\plaque 2/@14 Testo 30/G2_01.tif </t>
  </si>
  <si>
    <t xml:space="preserve"> 46612.4229 </t>
  </si>
  <si>
    <t xml:space="preserve"> 77.4074 </t>
  </si>
  <si>
    <t xml:space="preserve">F:\Données chgh\2020-CHG-CZA-Saccharin-3\plaque 2/@14 Testo 30/G2_02.tif </t>
  </si>
  <si>
    <t xml:space="preserve"> 44708.9922 </t>
  </si>
  <si>
    <t xml:space="preserve"> 75.2458 </t>
  </si>
  <si>
    <t xml:space="preserve">F:\Données chgh\2020-CHG-CZA-Saccharin-3\plaque 2/@14 Testo 30/G2_03.tif </t>
  </si>
  <si>
    <t xml:space="preserve"> 47045.0208 </t>
  </si>
  <si>
    <t xml:space="preserve"> 75.5743 </t>
  </si>
  <si>
    <t xml:space="preserve">F:\Données chgh\2020-CHG-CZA-Saccharin-3\plaque 2/@14 Testo 30/H2_01.tif </t>
  </si>
  <si>
    <t xml:space="preserve"> 45617.4478 </t>
  </si>
  <si>
    <t xml:space="preserve"> 70.9554 </t>
  </si>
  <si>
    <t xml:space="preserve">F:\Données chgh\2020-CHG-CZA-Saccharin-3\plaque 2/@14 Testo 30/H2_02.tif </t>
  </si>
  <si>
    <t xml:space="preserve"> 42048.5152 </t>
  </si>
  <si>
    <t xml:space="preserve"> 71.053 </t>
  </si>
  <si>
    <t xml:space="preserve">F:\Données chgh\2020-CHG-CZA-Saccharin-3\plaque 2/@14 Testo 30/H2_03.tif </t>
  </si>
  <si>
    <t xml:space="preserve"> 46785.4621 </t>
  </si>
  <si>
    <t xml:space="preserve"> 72.1239 </t>
  </si>
  <si>
    <t xml:space="preserve">F:\Données chgh\2020-CHG-CZA-Saccharin-3\plaque 2/@14 Testo 30/ </t>
  </si>
  <si>
    <t xml:space="preserve"> 74.1832 </t>
  </si>
  <si>
    <t xml:space="preserve"> 3.4268 </t>
  </si>
  <si>
    <t xml:space="preserve"> 3402400.42 </t>
  </si>
  <si>
    <t xml:space="preserve"> 1112129.61 </t>
  </si>
  <si>
    <t xml:space="preserve">F:\Données chgh\2020-CHG-CZA-Saccharin-3\plaque 2/@15 Testo + EE2/A3_01.tif </t>
  </si>
  <si>
    <t xml:space="preserve"> 60780.0039 </t>
  </si>
  <si>
    <t xml:space="preserve"> 83.1954 </t>
  </si>
  <si>
    <t xml:space="preserve">F:\Données chgh\2020-CHG-CZA-Saccharin-3\plaque 2/@15 Testo + EE2/A3_02.tif </t>
  </si>
  <si>
    <t xml:space="preserve"> 87.2432 </t>
  </si>
  <si>
    <t xml:space="preserve">F:\Données chgh\2020-CHG-CZA-Saccharin-3\plaque 2/@15 Testo + EE2/A3_03.tif </t>
  </si>
  <si>
    <t xml:space="preserve"> 53663.7686 </t>
  </si>
  <si>
    <t xml:space="preserve"> 84.4772 </t>
  </si>
  <si>
    <t xml:space="preserve">F:\Données chgh\2020-CHG-CZA-Saccharin-3\plaque 2/@15 Testo + EE2/B3_01.tif </t>
  </si>
  <si>
    <t xml:space="preserve"> 48645.633 </t>
  </si>
  <si>
    <t xml:space="preserve"> 83.5091 </t>
  </si>
  <si>
    <t xml:space="preserve">F:\Données chgh\2020-CHG-CZA-Saccharin-3\plaque 2/@15 Testo + EE2/B3_02.tif </t>
  </si>
  <si>
    <t xml:space="preserve"> 50181.3555 </t>
  </si>
  <si>
    <t xml:space="preserve"> 81.3586 </t>
  </si>
  <si>
    <t xml:space="preserve">F:\Données chgh\2020-CHG-CZA-Saccharin-3\plaque 2/@15 Testo + EE2/B3_03.tif </t>
  </si>
  <si>
    <t xml:space="preserve"> 52971.6119 </t>
  </si>
  <si>
    <t xml:space="preserve"> 80.4692 </t>
  </si>
  <si>
    <t xml:space="preserve">F:\Données chgh\2020-CHG-CZA-Saccharin-3\plaque 2/@15 Testo + EE2/C3_01.tif </t>
  </si>
  <si>
    <t xml:space="preserve"> 54464.0747 </t>
  </si>
  <si>
    <t xml:space="preserve"> 75.9293 </t>
  </si>
  <si>
    <t xml:space="preserve">F:\Données chgh\2020-CHG-CZA-Saccharin-3\plaque 2/@15 Testo + EE2/C3_02.tif </t>
  </si>
  <si>
    <t xml:space="preserve"> 50808.6225 </t>
  </si>
  <si>
    <t xml:space="preserve"> 73.3657 </t>
  </si>
  <si>
    <t xml:space="preserve">F:\Données chgh\2020-CHG-CZA-Saccharin-3\plaque 2/@15 Testo + EE2/C3_03.tif </t>
  </si>
  <si>
    <t xml:space="preserve"> 50722.1029 </t>
  </si>
  <si>
    <t xml:space="preserve"> 73.7518 </t>
  </si>
  <si>
    <t xml:space="preserve">F:\Données chgh\2020-CHG-CZA-Saccharin-3\plaque 2/@15 Testo + EE2/D3_01.tif </t>
  </si>
  <si>
    <t xml:space="preserve"> 84.9095 </t>
  </si>
  <si>
    <t xml:space="preserve">F:\Données chgh\2020-CHG-CZA-Saccharin-3\plaque 2/@15 Testo + EE2/D3_02.tif </t>
  </si>
  <si>
    <t xml:space="preserve"> 42546.0027 </t>
  </si>
  <si>
    <t xml:space="preserve"> 86.6274 </t>
  </si>
  <si>
    <t xml:space="preserve">F:\Données chgh\2020-CHG-CZA-Saccharin-3\plaque 2/@15 Testo + EE2/D3_03.tif </t>
  </si>
  <si>
    <t xml:space="preserve"> 46352.8642 </t>
  </si>
  <si>
    <t xml:space="preserve"> 81.0089 </t>
  </si>
  <si>
    <t xml:space="preserve">F:\Données chgh\2020-CHG-CZA-Saccharin-3\plaque 2/@15 Testo + EE2/E3_01.tif </t>
  </si>
  <si>
    <t xml:space="preserve"> 74.684 </t>
  </si>
  <si>
    <t xml:space="preserve">F:\Données chgh\2020-CHG-CZA-Saccharin-3\plaque 2/@15 Testo + EE2/E3_02.tif </t>
  </si>
  <si>
    <t xml:space="preserve"> 43303.049 </t>
  </si>
  <si>
    <t xml:space="preserve"> 77.2423 </t>
  </si>
  <si>
    <t xml:space="preserve">F:\Données chgh\2020-CHG-CZA-Saccharin-3\plaque 2/@15 Testo + EE2/E3_03.tif </t>
  </si>
  <si>
    <t xml:space="preserve"> 75.782 </t>
  </si>
  <si>
    <t xml:space="preserve">F:\Données chgh\2020-CHG-CZA-Saccharin-3\plaque 2/@15 Testo + EE2/F3_01.tif </t>
  </si>
  <si>
    <t xml:space="preserve"> 85113.6354 </t>
  </si>
  <si>
    <t xml:space="preserve"> 89.491 </t>
  </si>
  <si>
    <t xml:space="preserve">F:\Données chgh\2020-CHG-CZA-Saccharin-3\plaque 2/@15 Testo + EE2/F3_02.tif </t>
  </si>
  <si>
    <t xml:space="preserve"> 85849.0518 </t>
  </si>
  <si>
    <t xml:space="preserve"> 86.5896 </t>
  </si>
  <si>
    <t xml:space="preserve">F:\Données chgh\2020-CHG-CZA-Saccharin-3\plaque 2/@15 Testo + EE2/F3_03.tif </t>
  </si>
  <si>
    <t xml:space="preserve"> 84248.4396 </t>
  </si>
  <si>
    <t xml:space="preserve"> 85.9571 </t>
  </si>
  <si>
    <t xml:space="preserve">F:\Données chgh\2020-CHG-CZA-Saccharin-3\plaque 2/@15 Testo + EE2/G3_01.tif </t>
  </si>
  <si>
    <t xml:space="preserve"> 57924.8578 </t>
  </si>
  <si>
    <t xml:space="preserve"> 78.2838 </t>
  </si>
  <si>
    <t xml:space="preserve">F:\Données chgh\2020-CHG-CZA-Saccharin-3\plaque 2/@15 Testo + EE2/G3_02.tif </t>
  </si>
  <si>
    <t xml:space="preserve"> 60953.0431 </t>
  </si>
  <si>
    <t xml:space="preserve"> 77.813 </t>
  </si>
  <si>
    <t xml:space="preserve">F:\Données chgh\2020-CHG-CZA-Saccharin-3\plaque 2/@15 Testo + EE2/G3_03.tif </t>
  </si>
  <si>
    <t xml:space="preserve"> 49575.7185 </t>
  </si>
  <si>
    <t xml:space="preserve"> 80.0275 </t>
  </si>
  <si>
    <t xml:space="preserve">F:\Données chgh\2020-CHG-CZA-Saccharin-3\plaque 2/@15 Testo + EE2/H3_01.tif </t>
  </si>
  <si>
    <t xml:space="preserve"> 68.6068 </t>
  </si>
  <si>
    <t xml:space="preserve">F:\Données chgh\2020-CHG-CZA-Saccharin-3\plaque 2/@15 Testo + EE2/H3_02.tif </t>
  </si>
  <si>
    <t xml:space="preserve"> 17239.026 </t>
  </si>
  <si>
    <t xml:space="preserve"> 68.1142 </t>
  </si>
  <si>
    <t xml:space="preserve">F:\Données chgh\2020-CHG-CZA-Saccharin-3\plaque 2/@15 Testo + EE2/H3_03.tif </t>
  </si>
  <si>
    <t xml:space="preserve"> 21500.1153 </t>
  </si>
  <si>
    <t xml:space="preserve"> 69.0563 </t>
  </si>
  <si>
    <t xml:space="preserve">F:\Données chgh\2020-CHG-CZA-Saccharin-3\plaque 2/@15 Testo + EE2/ </t>
  </si>
  <si>
    <t xml:space="preserve"> 79.4789 </t>
  </si>
  <si>
    <t xml:space="preserve"> 6.1872 </t>
  </si>
  <si>
    <t xml:space="preserve"> 4148795.88 </t>
  </si>
  <si>
    <t xml:space="preserve"> 1591250.4 </t>
  </si>
  <si>
    <t xml:space="preserve">F:\Données chgh\2020-CHG-CZA-Saccharin-3\plaque 2/@16 Testo + FAD/A4_01.tif </t>
  </si>
  <si>
    <t xml:space="preserve"> 4217.8295 </t>
  </si>
  <si>
    <t xml:space="preserve"> 66.5077 </t>
  </si>
  <si>
    <t xml:space="preserve">F:\Données chgh\2020-CHG-CZA-Saccharin-3\plaque 2/@16 Testo + FAD/A4_02.tif </t>
  </si>
  <si>
    <t xml:space="preserve"> 3244.4842 </t>
  </si>
  <si>
    <t xml:space="preserve"> 64.78 </t>
  </si>
  <si>
    <t xml:space="preserve">F:\Données chgh\2020-CHG-CZA-Saccharin-3\plaque 2/@16 Testo + FAD/A4_03.tif </t>
  </si>
  <si>
    <t xml:space="preserve"> 70.5569 </t>
  </si>
  <si>
    <t xml:space="preserve">F:\Données chgh\2020-CHG-CZA-Saccharin-3\plaque 2/@16 Testo + FAD/B4_01.tif </t>
  </si>
  <si>
    <t xml:space="preserve"> 64.9552 </t>
  </si>
  <si>
    <t xml:space="preserve">F:\Données chgh\2020-CHG-CZA-Saccharin-3\plaque 2/@16 Testo + FAD/B4_02.tif </t>
  </si>
  <si>
    <t xml:space="preserve">F:\Données chgh\2020-CHG-CZA-Saccharin-3\plaque 2/@16 Testo + FAD/B4_03.tif </t>
  </si>
  <si>
    <t xml:space="preserve"> 66.8354 </t>
  </si>
  <si>
    <t xml:space="preserve">F:\Données chgh\2020-CHG-CZA-Saccharin-3\plaque 2/@16 Testo + FAD/C4_01.tif </t>
  </si>
  <si>
    <t xml:space="preserve">F:\Données chgh\2020-CHG-CZA-Saccharin-3\plaque 2/@16 Testo + FAD/C4_02.tif </t>
  </si>
  <si>
    <t xml:space="preserve"> 63.3467 </t>
  </si>
  <si>
    <t xml:space="preserve">F:\Données chgh\2020-CHG-CZA-Saccharin-3\plaque 2/@16 Testo + FAD/C4_03.tif </t>
  </si>
  <si>
    <t xml:space="preserve"> 70.6223 </t>
  </si>
  <si>
    <t xml:space="preserve">F:\Données chgh\2020-CHG-CZA-Saccharin-3\plaque 2/@16 Testo + FAD/D4_01.tif </t>
  </si>
  <si>
    <t xml:space="preserve"> 62.5357 </t>
  </si>
  <si>
    <t xml:space="preserve">F:\Données chgh\2020-CHG-CZA-Saccharin-3\plaque 2/@16 Testo + FAD/D4_02.tif </t>
  </si>
  <si>
    <t xml:space="preserve"> 4325.9789 </t>
  </si>
  <si>
    <t xml:space="preserve"> 65.75 </t>
  </si>
  <si>
    <t xml:space="preserve">F:\Données chgh\2020-CHG-CZA-Saccharin-3\plaque 2/@16 Testo + FAD/D4_03.tif </t>
  </si>
  <si>
    <t xml:space="preserve"> 62.9304 </t>
  </si>
  <si>
    <t xml:space="preserve">F:\Données chgh\2020-CHG-CZA-Saccharin-3\plaque 2/@16 Testo + FAD/E4_01.tif </t>
  </si>
  <si>
    <t xml:space="preserve"> 65.5884 </t>
  </si>
  <si>
    <t xml:space="preserve">F:\Données chgh\2020-CHG-CZA-Saccharin-3\plaque 2/@16 Testo + FAD/E4_02.tif </t>
  </si>
  <si>
    <t xml:space="preserve"> 64.596 </t>
  </si>
  <si>
    <t xml:space="preserve">F:\Données chgh\2020-CHG-CZA-Saccharin-3\plaque 2/@16 Testo + FAD/E4_03.tif </t>
  </si>
  <si>
    <t xml:space="preserve"> 65.6419 </t>
  </si>
  <si>
    <t xml:space="preserve">F:\Données chgh\2020-CHG-CZA-Saccharin-3\plaque 2/@16 Testo + FAD/F4_01.tif </t>
  </si>
  <si>
    <t xml:space="preserve"> 64.8929 </t>
  </si>
  <si>
    <t xml:space="preserve">F:\Données chgh\2020-CHG-CZA-Saccharin-3\plaque 2/@16 Testo + FAD/F4_02.tif </t>
  </si>
  <si>
    <t xml:space="preserve">F:\Données chgh\2020-CHG-CZA-Saccharin-3\plaque 2/@16 Testo + FAD/F4_03.tif </t>
  </si>
  <si>
    <t xml:space="preserve">F:\Données chgh\2020-CHG-CZA-Saccharin-3\plaque 2/@16 Testo + FAD/G4_01.tif </t>
  </si>
  <si>
    <t xml:space="preserve"> 67.1013 </t>
  </si>
  <si>
    <t xml:space="preserve">F:\Données chgh\2020-CHG-CZA-Saccharin-3\plaque 2/@16 Testo + FAD/G4_02.tif </t>
  </si>
  <si>
    <t xml:space="preserve"> 67.09 </t>
  </si>
  <si>
    <t xml:space="preserve">F:\Données chgh\2020-CHG-CZA-Saccharin-3\plaque 2/@16 Testo + FAD/G4_03.tif </t>
  </si>
  <si>
    <t xml:space="preserve"> 63.2469 </t>
  </si>
  <si>
    <t xml:space="preserve">F:\Données chgh\2020-CHG-CZA-Saccharin-3\plaque 2/@16 Testo + FAD/H4_01.tif </t>
  </si>
  <si>
    <t xml:space="preserve"> 64.871 </t>
  </si>
  <si>
    <t xml:space="preserve">F:\Données chgh\2020-CHG-CZA-Saccharin-3\plaque 2/@16 Testo + FAD/H4_02.tif </t>
  </si>
  <si>
    <t xml:space="preserve"> 6770.157 </t>
  </si>
  <si>
    <t xml:space="preserve"> 69.9297 </t>
  </si>
  <si>
    <t xml:space="preserve">F:\Données chgh\2020-CHG-CZA-Saccharin-3\plaque 2/@16 Testo + FAD/H4_03.tif </t>
  </si>
  <si>
    <t xml:space="preserve"> 3266.1141 </t>
  </si>
  <si>
    <t xml:space="preserve"> 65.3576 </t>
  </si>
  <si>
    <t xml:space="preserve">F:\Données chgh\2020-CHG-CZA-Saccharin-3\plaque 2/@16 Testo + FAD/ </t>
  </si>
  <si>
    <t xml:space="preserve"> 65.6313 </t>
  </si>
  <si>
    <t xml:space="preserve"> 2.2261 </t>
  </si>
  <si>
    <t xml:space="preserve"> 216871.292 </t>
  </si>
  <si>
    <t xml:space="preserve"> 153152.999 </t>
  </si>
  <si>
    <t xml:space="preserve">F:\Données chgh\2020-CHG-CZA-Saccharin-3\plaque 2/@17 Testo +  Saccharin 0,01/A5_01.tif </t>
  </si>
  <si>
    <t xml:space="preserve"> 63.9843 </t>
  </si>
  <si>
    <t xml:space="preserve">F:\Données chgh\2020-CHG-CZA-Saccharin-3\plaque 2/@17 Testo +  Saccharin 0,01/A5_02.tif </t>
  </si>
  <si>
    <t xml:space="preserve"> 63.7937 </t>
  </si>
  <si>
    <t xml:space="preserve">F:\Données chgh\2020-CHG-CZA-Saccharin-3\plaque 2/@17 Testo +  Saccharin 0,01/A5_03.tif </t>
  </si>
  <si>
    <t xml:space="preserve"> 2552.3276 </t>
  </si>
  <si>
    <t xml:space="preserve"> 64.6864 </t>
  </si>
  <si>
    <t xml:space="preserve">F:\Données chgh\2020-CHG-CZA-Saccharin-3\plaque 2/@17 Testo +  Saccharin 0,01/B5_01.tif </t>
  </si>
  <si>
    <t xml:space="preserve"> 68.8034 </t>
  </si>
  <si>
    <t xml:space="preserve">F:\Données chgh\2020-CHG-CZA-Saccharin-3\plaque 2/@17 Testo +  Saccharin 0,01/B5_02.tif </t>
  </si>
  <si>
    <t xml:space="preserve"> 8587.0682 </t>
  </si>
  <si>
    <t xml:space="preserve"> 68.0252 </t>
  </si>
  <si>
    <t>F:\Données chgh\2020-CHG-CZA-Saccharin-3\plaque 2/@17 Testo +  Saccharin 0,01/B5_03- exclu.tif</t>
  </si>
  <si>
    <t xml:space="preserve">F:\Données chgh\2020-CHG-CZA-Saccharin-3\plaque 2/@17 Testo +  Saccharin 0,01/C5_01.tif </t>
  </si>
  <si>
    <t xml:space="preserve"> 53360.95 </t>
  </si>
  <si>
    <t xml:space="preserve"> 71.6461 </t>
  </si>
  <si>
    <t xml:space="preserve">F:\Données chgh\2020-CHG-CZA-Saccharin-3\plaque 2/@17 Testo +  Saccharin 0,01/C5_02.tif </t>
  </si>
  <si>
    <t xml:space="preserve"> 54637.1138 </t>
  </si>
  <si>
    <t xml:space="preserve"> 73.5764 </t>
  </si>
  <si>
    <t>F:\Données chgh\2020-CHG-CZA-Saccharin-3\plaque 2/@17 Testo +  Saccharin 0,01/C5_03- exclu.tif</t>
  </si>
  <si>
    <t xml:space="preserve">F:\Données chgh\2020-CHG-CZA-Saccharin-3\plaque 2/@17 Testo +  Saccharin 0,01/D5_01.tif </t>
  </si>
  <si>
    <t xml:space="preserve"> 5299.3242 </t>
  </si>
  <si>
    <t xml:space="preserve"> 67.7306 </t>
  </si>
  <si>
    <t xml:space="preserve">F:\Données chgh\2020-CHG-CZA-Saccharin-3\plaque 2/@17 Testo +  Saccharin 0,01/D5_02.tif </t>
  </si>
  <si>
    <t xml:space="preserve"> 3157.9646 </t>
  </si>
  <si>
    <t xml:space="preserve"> 66.4247 </t>
  </si>
  <si>
    <t xml:space="preserve">F:\Données chgh\2020-CHG-CZA-Saccharin-3\plaque 2/@17 Testo +  Saccharin 0,01/D5_03.tif </t>
  </si>
  <si>
    <t xml:space="preserve"> 67.3566 </t>
  </si>
  <si>
    <t xml:space="preserve">F:\Données chgh\2020-CHG-CZA-Saccharin-3\plaque 2/@17 Testo +  Saccharin 0,01/E5_01.tif </t>
  </si>
  <si>
    <t xml:space="preserve">F:\Données chgh\2020-CHG-CZA-Saccharin-3\plaque 2/@17 Testo +  Saccharin 0,01/E5_02.tif </t>
  </si>
  <si>
    <t xml:space="preserve"> 61.7143 </t>
  </si>
  <si>
    <t xml:space="preserve">F:\Données chgh\2020-CHG-CZA-Saccharin-3\plaque 2/@17 Testo +  Saccharin 0,01/E5_03.tif </t>
  </si>
  <si>
    <t xml:space="preserve"> 64.2857 </t>
  </si>
  <si>
    <t xml:space="preserve">F:\Données chgh\2020-CHG-CZA-Saccharin-3\plaque 2/@17 Testo +  Saccharin 0,01/F5_01.tif </t>
  </si>
  <si>
    <t xml:space="preserve"> 40145.0844 </t>
  </si>
  <si>
    <t xml:space="preserve"> 73.1374 </t>
  </si>
  <si>
    <t xml:space="preserve">F:\Données chgh\2020-CHG-CZA-Saccharin-3\plaque 2/@17 Testo +  Saccharin 0,01/F5_02.tif </t>
  </si>
  <si>
    <t xml:space="preserve"> 40383.0133 </t>
  </si>
  <si>
    <t xml:space="preserve"> 76.5078 </t>
  </si>
  <si>
    <t xml:space="preserve">F:\Données chgh\2020-CHG-CZA-Saccharin-3\plaque 2/@17 Testo +  Saccharin 0,01/F5_03.tif </t>
  </si>
  <si>
    <t xml:space="preserve"> 39993.6752 </t>
  </si>
  <si>
    <t xml:space="preserve"> 73.159 </t>
  </si>
  <si>
    <t xml:space="preserve">F:\Données chgh\2020-CHG-CZA-Saccharin-3\plaque 2/@17 Testo +  Saccharin 0,01/G5_01.tif </t>
  </si>
  <si>
    <t xml:space="preserve"> 10079.5309 </t>
  </si>
  <si>
    <t xml:space="preserve"> 64.6931 </t>
  </si>
  <si>
    <t xml:space="preserve">F:\Données chgh\2020-CHG-CZA-Saccharin-3\plaque 2/@17 Testo +  Saccharin 0,01/G5_02.tif </t>
  </si>
  <si>
    <t xml:space="preserve"> 7894.9115 </t>
  </si>
  <si>
    <t xml:space="preserve"> 63.9616 </t>
  </si>
  <si>
    <t xml:space="preserve">F:\Données chgh\2020-CHG-CZA-Saccharin-3\plaque 2/@17 Testo +  Saccharin 0,01/G5_03.tif </t>
  </si>
  <si>
    <t xml:space="preserve"> 7419.0539 </t>
  </si>
  <si>
    <t xml:space="preserve"> 64.0029 </t>
  </si>
  <si>
    <t xml:space="preserve">F:\Données chgh\2020-CHG-CZA-Saccharin-3\plaque 2/@17 Testo +  Saccharin 0,01/H5_01.tif </t>
  </si>
  <si>
    <t xml:space="preserve"> 51370.9997 </t>
  </si>
  <si>
    <t xml:space="preserve"> 75.8657 </t>
  </si>
  <si>
    <t xml:space="preserve">F:\Données chgh\2020-CHG-CZA-Saccharin-3\plaque 2/@17 Testo +  Saccharin 0,01/H5_02.tif </t>
  </si>
  <si>
    <t xml:space="preserve"> 76.4281 </t>
  </si>
  <si>
    <t xml:space="preserve">F:\Données chgh\2020-CHG-CZA-Saccharin-3\plaque 2/@17 Testo +  Saccharin 0,01/H5_03.tif </t>
  </si>
  <si>
    <t xml:space="preserve"> 51457.5193 </t>
  </si>
  <si>
    <t xml:space="preserve"> 77.8214 </t>
  </si>
  <si>
    <t xml:space="preserve">F:\Données chgh\2020-CHG-CZA-Saccharin-3\plaque 2/@17 Testo +  Saccharin 0,01/ </t>
  </si>
  <si>
    <t xml:space="preserve"> 68.1716 </t>
  </si>
  <si>
    <t xml:space="preserve"> 5.212 </t>
  </si>
  <si>
    <t xml:space="preserve"> 1399086.46 </t>
  </si>
  <si>
    <t xml:space="preserve"> 1636309.15 </t>
  </si>
  <si>
    <t xml:space="preserve">F:\Données chgh\2020-CHG-CZA-Saccharin-3\plaque 2/@18  Testo +  Saccharin 0,1/A6_01.tif </t>
  </si>
  <si>
    <t xml:space="preserve"> 41745.6966 </t>
  </si>
  <si>
    <t xml:space="preserve"> 72.9694 </t>
  </si>
  <si>
    <t xml:space="preserve">F:\Données chgh\2020-CHG-CZA-Saccharin-3\plaque 2/@18  Testo +  Saccharin 0,1/A6_02.tif </t>
  </si>
  <si>
    <t xml:space="preserve"> 38155.1341 </t>
  </si>
  <si>
    <t xml:space="preserve"> 72.4433 </t>
  </si>
  <si>
    <t xml:space="preserve">F:\Données chgh\2020-CHG-CZA-Saccharin-3\plaque 2/@18  Testo +  Saccharin 0,1/A6_03.tif </t>
  </si>
  <si>
    <t xml:space="preserve"> 31255.1977 </t>
  </si>
  <si>
    <t xml:space="preserve"> 71.272 </t>
  </si>
  <si>
    <t xml:space="preserve">F:\Données chgh\2020-CHG-CZA-Saccharin-3\plaque 2/@18  Testo +  Saccharin 0,1/B6_01.tif </t>
  </si>
  <si>
    <t xml:space="preserve"> 66.1571 </t>
  </si>
  <si>
    <t xml:space="preserve">F:\Données chgh\2020-CHG-CZA-Saccharin-3\plaque 2/@18  Testo +  Saccharin 0,1/B6_02.tif </t>
  </si>
  <si>
    <t xml:space="preserve"> 65.166 </t>
  </si>
  <si>
    <t>F:\Données chgh\2020-CHG-CZA-Saccharin-3\plaque 2/@18  Testo +  Saccharin 0,1/B6_03- exclu.tif</t>
  </si>
  <si>
    <t>F:\Données chgh\2020-CHG-CZA-Saccharin-3\plaque 2/@18  Testo +  Saccharin 0,1/C6_01- exclu.tif</t>
  </si>
  <si>
    <t xml:space="preserve">F:\Données chgh\2020-CHG-CZA-Saccharin-3\plaque 2/@18  Testo +  Saccharin 0,1/C6_02.tif </t>
  </si>
  <si>
    <t xml:space="preserve"> 63.8067 </t>
  </si>
  <si>
    <t xml:space="preserve">F:\Données chgh\2020-CHG-CZA-Saccharin-3\plaque 2/@18  Testo +  Saccharin 0,1/C6_03.tif </t>
  </si>
  <si>
    <t xml:space="preserve"> 64.96 </t>
  </si>
  <si>
    <t xml:space="preserve">F:\Données chgh\2020-CHG-CZA-Saccharin-3\plaque 2/@18  Testo +  Saccharin 0,1/D6_01.tif </t>
  </si>
  <si>
    <t xml:space="preserve"> 16114.2715 </t>
  </si>
  <si>
    <t xml:space="preserve"> 71.0523 </t>
  </si>
  <si>
    <t xml:space="preserve">F:\Données chgh\2020-CHG-CZA-Saccharin-3\plaque 2/@18  Testo +  Saccharin 0,1/D6_02.tif </t>
  </si>
  <si>
    <t xml:space="preserve"> 13864.7625 </t>
  </si>
  <si>
    <t xml:space="preserve"> 75.8908 </t>
  </si>
  <si>
    <t xml:space="preserve">F:\Données chgh\2020-CHG-CZA-Saccharin-3\plaque 2/@18  Testo +  Saccharin 0,1/D6_03.tif </t>
  </si>
  <si>
    <t xml:space="preserve"> 12372.2997 </t>
  </si>
  <si>
    <t xml:space="preserve"> 73.0612 </t>
  </si>
  <si>
    <t xml:space="preserve">F:\Données chgh\2020-CHG-CZA-Saccharin-3\plaque 2/@18  Testo +  Saccharin 0,1/E6_01.tif </t>
  </si>
  <si>
    <t xml:space="preserve"> 73.4175 </t>
  </si>
  <si>
    <t xml:space="preserve">F:\Données chgh\2020-CHG-CZA-Saccharin-3\plaque 2/@18  Testo +  Saccharin 0,1/E6_02.tif </t>
  </si>
  <si>
    <t xml:space="preserve"> 70.9287 </t>
  </si>
  <si>
    <t xml:space="preserve">F:\Données chgh\2020-CHG-CZA-Saccharin-3\plaque 2/@18  Testo +  Saccharin 0,1/E6_03.tif </t>
  </si>
  <si>
    <t xml:space="preserve"> 30822.5998 </t>
  </si>
  <si>
    <t xml:space="preserve"> 70.4758 </t>
  </si>
  <si>
    <t xml:space="preserve">F:\Données chgh\2020-CHG-CZA-Saccharin-3\plaque 2/@18  Testo +  Saccharin 0,1/F6_01.tif </t>
  </si>
  <si>
    <t xml:space="preserve"> 53469.0995 </t>
  </si>
  <si>
    <t xml:space="preserve"> 78.5615 </t>
  </si>
  <si>
    <t xml:space="preserve">F:\Données chgh\2020-CHG-CZA-Saccharin-3\plaque 2/@18  Testo +  Saccharin 0,1/F6_02.tif </t>
  </si>
  <si>
    <t xml:space="preserve"> 50419.2844 </t>
  </si>
  <si>
    <t xml:space="preserve"> 77.9708 </t>
  </si>
  <si>
    <t xml:space="preserve">F:\Données chgh\2020-CHG-CZA-Saccharin-3\plaque 2/@18  Testo +  Saccharin 0,1/F6_03.tif </t>
  </si>
  <si>
    <t xml:space="preserve"> 55307.6406 </t>
  </si>
  <si>
    <t xml:space="preserve"> 79.7626 </t>
  </si>
  <si>
    <t xml:space="preserve">F:\Données chgh\2020-CHG-CZA-Saccharin-3\plaque 2/@18  Testo +  Saccharin 0,1/G6_01.tif </t>
  </si>
  <si>
    <t xml:space="preserve"> 4758.5768 </t>
  </si>
  <si>
    <t xml:space="preserve"> 64.3818 </t>
  </si>
  <si>
    <t xml:space="preserve">F:\Données chgh\2020-CHG-CZA-Saccharin-3\plaque 2/@18  Testo +  Saccharin 0,1/G6_02.tif </t>
  </si>
  <si>
    <t xml:space="preserve"> 64.3481 </t>
  </si>
  <si>
    <t xml:space="preserve">F:\Données chgh\2020-CHG-CZA-Saccharin-3\plaque 2/@18  Testo +  Saccharin 0,1/G6_03.tif </t>
  </si>
  <si>
    <t xml:space="preserve">F:\Données chgh\2020-CHG-CZA-Saccharin-3\plaque 2/@18  Testo +  Saccharin 0,1/H6_01.tif </t>
  </si>
  <si>
    <t xml:space="preserve"> 23987.5531 </t>
  </si>
  <si>
    <t xml:space="preserve"> 69.037 </t>
  </si>
  <si>
    <t xml:space="preserve">F:\Données chgh\2020-CHG-CZA-Saccharin-3\plaque 2/@18  Testo +  Saccharin 0,1/H6_02.tif </t>
  </si>
  <si>
    <t xml:space="preserve"> 28053.9733 </t>
  </si>
  <si>
    <t xml:space="preserve"> 71.9761 </t>
  </si>
  <si>
    <t xml:space="preserve">F:\Données chgh\2020-CHG-CZA-Saccharin-3\plaque 2/@18  Testo +  Saccharin 0,1/H6_03.tif </t>
  </si>
  <si>
    <t xml:space="preserve"> 23338.6563 </t>
  </si>
  <si>
    <t xml:space="preserve"> 76.1186 </t>
  </si>
  <si>
    <t xml:space="preserve">F:\Données chgh\2020-CHG-CZA-Saccharin-3\plaque 2/@18  Testo +  Saccharin 0,1/ </t>
  </si>
  <si>
    <t xml:space="preserve"> 70.2135 </t>
  </si>
  <si>
    <t xml:space="preserve"> 5.2346 </t>
  </si>
  <si>
    <t xml:space="preserve"> 1592157.71 </t>
  </si>
  <si>
    <t xml:space="preserve"> 1394450.69 </t>
  </si>
  <si>
    <t xml:space="preserve">F:\Données chgh\2020-CHG-CZA-Saccharin-3\plaque 2/@19 Testo +  Saccharin 1/A7_01.tif </t>
  </si>
  <si>
    <t xml:space="preserve"> 62.8947 </t>
  </si>
  <si>
    <t xml:space="preserve">F:\Données chgh\2020-CHG-CZA-Saccharin-3\plaque 2/@19 Testo +  Saccharin 1/A7_02.tif </t>
  </si>
  <si>
    <t xml:space="preserve"> 6207.7798 </t>
  </si>
  <si>
    <t xml:space="preserve"> 68.453 </t>
  </si>
  <si>
    <t>F:\Données chgh\2020-CHG-CZA-Saccharin-3\plaque 2/@19 Testo +  Saccharin 1/A7_03- exclu.tif</t>
  </si>
  <si>
    <t xml:space="preserve">F:\Données chgh\2020-CHG-CZA-Saccharin-3\plaque 2/@19 Testo +  Saccharin 1/B7_01.tif </t>
  </si>
  <si>
    <t xml:space="preserve"> 25609.7952 </t>
  </si>
  <si>
    <t xml:space="preserve"> 68.9983 </t>
  </si>
  <si>
    <t xml:space="preserve">F:\Données chgh\2020-CHG-CZA-Saccharin-3\plaque 2/@19 Testo +  Saccharin 1/B7_02.tif </t>
  </si>
  <si>
    <t xml:space="preserve"> 21067.5174 </t>
  </si>
  <si>
    <t xml:space="preserve"> 67.1099 </t>
  </si>
  <si>
    <t xml:space="preserve">F:\Données chgh\2020-CHG-CZA-Saccharin-3\plaque 2/@19 Testo +  Saccharin 1/B7_03.tif </t>
  </si>
  <si>
    <t xml:space="preserve"> 19726.4639 </t>
  </si>
  <si>
    <t xml:space="preserve"> 68.3487 </t>
  </si>
  <si>
    <t>F:\Données chgh\2020-CHG-CZA-Saccharin-3\plaque 2/@19 Testo +  Saccharin 1/C7_01- exclu.tif</t>
  </si>
  <si>
    <t>F:\Données chgh\2020-CHG-CZA-Saccharin-3\plaque 2/@19 Testo +  Saccharin 1/C7_02- exclu.tif</t>
  </si>
  <si>
    <t>F:\Données chgh\2020-CHG-CZA-Saccharin-3\plaque 2/@19 Testo +  Saccharin 1/C7_03- exclu.tif</t>
  </si>
  <si>
    <t xml:space="preserve">F:\Données chgh\2020-CHG-CZA-Saccharin-3\plaque 2/@19 Testo +  Saccharin 1/D7_01.tif </t>
  </si>
  <si>
    <t xml:space="preserve"> 31082.1586 </t>
  </si>
  <si>
    <t xml:space="preserve"> 70.2018 </t>
  </si>
  <si>
    <t xml:space="preserve">F:\Données chgh\2020-CHG-CZA-Saccharin-3\plaque 2/@19 Testo +  Saccharin 1/D7_02.tif </t>
  </si>
  <si>
    <t xml:space="preserve"> 67.2845 </t>
  </si>
  <si>
    <t xml:space="preserve">F:\Données chgh\2020-CHG-CZA-Saccharin-3\plaque 2/@19 Testo +  Saccharin 1/D7_03.tif </t>
  </si>
  <si>
    <t xml:space="preserve"> 29048.9485 </t>
  </si>
  <si>
    <t xml:space="preserve"> 68.2293 </t>
  </si>
  <si>
    <t xml:space="preserve">F:\Données chgh\2020-CHG-CZA-Saccharin-3\plaque 2/@19 Testo +  Saccharin 1/E7_01.tif </t>
  </si>
  <si>
    <t xml:space="preserve"> 69.4054 </t>
  </si>
  <si>
    <t xml:space="preserve">F:\Données chgh\2020-CHG-CZA-Saccharin-3\plaque 2/@19 Testo +  Saccharin 1/E7_02.tif </t>
  </si>
  <si>
    <t xml:space="preserve"> 36338.223 </t>
  </si>
  <si>
    <t xml:space="preserve"> 70.7077 </t>
  </si>
  <si>
    <t xml:space="preserve">F:\Données chgh\2020-CHG-CZA-Saccharin-3\plaque 2/@19 Testo +  Saccharin 1/E7_03.tif </t>
  </si>
  <si>
    <t xml:space="preserve"> 70.8955 </t>
  </si>
  <si>
    <t xml:space="preserve">F:\Données chgh\2020-CHG-CZA-Saccharin-3\plaque 2/@19 Testo +  Saccharin 1/F7_01.tif </t>
  </si>
  <si>
    <t xml:space="preserve"> 73.4849 </t>
  </si>
  <si>
    <t xml:space="preserve">F:\Données chgh\2020-CHG-CZA-Saccharin-3\plaque 2/@19 Testo +  Saccharin 1/F7_02.tif </t>
  </si>
  <si>
    <t xml:space="preserve"> 35126.9489 </t>
  </si>
  <si>
    <t xml:space="preserve"> 72.8602 </t>
  </si>
  <si>
    <t xml:space="preserve">F:\Données chgh\2020-CHG-CZA-Saccharin-3\plaque 2/@19 Testo +  Saccharin 1/F7_03.tif </t>
  </si>
  <si>
    <t xml:space="preserve"> 72.7912 </t>
  </si>
  <si>
    <t xml:space="preserve">F:\Données chgh\2020-CHG-CZA-Saccharin-3\plaque 2/@19 Testo +  Saccharin 1/G7_01.tif </t>
  </si>
  <si>
    <t xml:space="preserve"> 64.4756 </t>
  </si>
  <si>
    <t xml:space="preserve">F:\Données chgh\2020-CHG-CZA-Saccharin-3\plaque 2/@19 Testo +  Saccharin 1/G7_02.tif </t>
  </si>
  <si>
    <t xml:space="preserve"> 6164.52 </t>
  </si>
  <si>
    <t xml:space="preserve"> 64.4316 </t>
  </si>
  <si>
    <t xml:space="preserve">F:\Données chgh\2020-CHG-CZA-Saccharin-3\plaque 2/@19 Testo +  Saccharin 1/G7_03.tif </t>
  </si>
  <si>
    <t xml:space="preserve"> 9430.6341 </t>
  </si>
  <si>
    <t xml:space="preserve"> 64.5917 </t>
  </si>
  <si>
    <t xml:space="preserve">F:\Données chgh\2020-CHG-CZA-Saccharin-3\plaque 2/@19 Testo +  Saccharin 1/H7_01.tif </t>
  </si>
  <si>
    <t xml:space="preserve"> 22322.0513 </t>
  </si>
  <si>
    <t xml:space="preserve"> 69.2674 </t>
  </si>
  <si>
    <t xml:space="preserve">F:\Données chgh\2020-CHG-CZA-Saccharin-3\plaque 2/@19 Testo +  Saccharin 1/H7_02.tif </t>
  </si>
  <si>
    <t xml:space="preserve"> 21673.1544 </t>
  </si>
  <si>
    <t xml:space="preserve"> 68.2615 </t>
  </si>
  <si>
    <t xml:space="preserve">F:\Données chgh\2020-CHG-CZA-Saccharin-3\plaque 2/@19 Testo +  Saccharin 1/H7_03.tif </t>
  </si>
  <si>
    <t xml:space="preserve"> 18428.6702 </t>
  </si>
  <si>
    <t xml:space="preserve"> 69.4378 </t>
  </si>
  <si>
    <t xml:space="preserve">F:\Données chgh\2020-CHG-CZA-Saccharin-3\plaque 2/@19 Testo +  Saccharin 1/ </t>
  </si>
  <si>
    <t xml:space="preserve"> 67.9484 </t>
  </si>
  <si>
    <t xml:space="preserve"> 3.0497 </t>
  </si>
  <si>
    <t xml:space="preserve"> 1382382.83 </t>
  </si>
  <si>
    <t xml:space="preserve"> 1032616.76 </t>
  </si>
  <si>
    <t xml:space="preserve">F:\Données chgh\2020-CHG-CZA-Saccharin-3\plaque 2/@20 Testo +  Saccharin 10/A8_01.tif </t>
  </si>
  <si>
    <t xml:space="preserve"> 45184.8499 </t>
  </si>
  <si>
    <t xml:space="preserve"> 71.6362 </t>
  </si>
  <si>
    <t xml:space="preserve">F:\Données chgh\2020-CHG-CZA-Saccharin-3\plaque 2/@20 Testo +  Saccharin 10/A8_02.tif </t>
  </si>
  <si>
    <t xml:space="preserve"> 45747.2271 </t>
  </si>
  <si>
    <t xml:space="preserve"> 73.1797 </t>
  </si>
  <si>
    <t xml:space="preserve">F:\Données chgh\2020-CHG-CZA-Saccharin-3\plaque 2/@20 Testo +  Saccharin 10/A8_03.tif </t>
  </si>
  <si>
    <t xml:space="preserve"> 37700.9063 </t>
  </si>
  <si>
    <t xml:space="preserve"> 71.673 </t>
  </si>
  <si>
    <t xml:space="preserve">F:\Données chgh\2020-CHG-CZA-Saccharin-3\plaque 2/@20 Testo +  Saccharin 10/B8_01.tif </t>
  </si>
  <si>
    <t xml:space="preserve"> 19618.3144 </t>
  </si>
  <si>
    <t xml:space="preserve"> 67.8633 </t>
  </si>
  <si>
    <t xml:space="preserve">F:\Données chgh\2020-CHG-CZA-Saccharin-3\plaque 2/@20 Testo +  Saccharin 10/B8_02.tif </t>
  </si>
  <si>
    <t xml:space="preserve"> 70.3984 </t>
  </si>
  <si>
    <t xml:space="preserve">F:\Données chgh\2020-CHG-CZA-Saccharin-3\plaque 2/@20 Testo +  Saccharin 10/B8_03.tif </t>
  </si>
  <si>
    <t xml:space="preserve"> 16373.8302 </t>
  </si>
  <si>
    <t xml:space="preserve"> 68.4518 </t>
  </si>
  <si>
    <t xml:space="preserve">F:\Données chgh\2020-CHG-CZA-Saccharin-3\plaque 2/@20 Testo +  Saccharin 10/C8_01.tif </t>
  </si>
  <si>
    <t xml:space="preserve"> 23079.0976 </t>
  </si>
  <si>
    <t xml:space="preserve"> 67.761 </t>
  </si>
  <si>
    <t xml:space="preserve">F:\Données chgh\2020-CHG-CZA-Saccharin-3\plaque 2/@20 Testo +  Saccharin 10/C8_02.tif </t>
  </si>
  <si>
    <t xml:space="preserve"> 69.1204 </t>
  </si>
  <si>
    <t xml:space="preserve">F:\Données chgh\2020-CHG-CZA-Saccharin-3\plaque 2/@20 Testo +  Saccharin 10/C8_03.tif </t>
  </si>
  <si>
    <t xml:space="preserve"> 27707.895 </t>
  </si>
  <si>
    <t xml:space="preserve"> 70.5121 </t>
  </si>
  <si>
    <t xml:space="preserve">F:\Données chgh\2020-CHG-CZA-Saccharin-3\plaque 2/@20 Testo +  Saccharin 10/D8_01.tif </t>
  </si>
  <si>
    <t xml:space="preserve"> 80.0506 </t>
  </si>
  <si>
    <t xml:space="preserve">F:\Données chgh\2020-CHG-CZA-Saccharin-3\plaque 2/@20 Testo +  Saccharin 10/D8_02.tif </t>
  </si>
  <si>
    <t xml:space="preserve"> 64002.8582 </t>
  </si>
  <si>
    <t xml:space="preserve"> 78.9655 </t>
  </si>
  <si>
    <t xml:space="preserve">F:\Données chgh\2020-CHG-CZA-Saccharin-3\plaque 2/@20 Testo +  Saccharin 10/D8_03.tif </t>
  </si>
  <si>
    <t xml:space="preserve"> 60109.4772 </t>
  </si>
  <si>
    <t xml:space="preserve"> 79.5149 </t>
  </si>
  <si>
    <t xml:space="preserve">F:\Données chgh\2020-CHG-CZA-Saccharin-3\plaque 2/@20 Testo +  Saccharin 10/E8_01.tif </t>
  </si>
  <si>
    <t xml:space="preserve"> 64.253 </t>
  </si>
  <si>
    <t xml:space="preserve">F:\Données chgh\2020-CHG-CZA-Saccharin-3\plaque 2/@20 Testo +  Saccharin 10/E8_02.tif </t>
  </si>
  <si>
    <t xml:space="preserve">F:\Données chgh\2020-CHG-CZA-Saccharin-3\plaque 2/@20 Testo +  Saccharin 10/E8_03.tif </t>
  </si>
  <si>
    <t xml:space="preserve"> 64.3077 </t>
  </si>
  <si>
    <t xml:space="preserve">F:\Données chgh\2020-CHG-CZA-Saccharin-3\plaque 2/@20 Testo +  Saccharin 10/F8_01.tif </t>
  </si>
  <si>
    <t xml:space="preserve"> 73.393 </t>
  </si>
  <si>
    <t xml:space="preserve">F:\Données chgh\2020-CHG-CZA-Saccharin-3\plaque 2/@20 Testo +  Saccharin 10/F8_02.tif </t>
  </si>
  <si>
    <t xml:space="preserve"> 37917.2053 </t>
  </si>
  <si>
    <t xml:space="preserve"> 73.3708 </t>
  </si>
  <si>
    <t xml:space="preserve">F:\Données chgh\2020-CHG-CZA-Saccharin-3\plaque 2/@20 Testo +  Saccharin 10/F8_03.tif </t>
  </si>
  <si>
    <t xml:space="preserve"> 44406.1737 </t>
  </si>
  <si>
    <t xml:space="preserve"> 74.7803 </t>
  </si>
  <si>
    <t xml:space="preserve">F:\Données chgh\2020-CHG-CZA-Saccharin-3\plaque 2/@20 Testo +  Saccharin 10/G8_01.tif </t>
  </si>
  <si>
    <t xml:space="preserve"> 33374.9274 </t>
  </si>
  <si>
    <t xml:space="preserve"> 71.5826 </t>
  </si>
  <si>
    <t xml:space="preserve">F:\Données chgh\2020-CHG-CZA-Saccharin-3\plaque 2/@20 Testo +  Saccharin 10/G8_02.tif </t>
  </si>
  <si>
    <t xml:space="preserve"> 36705.9312 </t>
  </si>
  <si>
    <t xml:space="preserve"> 72.0801 </t>
  </si>
  <si>
    <t xml:space="preserve">F:\Données chgh\2020-CHG-CZA-Saccharin-3\plaque 2/@20 Testo +  Saccharin 10/G8_03.tif </t>
  </si>
  <si>
    <t xml:space="preserve"> 73.3592 </t>
  </si>
  <si>
    <t xml:space="preserve">F:\Données chgh\2020-CHG-CZA-Saccharin-3\plaque 2/@20 Testo +  Saccharin 10/H8_01.tif </t>
  </si>
  <si>
    <t xml:space="preserve"> 16655.0189 </t>
  </si>
  <si>
    <t xml:space="preserve"> 69.2221 </t>
  </si>
  <si>
    <t xml:space="preserve">F:\Données chgh\2020-CHG-CZA-Saccharin-3\plaque 2/@20 Testo +  Saccharin 10/H8_02.tif </t>
  </si>
  <si>
    <t xml:space="preserve"> 18623.3393 </t>
  </si>
  <si>
    <t xml:space="preserve"> 69.7352 </t>
  </si>
  <si>
    <t xml:space="preserve">F:\Données chgh\2020-CHG-CZA-Saccharin-3\plaque 2/@20 Testo +  Saccharin 10/H8_03.tif </t>
  </si>
  <si>
    <t xml:space="preserve"> 14686.6985 </t>
  </si>
  <si>
    <t xml:space="preserve"> 68.5479 </t>
  </si>
  <si>
    <t xml:space="preserve">F:\Données chgh\2020-CHG-CZA-Saccharin-3\plaque 2/@20 Testo +  Saccharin 10/ </t>
  </si>
  <si>
    <t xml:space="preserve"> 71.1523 </t>
  </si>
  <si>
    <t xml:space="preserve"> 4.3646 </t>
  </si>
  <si>
    <t xml:space="preserve"> 2293721.42 </t>
  </si>
  <si>
    <t xml:space="preserve"> 1469573.76 </t>
  </si>
  <si>
    <t xml:space="preserve">F:\Données chgh\2020-CHG-CZA-Saccharin-3\plaque 2/@21 Testo +   Saccharin 100/A9_01.tif </t>
  </si>
  <si>
    <t xml:space="preserve"> 63.1327 </t>
  </si>
  <si>
    <t xml:space="preserve">F:\Données chgh\2020-CHG-CZA-Saccharin-3\plaque 2/@21 Testo +   Saccharin 100/A9_02.tif </t>
  </si>
  <si>
    <t xml:space="preserve"> 64.3306 </t>
  </si>
  <si>
    <t xml:space="preserve">F:\Données chgh\2020-CHG-CZA-Saccharin-3\plaque 2/@21 Testo +   Saccharin 100/A9_03.tif </t>
  </si>
  <si>
    <t xml:space="preserve"> 63.2391 </t>
  </si>
  <si>
    <t xml:space="preserve">F:\Données chgh\2020-CHG-CZA-Saccharin-3\plaque 2/@21 Testo +   Saccharin 100/B9_01.tif </t>
  </si>
  <si>
    <t xml:space="preserve"> 18904.5279 </t>
  </si>
  <si>
    <t xml:space="preserve"> 68.2494 </t>
  </si>
  <si>
    <t xml:space="preserve">F:\Données chgh\2020-CHG-CZA-Saccharin-3\plaque 2/@21 Testo +   Saccharin 100/B9_02.tif </t>
  </si>
  <si>
    <t xml:space="preserve"> 69.2807 </t>
  </si>
  <si>
    <t xml:space="preserve">F:\Données chgh\2020-CHG-CZA-Saccharin-3\plaque 2/@21 Testo +   Saccharin 100/B9_03.tif </t>
  </si>
  <si>
    <t xml:space="preserve"> 23252.1367 </t>
  </si>
  <si>
    <t xml:space="preserve"> 69.32 </t>
  </si>
  <si>
    <t xml:space="preserve">F:\Données chgh\2020-CHG-CZA-Saccharin-3\plaque 2/@21 Testo +   Saccharin 100/C9_01.tif </t>
  </si>
  <si>
    <t xml:space="preserve"> 24312.0016 </t>
  </si>
  <si>
    <t xml:space="preserve"> 68.0116 </t>
  </si>
  <si>
    <t xml:space="preserve">F:\Données chgh\2020-CHG-CZA-Saccharin-3\plaque 2/@21 Testo +   Saccharin 100/C9_02.tif </t>
  </si>
  <si>
    <t xml:space="preserve"> 24009.183 </t>
  </si>
  <si>
    <t xml:space="preserve"> 67.9766 </t>
  </si>
  <si>
    <t xml:space="preserve">F:\Données chgh\2020-CHG-CZA-Saccharin-3\plaque 2/@21 Testo +   Saccharin 100/C9_03.tif </t>
  </si>
  <si>
    <t xml:space="preserve"> 24787.8592 </t>
  </si>
  <si>
    <t xml:space="preserve"> 68.7408 </t>
  </si>
  <si>
    <t xml:space="preserve">F:\Données chgh\2020-CHG-CZA-Saccharin-3\plaque 2/@21 Testo +   Saccharin 100/D9_01.tif </t>
  </si>
  <si>
    <t xml:space="preserve"> 70.9568 </t>
  </si>
  <si>
    <t xml:space="preserve">F:\Données chgh\2020-CHG-CZA-Saccharin-3\plaque 2/@21 Testo +   Saccharin 100/D9_02.tif </t>
  </si>
  <si>
    <t xml:space="preserve"> 76.8092 </t>
  </si>
  <si>
    <t xml:space="preserve">F:\Données chgh\2020-CHG-CZA-Saccharin-3\plaque 2/@21 Testo +   Saccharin 100/D9_03.tif </t>
  </si>
  <si>
    <t xml:space="preserve"> 38890.5505 </t>
  </si>
  <si>
    <t xml:space="preserve"> 72.7019 </t>
  </si>
  <si>
    <t xml:space="preserve">F:\Données chgh\2020-CHG-CZA-Saccharin-3\plaque 2/@21 Testo +   Saccharin 100/E9_01.tif </t>
  </si>
  <si>
    <t xml:space="preserve"> 67.793 </t>
  </si>
  <si>
    <t xml:space="preserve">F:\Données chgh\2020-CHG-CZA-Saccharin-3\plaque 2/@21 Testo +   Saccharin 100/E9_02.tif </t>
  </si>
  <si>
    <t xml:space="preserve"> 67.7494 </t>
  </si>
  <si>
    <t>F:\Données chgh\2020-CHG-CZA-Saccharin-3\plaque 2/@21 Testo +   Saccharin 100/E9_03- exclu.tif</t>
  </si>
  <si>
    <t xml:space="preserve">F:\Données chgh\2020-CHG-CZA-Saccharin-3\plaque 2/@21 Testo +   Saccharin 100/F9_01.tif </t>
  </si>
  <si>
    <t xml:space="preserve"> 39907.1556 </t>
  </si>
  <si>
    <t xml:space="preserve"> 72.9702 </t>
  </si>
  <si>
    <t xml:space="preserve">F:\Données chgh\2020-CHG-CZA-Saccharin-3\plaque 2/@21 Testo +   Saccharin 100/F9_02.tif </t>
  </si>
  <si>
    <t xml:space="preserve"> 42308.0739 </t>
  </si>
  <si>
    <t xml:space="preserve"> 74.4433 </t>
  </si>
  <si>
    <t xml:space="preserve">F:\Données chgh\2020-CHG-CZA-Saccharin-3\plaque 2/@21 Testo +   Saccharin 100/F9_03.tif </t>
  </si>
  <si>
    <t xml:space="preserve"> 72.497 </t>
  </si>
  <si>
    <t xml:space="preserve">F:\Données chgh\2020-CHG-CZA-Saccharin-3\plaque 2/@21 Testo +   Saccharin 100/G9_01.tif </t>
  </si>
  <si>
    <t xml:space="preserve"> 64.4 </t>
  </si>
  <si>
    <t xml:space="preserve">F:\Données chgh\2020-CHG-CZA-Saccharin-3\plaque 2/@21 Testo +   Saccharin 100/G9_02.tif </t>
  </si>
  <si>
    <t xml:space="preserve"> 64.2222 </t>
  </si>
  <si>
    <t xml:space="preserve">F:\Données chgh\2020-CHG-CZA-Saccharin-3\plaque 2/@21 Testo +   Saccharin 100/G9_03.tif </t>
  </si>
  <si>
    <t xml:space="preserve">F:\Données chgh\2020-CHG-CZA-Saccharin-3\plaque 2/@21 Testo +   Saccharin 100/H9_01.tif </t>
  </si>
  <si>
    <t xml:space="preserve"> 43757.2768 </t>
  </si>
  <si>
    <t xml:space="preserve"> 75.61 </t>
  </si>
  <si>
    <t xml:space="preserve">F:\Données chgh\2020-CHG-CZA-Saccharin-3\plaque 2/@21 Testo +   Saccharin 100/H9_02.tif </t>
  </si>
  <si>
    <t xml:space="preserve"> 38393.063 </t>
  </si>
  <si>
    <t xml:space="preserve"> 73.8327 </t>
  </si>
  <si>
    <t xml:space="preserve">F:\Données chgh\2020-CHG-CZA-Saccharin-3\plaque 2/@21 Testo +   Saccharin 100/H9_03.tif </t>
  </si>
  <si>
    <t xml:space="preserve"> 75.0079 </t>
  </si>
  <si>
    <t xml:space="preserve">F:\Données chgh\2020-CHG-CZA-Saccharin-3\plaque 2/@21 Testo +   Saccharin 100/ </t>
  </si>
  <si>
    <t xml:space="preserve"> 69.0847 </t>
  </si>
  <si>
    <t xml:space="preserve"> 4.3837 </t>
  </si>
  <si>
    <t xml:space="preserve"> 1613007.92 </t>
  </si>
  <si>
    <t xml:space="preserve"> 1199794.24 </t>
  </si>
  <si>
    <t>09 Saccharin 0,1</t>
  </si>
  <si>
    <t>11 Saccharin 10</t>
  </si>
  <si>
    <t>NS</t>
  </si>
  <si>
    <t xml:space="preserve">D:\images\2021-CHG-CBA-Saccharin 1\plaque 1/@01 TS/A1_01.tif </t>
  </si>
  <si>
    <t xml:space="preserve"> 1022.4265 </t>
  </si>
  <si>
    <t xml:space="preserve"> 63.0638 </t>
  </si>
  <si>
    <t xml:space="preserve">D:\images\2021-CHG-CBA-Saccharin 1\plaque 1/@01 TS/A1_02.tif </t>
  </si>
  <si>
    <t xml:space="preserve"> 2066.6067 </t>
  </si>
  <si>
    <t xml:space="preserve"> 64.1263 </t>
  </si>
  <si>
    <t xml:space="preserve">D:\images\2021-CHG-CBA-Saccharin 1\plaque 1/@01 TS/A1_03.tif </t>
  </si>
  <si>
    <t xml:space="preserve"> 1653.2854 </t>
  </si>
  <si>
    <t xml:space="preserve">D:\images\2021-CHG-CBA-Saccharin 1\plaque 1/@01 TS/B1_01.tif </t>
  </si>
  <si>
    <t xml:space="preserve"> 195.7838 </t>
  </si>
  <si>
    <t xml:space="preserve">D:\images\2021-CHG-CBA-Saccharin 1\plaque 1/@01 TS/B1_02.tif </t>
  </si>
  <si>
    <t xml:space="preserve"> 435.0751 </t>
  </si>
  <si>
    <t xml:space="preserve"> 64.05 </t>
  </si>
  <si>
    <t xml:space="preserve">D:\images\2021-CHG-CBA-Saccharin 1\plaque 1/@01 TS/B1_03.tif </t>
  </si>
  <si>
    <t xml:space="preserve"> 587.3514 </t>
  </si>
  <si>
    <t xml:space="preserve"> 63.7407 </t>
  </si>
  <si>
    <t xml:space="preserve">D:\images\2021-CHG-CBA-Saccharin 1\plaque 1/@01 TS/C1_01.tif </t>
  </si>
  <si>
    <t xml:space="preserve"> 478.5826 </t>
  </si>
  <si>
    <t xml:space="preserve"> 63.2727 </t>
  </si>
  <si>
    <t xml:space="preserve">D:\images\2021-CHG-CBA-Saccharin 1\plaque 1/@01 TS/C1_02.tif </t>
  </si>
  <si>
    <t xml:space="preserve"> 1348.7328 </t>
  </si>
  <si>
    <t xml:space="preserve"> 63.8065 </t>
  </si>
  <si>
    <t xml:space="preserve">D:\images\2021-CHG-CBA-Saccharin 1\plaque 1/@01 TS/C1_03.tif </t>
  </si>
  <si>
    <t xml:space="preserve"> 1718.5466 </t>
  </si>
  <si>
    <t xml:space="preserve"> 64.0633 </t>
  </si>
  <si>
    <t xml:space="preserve">D:\images\2021-CHG-CBA-Saccharin 1\plaque 1/@01 TS/D1_01.tif </t>
  </si>
  <si>
    <t xml:space="preserve"> 2175.3755 </t>
  </si>
  <si>
    <t xml:space="preserve"> 65.23 </t>
  </si>
  <si>
    <t xml:space="preserve">D:\images\2021-CHG-CBA-Saccharin 1\plaque 1/@01 TS/D1_02.tif </t>
  </si>
  <si>
    <t xml:space="preserve"> 1196.4565 </t>
  </si>
  <si>
    <t xml:space="preserve"> 62.5273 </t>
  </si>
  <si>
    <t xml:space="preserve">D:\images\2021-CHG-CBA-Saccharin 1\plaque 1/@01 TS/D1_03.tif </t>
  </si>
  <si>
    <t xml:space="preserve"> 4285.4897 </t>
  </si>
  <si>
    <t xml:space="preserve"> 67.8528 </t>
  </si>
  <si>
    <t xml:space="preserve">D:\images\2021-CHG-CBA-Saccharin 1\plaque 1/@01 TS/E1_01.tif </t>
  </si>
  <si>
    <t xml:space="preserve"> 5699.4838 </t>
  </si>
  <si>
    <t xml:space="preserve"> 68.1183 </t>
  </si>
  <si>
    <t xml:space="preserve">D:\images\2021-CHG-CBA-Saccharin 1\plaque 1/@01 TS/E1_02.tif </t>
  </si>
  <si>
    <t xml:space="preserve"> 4938.1024 </t>
  </si>
  <si>
    <t xml:space="preserve"> 70.7181 </t>
  </si>
  <si>
    <t xml:space="preserve">D:\images\2021-CHG-CBA-Saccharin 1\plaque 1/@01 TS/E1_03.tif </t>
  </si>
  <si>
    <t xml:space="preserve"> 5264.4087 </t>
  </si>
  <si>
    <t xml:space="preserve"> 70.1116 </t>
  </si>
  <si>
    <t xml:space="preserve">D:\images\2021-CHG-CBA-Saccharin 1\plaque 1/@01 TS/F1_01.tif </t>
  </si>
  <si>
    <t xml:space="preserve">D:\images\2021-CHG-CBA-Saccharin 1\plaque 1/@01 TS/F1_02.tif </t>
  </si>
  <si>
    <t xml:space="preserve"> 456.8289 </t>
  </si>
  <si>
    <t xml:space="preserve">D:\images\2021-CHG-CBA-Saccharin 1\plaque 1/@01 TS/F1_03.tif </t>
  </si>
  <si>
    <t xml:space="preserve"> 217.5376 </t>
  </si>
  <si>
    <t xml:space="preserve">D:\images\2021-CHG-CBA-Saccharin 1\plaque 1/@01 TS/G1_01.tif </t>
  </si>
  <si>
    <t xml:space="preserve"> 1326.9791 </t>
  </si>
  <si>
    <t xml:space="preserve"> 65.4754 </t>
  </si>
  <si>
    <t xml:space="preserve">D:\images\2021-CHG-CBA-Saccharin 1\plaque 1/@01 TS/G1_02.tif </t>
  </si>
  <si>
    <t xml:space="preserve"> 6047.5439 </t>
  </si>
  <si>
    <t xml:space="preserve"> 72.018 </t>
  </si>
  <si>
    <t xml:space="preserve">D:\images\2021-CHG-CBA-Saccharin 1\plaque 1/@01 TS/G1_03.tif </t>
  </si>
  <si>
    <t xml:space="preserve"> 5764.7451 </t>
  </si>
  <si>
    <t xml:space="preserve"> 75.0075 </t>
  </si>
  <si>
    <t xml:space="preserve">D:\images\2021-CHG-CBA-Saccharin 1\plaque 1/@01 TS/H1_01.tif </t>
  </si>
  <si>
    <t xml:space="preserve"> 1131.1953 </t>
  </si>
  <si>
    <t xml:space="preserve"> 64.4038 </t>
  </si>
  <si>
    <t xml:space="preserve">D:\images\2021-CHG-CBA-Saccharin 1\plaque 1/@01 TS/H1_02.tif </t>
  </si>
  <si>
    <t xml:space="preserve"> 1305.2253 </t>
  </si>
  <si>
    <t xml:space="preserve"> 66.4667 </t>
  </si>
  <si>
    <t xml:space="preserve">D:\images\2021-CHG-CBA-Saccharin 1\plaque 1/@01 TS/H1_03.tif </t>
  </si>
  <si>
    <t xml:space="preserve"> 870.1502 </t>
  </si>
  <si>
    <t xml:space="preserve"> 62.45 </t>
  </si>
  <si>
    <t xml:space="preserve">D:\images\2021-CHG-CBA-Saccharin 1\plaque 1/@01 TS/ </t>
  </si>
  <si>
    <t xml:space="preserve"> 3.3328 </t>
  </si>
  <si>
    <t xml:space="preserve"> 144559.083 </t>
  </si>
  <si>
    <t xml:space="preserve"> 143808.758 </t>
  </si>
  <si>
    <t xml:space="preserve">D:\images\2021-CHG-CBA-Saccharin 1\plaque 1/@02 EE2 34/A2_01.tif </t>
  </si>
  <si>
    <t xml:space="preserve"> 6656.649 </t>
  </si>
  <si>
    <t xml:space="preserve"> 67.7745 </t>
  </si>
  <si>
    <t>D:\images\2021-CHG-CBA-Saccharin 1\plaque 1/@02 EE2 34/A2_02- exclu.tif</t>
  </si>
  <si>
    <t xml:space="preserve">D:\images\2021-CHG-CBA-Saccharin 1\plaque 1/@02 EE2 34/A2_03.tif </t>
  </si>
  <si>
    <t xml:space="preserve"> 500.3364 </t>
  </si>
  <si>
    <t xml:space="preserve"> 65.3478 </t>
  </si>
  <si>
    <t xml:space="preserve">D:\images\2021-CHG-CBA-Saccharin 1\plaque 1/@02 EE2 34/B2_01.tif </t>
  </si>
  <si>
    <t xml:space="preserve"> 4437.766 </t>
  </si>
  <si>
    <t xml:space="preserve"> 69.5098 </t>
  </si>
  <si>
    <t xml:space="preserve">D:\images\2021-CHG-CBA-Saccharin 1\plaque 1/@02 EE2 34/B2_02.tif </t>
  </si>
  <si>
    <t xml:space="preserve"> 6547.8803 </t>
  </si>
  <si>
    <t xml:space="preserve"> 69.505 </t>
  </si>
  <si>
    <t xml:space="preserve">D:\images\2021-CHG-CBA-Saccharin 1\plaque 1/@02 EE2 34/B2_03.tif </t>
  </si>
  <si>
    <t xml:space="preserve"> 1261.7178 </t>
  </si>
  <si>
    <t xml:space="preserve"> 65.3103 </t>
  </si>
  <si>
    <t xml:space="preserve">D:\images\2021-CHG-CBA-Saccharin 1\plaque 1/@02 EE2 34/C2_01.tif </t>
  </si>
  <si>
    <t xml:space="preserve"> 696.1202 </t>
  </si>
  <si>
    <t xml:space="preserve"> 63.7188 </t>
  </si>
  <si>
    <t xml:space="preserve">D:\images\2021-CHG-CBA-Saccharin 1\plaque 1/@02 EE2 34/C2_02.tif </t>
  </si>
  <si>
    <t xml:space="preserve"> 7244.0004 </t>
  </si>
  <si>
    <t xml:space="preserve"> 72.1802 </t>
  </si>
  <si>
    <t xml:space="preserve">D:\images\2021-CHG-CBA-Saccharin 1\plaque 1/@02 EE2 34/C2_03.tif </t>
  </si>
  <si>
    <t xml:space="preserve"> 6178.0664 </t>
  </si>
  <si>
    <t xml:space="preserve"> 68.9401 </t>
  </si>
  <si>
    <t xml:space="preserve">D:\images\2021-CHG-CBA-Saccharin 1\plaque 1/@02 EE2 34/D2_01.tif </t>
  </si>
  <si>
    <t xml:space="preserve"> 3002.0182 </t>
  </si>
  <si>
    <t xml:space="preserve"> 65.7826 </t>
  </si>
  <si>
    <t xml:space="preserve">D:\images\2021-CHG-CBA-Saccharin 1\plaque 1/@02 EE2 34/D2_02.tif </t>
  </si>
  <si>
    <t xml:space="preserve"> 3872.1684 </t>
  </si>
  <si>
    <t xml:space="preserve"> 67.8483 </t>
  </si>
  <si>
    <t xml:space="preserve">D:\images\2021-CHG-CBA-Saccharin 1\plaque 1/@02 EE2 34/D2_03.tif </t>
  </si>
  <si>
    <t xml:space="preserve"> 4111.4597 </t>
  </si>
  <si>
    <t xml:space="preserve"> 68.1481 </t>
  </si>
  <si>
    <t xml:space="preserve">D:\images\2021-CHG-CBA-Saccharin 1\plaque 1/@02 EE2 34/E2_01.tif </t>
  </si>
  <si>
    <t xml:space="preserve"> 11072.6613 </t>
  </si>
  <si>
    <t xml:space="preserve"> 82.0039 </t>
  </si>
  <si>
    <t xml:space="preserve">D:\images\2021-CHG-CBA-Saccharin 1\plaque 1/@02 EE2 34/E2_02.tif </t>
  </si>
  <si>
    <t xml:space="preserve"> 13400.3131 </t>
  </si>
  <si>
    <t xml:space="preserve"> 94.5682 </t>
  </si>
  <si>
    <t xml:space="preserve">D:\images\2021-CHG-CBA-Saccharin 1\plaque 1/@02 EE2 34/E2_03.tif </t>
  </si>
  <si>
    <t xml:space="preserve"> 7635.568 </t>
  </si>
  <si>
    <t xml:space="preserve"> 78.0712 </t>
  </si>
  <si>
    <t xml:space="preserve">D:\images\2021-CHG-CBA-Saccharin 1\plaque 1/@02 EE2 34/F2_01.tif </t>
  </si>
  <si>
    <t xml:space="preserve"> 4894.5949 </t>
  </si>
  <si>
    <t xml:space="preserve"> 66.4 </t>
  </si>
  <si>
    <t xml:space="preserve">D:\images\2021-CHG-CBA-Saccharin 1\plaque 1/@02 EE2 34/F2_02.tif </t>
  </si>
  <si>
    <t xml:space="preserve"> 3959.1834 </t>
  </si>
  <si>
    <t xml:space="preserve"> 66.7747 </t>
  </si>
  <si>
    <t xml:space="preserve">D:\images\2021-CHG-CBA-Saccharin 1\plaque 1/@02 EE2 34/F2_03.tif </t>
  </si>
  <si>
    <t xml:space="preserve"> 3524.1083 </t>
  </si>
  <si>
    <t xml:space="preserve"> 66.2901 </t>
  </si>
  <si>
    <t xml:space="preserve">D:\images\2021-CHG-CBA-Saccharin 1\plaque 1/@02 EE2 34/G2_01.tif </t>
  </si>
  <si>
    <t xml:space="preserve"> 9941.466 </t>
  </si>
  <si>
    <t xml:space="preserve"> 72.3982 </t>
  </si>
  <si>
    <t xml:space="preserve">D:\images\2021-CHG-CBA-Saccharin 1\plaque 1/@02 EE2 34/G2_02.tif </t>
  </si>
  <si>
    <t xml:space="preserve"> 8418.7032 </t>
  </si>
  <si>
    <t xml:space="preserve"> 69.9561 </t>
  </si>
  <si>
    <t xml:space="preserve">D:\images\2021-CHG-CBA-Saccharin 1\plaque 1/@02 EE2 34/G2_03.tif </t>
  </si>
  <si>
    <t xml:space="preserve"> 10420.0486 </t>
  </si>
  <si>
    <t xml:space="preserve"> 75.3779 </t>
  </si>
  <si>
    <t xml:space="preserve">D:\images\2021-CHG-CBA-Saccharin 1\plaque 1/@02 EE2 34/H2_01.tif </t>
  </si>
  <si>
    <t xml:space="preserve"> 978.919 </t>
  </si>
  <si>
    <t xml:space="preserve"> 64.9778 </t>
  </si>
  <si>
    <t xml:space="preserve">D:\images\2021-CHG-CBA-Saccharin 1\plaque 1/@02 EE2 34/H2_02.tif </t>
  </si>
  <si>
    <t xml:space="preserve"> 761.3814 </t>
  </si>
  <si>
    <t xml:space="preserve"> 63.7714 </t>
  </si>
  <si>
    <t xml:space="preserve">D:\images\2021-CHG-CBA-Saccharin 1\plaque 1/@02 EE2 34/H2_03.tif </t>
  </si>
  <si>
    <t xml:space="preserve"> 1435.7478 </t>
  </si>
  <si>
    <t xml:space="preserve"> 64.4394 </t>
  </si>
  <si>
    <t xml:space="preserve">D:\images\2021-CHG-CBA-Saccharin 1\plaque 1/@02 EE2 34/ </t>
  </si>
  <si>
    <t xml:space="preserve"> 69.6475 </t>
  </si>
  <si>
    <t xml:space="preserve"> 7.0831 </t>
  </si>
  <si>
    <t xml:space="preserve"> 373697.75 </t>
  </si>
  <si>
    <t xml:space="preserve"> 317469.913 </t>
  </si>
  <si>
    <t xml:space="preserve">D:\images\2021-CHG-CBA-Saccharin 1\plaque 1/@03 EE2 51/A3_01.tif </t>
  </si>
  <si>
    <t xml:space="preserve"> 65.2759 </t>
  </si>
  <si>
    <t xml:space="preserve">D:\images\2021-CHG-CBA-Saccharin 1\plaque 1/@03 EE2 51/A3_02.tif </t>
  </si>
  <si>
    <t xml:space="preserve"> 1087.6878 </t>
  </si>
  <si>
    <t xml:space="preserve"> 64.06 </t>
  </si>
  <si>
    <t xml:space="preserve">D:\images\2021-CHG-CBA-Saccharin 1\plaque 1/@03 EE2 51/A3_03.tif </t>
  </si>
  <si>
    <t xml:space="preserve"> 62.4571 </t>
  </si>
  <si>
    <t xml:space="preserve">D:\images\2021-CHG-CBA-Saccharin 1\plaque 1/@03 EE2 51/B3_01.tif </t>
  </si>
  <si>
    <t xml:space="preserve">D:\images\2021-CHG-CBA-Saccharin 1\plaque 1/@03 EE2 51/B3_02.tif </t>
  </si>
  <si>
    <t xml:space="preserve"> 609.1051 </t>
  </si>
  <si>
    <t xml:space="preserve"> 63.3929 </t>
  </si>
  <si>
    <t xml:space="preserve">D:\images\2021-CHG-CBA-Saccharin 1\plaque 1/@03 EE2 51/B3_03.tif </t>
  </si>
  <si>
    <t xml:space="preserve"> 369.8138 </t>
  </si>
  <si>
    <t xml:space="preserve"> 63.4118 </t>
  </si>
  <si>
    <t xml:space="preserve">D:\images\2021-CHG-CBA-Saccharin 1\plaque 1/@03 EE2 51/C3_01.tif </t>
  </si>
  <si>
    <t xml:space="preserve"> 1392.2403 </t>
  </si>
  <si>
    <t xml:space="preserve"> 64.0625 </t>
  </si>
  <si>
    <t xml:space="preserve">D:\images\2021-CHG-CBA-Saccharin 1\plaque 1/@03 EE2 51/C3_02.tif </t>
  </si>
  <si>
    <t xml:space="preserve"> 2023.0992 </t>
  </si>
  <si>
    <t xml:space="preserve"> 65.1505 </t>
  </si>
  <si>
    <t xml:space="preserve">D:\images\2021-CHG-CBA-Saccharin 1\plaque 1/@03 EE2 51/C3_03.tif </t>
  </si>
  <si>
    <t xml:space="preserve"> 1762.0542 </t>
  </si>
  <si>
    <t xml:space="preserve"> 65.2222 </t>
  </si>
  <si>
    <t xml:space="preserve">D:\images\2021-CHG-CBA-Saccharin 1\plaque 1/@03 EE2 51/D3_01.tif </t>
  </si>
  <si>
    <t xml:space="preserve"> 3089.0332 </t>
  </si>
  <si>
    <t xml:space="preserve"> 65.2113 </t>
  </si>
  <si>
    <t xml:space="preserve">D:\images\2021-CHG-CBA-Saccharin 1\plaque 1/@03 EE2 51/D3_02.tif </t>
  </si>
  <si>
    <t xml:space="preserve"> 2849.7419 </t>
  </si>
  <si>
    <t xml:space="preserve"> 65.3511 </t>
  </si>
  <si>
    <t xml:space="preserve">D:\images\2021-CHG-CBA-Saccharin 1\plaque 1/@03 EE2 51/D3_03.tif </t>
  </si>
  <si>
    <t xml:space="preserve"> 2392.9131 </t>
  </si>
  <si>
    <t xml:space="preserve">D:\images\2021-CHG-CBA-Saccharin 1\plaque 1/@03 EE2 51/E3_01.tif </t>
  </si>
  <si>
    <t xml:space="preserve"> 1979.5917 </t>
  </si>
  <si>
    <t xml:space="preserve"> 67.6044 </t>
  </si>
  <si>
    <t xml:space="preserve">D:\images\2021-CHG-CBA-Saccharin 1\plaque 1/@03 EE2 51/E3_02.tif </t>
  </si>
  <si>
    <t xml:space="preserve"> 6156.3127 </t>
  </si>
  <si>
    <t xml:space="preserve"> 70.3816 </t>
  </si>
  <si>
    <t xml:space="preserve">D:\images\2021-CHG-CBA-Saccharin 1\plaque 1/@03 EE2 51/E3_03.tif </t>
  </si>
  <si>
    <t xml:space="preserve"> 3067.2795 </t>
  </si>
  <si>
    <t xml:space="preserve"> 65.2624 </t>
  </si>
  <si>
    <t>D:\images\2021-CHG-CBA-Saccharin 1\plaque 1/@03 EE2 51/F3_01- exclu.tif</t>
  </si>
  <si>
    <t>D:\images\2021-CHG-CBA-Saccharin 1\plaque 1/@03 EE2 51/F3_02- exclu.tif</t>
  </si>
  <si>
    <t>D:\images\2021-CHG-CBA-Saccharin 1\plaque 1/@03 EE2 51/F3_03- exclu.tif</t>
  </si>
  <si>
    <t xml:space="preserve">D:\images\2021-CHG-CBA-Saccharin 1\plaque 1/@03 EE2 51/G3_01.tif </t>
  </si>
  <si>
    <t xml:space="preserve"> 2218.883 </t>
  </si>
  <si>
    <t xml:space="preserve"> 64.1176 </t>
  </si>
  <si>
    <t xml:space="preserve">D:\images\2021-CHG-CBA-Saccharin 1\plaque 1/@03 EE2 51/G3_02.tif </t>
  </si>
  <si>
    <t xml:space="preserve"> 1892.5767 </t>
  </si>
  <si>
    <t xml:space="preserve"> 63.6437 </t>
  </si>
  <si>
    <t xml:space="preserve">D:\images\2021-CHG-CBA-Saccharin 1\plaque 1/@03 EE2 51/G3_03.tif </t>
  </si>
  <si>
    <t xml:space="preserve"> 2044.853 </t>
  </si>
  <si>
    <t xml:space="preserve"> 64.4787 </t>
  </si>
  <si>
    <t xml:space="preserve">D:\images\2021-CHG-CBA-Saccharin 1\plaque 1/@03 EE2 51/H3_01.tif </t>
  </si>
  <si>
    <t xml:space="preserve"> 2980.2644 </t>
  </si>
  <si>
    <t xml:space="preserve"> 64.8321 </t>
  </si>
  <si>
    <t xml:space="preserve">D:\images\2021-CHG-CBA-Saccharin 1\plaque 1/@03 EE2 51/H3_02.tif </t>
  </si>
  <si>
    <t xml:space="preserve"> 11377.2139 </t>
  </si>
  <si>
    <t xml:space="preserve"> 68.0249 </t>
  </si>
  <si>
    <t xml:space="preserve">D:\images\2021-CHG-CBA-Saccharin 1\plaque 1/@03 EE2 51/H3_03.tif </t>
  </si>
  <si>
    <t xml:space="preserve"> 7961.8743 </t>
  </si>
  <si>
    <t xml:space="preserve"> 68.1011 </t>
  </si>
  <si>
    <t xml:space="preserve">D:\images\2021-CHG-CBA-Saccharin 1\plaque 1/@03 EE2 51/ </t>
  </si>
  <si>
    <t xml:space="preserve"> 65.0178 </t>
  </si>
  <si>
    <t xml:space="preserve"> 1.9551 </t>
  </si>
  <si>
    <t xml:space="preserve"> 170600.25 </t>
  </si>
  <si>
    <t xml:space="preserve"> 175594.915 </t>
  </si>
  <si>
    <t>D:\images\2021-CHG-CBA-Saccharin 1\plaque 1/@04 EE2 76/A4_01- exclu.tif</t>
  </si>
  <si>
    <t xml:space="preserve">D:\images\2021-CHG-CBA-Saccharin 1\plaque 1/@04 EE2 76/A4_02.tif </t>
  </si>
  <si>
    <t xml:space="preserve"> 4220.2285 </t>
  </si>
  <si>
    <t xml:space="preserve"> 63.6649 </t>
  </si>
  <si>
    <t xml:space="preserve">D:\images\2021-CHG-CBA-Saccharin 1\plaque 1/@04 EE2 76/A4_03.tif </t>
  </si>
  <si>
    <t xml:space="preserve"> 2458.1743 </t>
  </si>
  <si>
    <t xml:space="preserve"> 64.115 </t>
  </si>
  <si>
    <t xml:space="preserve">D:\images\2021-CHG-CBA-Saccharin 1\plaque 1/@04 EE2 76/B4_01.tif </t>
  </si>
  <si>
    <t xml:space="preserve"> 63.2143 </t>
  </si>
  <si>
    <t xml:space="preserve">D:\images\2021-CHG-CBA-Saccharin 1\plaque 1/@04 EE2 76/B4_02.tif </t>
  </si>
  <si>
    <t xml:space="preserve"> 630.8589 </t>
  </si>
  <si>
    <t xml:space="preserve"> 63.2759 </t>
  </si>
  <si>
    <t xml:space="preserve">D:\images\2021-CHG-CBA-Saccharin 1\plaque 1/@04 EE2 76/B4_03.tif </t>
  </si>
  <si>
    <t xml:space="preserve"> 1544.5166 </t>
  </si>
  <si>
    <t xml:space="preserve"> 62.7183 </t>
  </si>
  <si>
    <t xml:space="preserve">D:\images\2021-CHG-CBA-Saccharin 1\plaque 1/@04 EE2 76/C4_01.tif </t>
  </si>
  <si>
    <t xml:space="preserve"> 66.0797 </t>
  </si>
  <si>
    <t xml:space="preserve">D:\images\2021-CHG-CBA-Saccharin 1\plaque 1/@04 EE2 76/C4_02.tif </t>
  </si>
  <si>
    <t xml:space="preserve"> 3915.6759 </t>
  </si>
  <si>
    <t xml:space="preserve"> 65.1833 </t>
  </si>
  <si>
    <t xml:space="preserve">D:\images\2021-CHG-CBA-Saccharin 1\plaque 1/@04 EE2 76/C4_03.tif </t>
  </si>
  <si>
    <t xml:space="preserve"> 2284.1443 </t>
  </si>
  <si>
    <t xml:space="preserve"> 65.9048 </t>
  </si>
  <si>
    <t xml:space="preserve">D:\images\2021-CHG-CBA-Saccharin 1\plaque 1/@04 EE2 76/D4_01.tif </t>
  </si>
  <si>
    <t xml:space="preserve"> 64.1011 </t>
  </si>
  <si>
    <t xml:space="preserve">D:\images\2021-CHG-CBA-Saccharin 1\plaque 1/@04 EE2 76/D4_02.tif </t>
  </si>
  <si>
    <t xml:space="preserve"> 8005.3818 </t>
  </si>
  <si>
    <t xml:space="preserve"> 67.3614 </t>
  </si>
  <si>
    <t xml:space="preserve">D:\images\2021-CHG-CBA-Saccharin 1\plaque 1/@04 EE2 76/D4_03.tif </t>
  </si>
  <si>
    <t xml:space="preserve"> 9201.8384 </t>
  </si>
  <si>
    <t xml:space="preserve"> 71.8676 </t>
  </si>
  <si>
    <t xml:space="preserve">D:\images\2021-CHG-CBA-Saccharin 1\plaque 1/@04 EE2 76/E4_01.tif </t>
  </si>
  <si>
    <t xml:space="preserve"> 3176.0482 </t>
  </si>
  <si>
    <t xml:space="preserve"> 65.5274 </t>
  </si>
  <si>
    <t xml:space="preserve">D:\images\2021-CHG-CBA-Saccharin 1\plaque 1/@04 EE2 76/E4_02.tif </t>
  </si>
  <si>
    <t xml:space="preserve"> 3828.6609 </t>
  </si>
  <si>
    <t xml:space="preserve"> 66.2784 </t>
  </si>
  <si>
    <t xml:space="preserve">D:\images\2021-CHG-CBA-Saccharin 1\plaque 1/@04 EE2 76/E4_03.tif </t>
  </si>
  <si>
    <t xml:space="preserve"> 413.3213 </t>
  </si>
  <si>
    <t xml:space="preserve"> 64.6842 </t>
  </si>
  <si>
    <t xml:space="preserve">D:\images\2021-CHG-CBA-Saccharin 1\plaque 1/@04 EE2 76/F4_01.tif </t>
  </si>
  <si>
    <t xml:space="preserve"> 11921.0577 </t>
  </si>
  <si>
    <t xml:space="preserve"> 63.9562 </t>
  </si>
  <si>
    <t xml:space="preserve">D:\images\2021-CHG-CBA-Saccharin 1\plaque 1/@04 EE2 76/F4_02.tif </t>
  </si>
  <si>
    <t xml:space="preserve"> 17533.5265 </t>
  </si>
  <si>
    <t xml:space="preserve"> 65.5794 </t>
  </si>
  <si>
    <t xml:space="preserve">D:\images\2021-CHG-CBA-Saccharin 1\plaque 1/@04 EE2 76/F4_03.tif </t>
  </si>
  <si>
    <t xml:space="preserve"> 16184.7937 </t>
  </si>
  <si>
    <t xml:space="preserve"> 65.9382 </t>
  </si>
  <si>
    <t xml:space="preserve">D:\images\2021-CHG-CBA-Saccharin 1\plaque 1/@04 EE2 76/G4_01.tif </t>
  </si>
  <si>
    <t xml:space="preserve"> 5068.6249 </t>
  </si>
  <si>
    <t xml:space="preserve"> 63.7682 </t>
  </si>
  <si>
    <t xml:space="preserve">D:\images\2021-CHG-CBA-Saccharin 1\plaque 1/@04 EE2 76/G4_02.tif </t>
  </si>
  <si>
    <t xml:space="preserve"> 3045.5257 </t>
  </si>
  <si>
    <t xml:space="preserve">D:\images\2021-CHG-CBA-Saccharin 1\plaque 1/@04 EE2 76/G4_03.tif </t>
  </si>
  <si>
    <t xml:space="preserve"> 4655.3036 </t>
  </si>
  <si>
    <t xml:space="preserve"> 63.4579 </t>
  </si>
  <si>
    <t>D:\images\2021-CHG-CBA-Saccharin 1\plaque 1/@04 EE2 76/H4_01- exclu.tif</t>
  </si>
  <si>
    <t>D:\images\2021-CHG-CBA-Saccharin 1\plaque 1/@04 EE2 76/H4_02- exclu.tif</t>
  </si>
  <si>
    <t xml:space="preserve">D:\images\2021-CHG-CBA-Saccharin 1\plaque 1/@04 EE2 76/H4_03.tif </t>
  </si>
  <si>
    <t xml:space="preserve"> 3632.8771 </t>
  </si>
  <si>
    <t xml:space="preserve"> 64.3054 </t>
  </si>
  <si>
    <t xml:space="preserve">D:\images\2021-CHG-CBA-Saccharin 1\plaque 1/@04 EE2 76/ </t>
  </si>
  <si>
    <t xml:space="preserve"> 64.84 </t>
  </si>
  <si>
    <t xml:space="preserve"> 2.051 </t>
  </si>
  <si>
    <t xml:space="preserve"> 338703.208 </t>
  </si>
  <si>
    <t xml:space="preserve"> 321434.458 </t>
  </si>
  <si>
    <t xml:space="preserve">D:\images\2021-CHG-CBA-Saccharin 1\plaque 1/@05 EE2 114/A5_01.tif </t>
  </si>
  <si>
    <t xml:space="preserve"> 30781.5633 </t>
  </si>
  <si>
    <t xml:space="preserve"> 71.7739 </t>
  </si>
  <si>
    <t xml:space="preserve">D:\images\2021-CHG-CBA-Saccharin 1\plaque 1/@05 EE2 114/A5_02.tif </t>
  </si>
  <si>
    <t xml:space="preserve"> 28453.9115 </t>
  </si>
  <si>
    <t xml:space="preserve"> 73.4052 </t>
  </si>
  <si>
    <t xml:space="preserve">D:\images\2021-CHG-CBA-Saccharin 1\plaque 1/@05 EE2 114/A5_03.tif </t>
  </si>
  <si>
    <t xml:space="preserve"> 27779.5451 </t>
  </si>
  <si>
    <t xml:space="preserve"> 73.2827 </t>
  </si>
  <si>
    <t>D:\images\2021-CHG-CBA-Saccharin 1\plaque 1/@05 EE2 114/B5_01- exclu.tif</t>
  </si>
  <si>
    <t xml:space="preserve">D:\images\2021-CHG-CBA-Saccharin 1\plaque 1/@05 EE2 114/B5_02.tif </t>
  </si>
  <si>
    <t xml:space="preserve"> 54058.0812 </t>
  </si>
  <si>
    <t xml:space="preserve"> 82.2483 </t>
  </si>
  <si>
    <t xml:space="preserve">D:\images\2021-CHG-CBA-Saccharin 1\plaque 1/@05 EE2 114/B5_03.tif </t>
  </si>
  <si>
    <t xml:space="preserve"> 50729.7567 </t>
  </si>
  <si>
    <t xml:space="preserve"> 79.9451 </t>
  </si>
  <si>
    <t xml:space="preserve">D:\images\2021-CHG-CBA-Saccharin 1\plaque 1/@05 EE2 114/C5_01.tif </t>
  </si>
  <si>
    <t xml:space="preserve"> 63912.5322 </t>
  </si>
  <si>
    <t xml:space="preserve"> 74.0534 </t>
  </si>
  <si>
    <t xml:space="preserve">D:\images\2021-CHG-CBA-Saccharin 1\plaque 1/@05 EE2 114/C5_02.tif </t>
  </si>
  <si>
    <t xml:space="preserve"> 63085.8895 </t>
  </si>
  <si>
    <t xml:space="preserve"> 75.2752 </t>
  </si>
  <si>
    <t xml:space="preserve">D:\images\2021-CHG-CBA-Saccharin 1\plaque 1/@05 EE2 114/C5_03.tif </t>
  </si>
  <si>
    <t xml:space="preserve"> 58017.2646 </t>
  </si>
  <si>
    <t xml:space="preserve"> 72.4477 </t>
  </si>
  <si>
    <t>D:\images\2021-CHG-CBA-Saccharin 1\plaque 1/@05 EE2 114/D5_01- exclu.tif</t>
  </si>
  <si>
    <t xml:space="preserve">D:\images\2021-CHG-CBA-Saccharin 1\plaque 1/@05 EE2 114/D5_02.tif </t>
  </si>
  <si>
    <t xml:space="preserve"> 27866.5602 </t>
  </si>
  <si>
    <t xml:space="preserve"> 67.9867 </t>
  </si>
  <si>
    <t xml:space="preserve">D:\images\2021-CHG-CBA-Saccharin 1\plaque 1/@05 EE2 114/D5_03.tif </t>
  </si>
  <si>
    <t xml:space="preserve"> 28997.7554 </t>
  </si>
  <si>
    <t xml:space="preserve"> 72.1395 </t>
  </si>
  <si>
    <t xml:space="preserve">D:\images\2021-CHG-CBA-Saccharin 1\plaque 1/@05 EE2 114/E5_01.tif </t>
  </si>
  <si>
    <t xml:space="preserve"> 38830.4527 </t>
  </si>
  <si>
    <t xml:space="preserve"> 68.2443 </t>
  </si>
  <si>
    <t xml:space="preserve">D:\images\2021-CHG-CBA-Saccharin 1\plaque 1/@05 EE2 114/E5_02.tif </t>
  </si>
  <si>
    <t xml:space="preserve"> 39939.8942 </t>
  </si>
  <si>
    <t xml:space="preserve"> 68.7021 </t>
  </si>
  <si>
    <t xml:space="preserve">D:\images\2021-CHG-CBA-Saccharin 1\plaque 1/@05 EE2 114/E5_03.tif </t>
  </si>
  <si>
    <t xml:space="preserve"> 42593.8523 </t>
  </si>
  <si>
    <t xml:space="preserve"> 69.8647 </t>
  </si>
  <si>
    <t xml:space="preserve">D:\images\2021-CHG-CBA-Saccharin 1\plaque 1/@05 EE2 114/F5_01.tif </t>
  </si>
  <si>
    <t xml:space="preserve"> 69.5997 </t>
  </si>
  <si>
    <t xml:space="preserve">D:\images\2021-CHG-CBA-Saccharin 1\plaque 1/@05 EE2 114/F5_02.tif </t>
  </si>
  <si>
    <t xml:space="preserve"> 36154.7408 </t>
  </si>
  <si>
    <t xml:space="preserve"> 70.0505 </t>
  </si>
  <si>
    <t xml:space="preserve">D:\images\2021-CHG-CBA-Saccharin 1\plaque 1/@05 EE2 114/F5_03.tif </t>
  </si>
  <si>
    <t xml:space="preserve"> 40744.7831 </t>
  </si>
  <si>
    <t xml:space="preserve"> 70.3636 </t>
  </si>
  <si>
    <t xml:space="preserve">D:\images\2021-CHG-CBA-Saccharin 1\plaque 1/@05 EE2 114/G5_01.tif </t>
  </si>
  <si>
    <t xml:space="preserve"> 19317.3344 </t>
  </si>
  <si>
    <t xml:space="preserve"> 75.0304 </t>
  </si>
  <si>
    <t xml:space="preserve">D:\images\2021-CHG-CBA-Saccharin 1\plaque 1/@05 EE2 114/G5_02.tif </t>
  </si>
  <si>
    <t xml:space="preserve"> 22080.0613 </t>
  </si>
  <si>
    <t xml:space="preserve"> 76.3655 </t>
  </si>
  <si>
    <t xml:space="preserve">D:\images\2021-CHG-CBA-Saccharin 1\plaque 1/@05 EE2 114/G5_03.tif </t>
  </si>
  <si>
    <t xml:space="preserve"> 26496.0736 </t>
  </si>
  <si>
    <t xml:space="preserve"> 73.4737 </t>
  </si>
  <si>
    <t xml:space="preserve">D:\images\2021-CHG-CBA-Saccharin 1\plaque 1/@05 EE2 114/H5_01.tif </t>
  </si>
  <si>
    <t xml:space="preserve"> 29933.1669 </t>
  </si>
  <si>
    <t xml:space="preserve"> 76.7936 </t>
  </si>
  <si>
    <t xml:space="preserve">D:\images\2021-CHG-CBA-Saccharin 1\plaque 1/@05 EE2 114/H5_02.tif </t>
  </si>
  <si>
    <t xml:space="preserve"> 26865.8874 </t>
  </si>
  <si>
    <t xml:space="preserve"> 77.7984 </t>
  </si>
  <si>
    <t xml:space="preserve">D:\images\2021-CHG-CBA-Saccharin 1\plaque 1/@05 EE2 114/H5_03.tif </t>
  </si>
  <si>
    <t xml:space="preserve"> 26039.2447 </t>
  </si>
  <si>
    <t xml:space="preserve"> 79.0643 </t>
  </si>
  <si>
    <t xml:space="preserve">D:\images\2021-CHG-CBA-Saccharin 1\plaque 1/@05 EE2 114/ </t>
  </si>
  <si>
    <t xml:space="preserve"> 73.7398 </t>
  </si>
  <si>
    <t xml:space="preserve"> 3.9562 </t>
  </si>
  <si>
    <t xml:space="preserve"> 2758710.54 </t>
  </si>
  <si>
    <t xml:space="preserve"> 1034033.03 </t>
  </si>
  <si>
    <t>D:\images\2021-CHG-CBA-Saccharin 1\plaque 1/@06 EE2 171/A6_01- exclu.tif</t>
  </si>
  <si>
    <t xml:space="preserve">D:\images\2021-CHG-CBA-Saccharin 1\plaque 1/@06 EE2 171/A6_02.tif </t>
  </si>
  <si>
    <t xml:space="preserve"> 27387.9775 </t>
  </si>
  <si>
    <t xml:space="preserve"> 72.3471 </t>
  </si>
  <si>
    <t xml:space="preserve">D:\images\2021-CHG-CBA-Saccharin 1\plaque 1/@06 EE2 171/A6_03.tif </t>
  </si>
  <si>
    <t xml:space="preserve"> 26126.2598 </t>
  </si>
  <si>
    <t xml:space="preserve"> 73.3489 </t>
  </si>
  <si>
    <t xml:space="preserve">D:\images\2021-CHG-CBA-Saccharin 1\plaque 1/@06 EE2 171/B6_01.tif </t>
  </si>
  <si>
    <t xml:space="preserve"> 51578.1531 </t>
  </si>
  <si>
    <t xml:space="preserve"> 72.7841 </t>
  </si>
  <si>
    <t xml:space="preserve">D:\images\2021-CHG-CBA-Saccharin 1\plaque 1/@06 EE2 171/B6_02.tif </t>
  </si>
  <si>
    <t xml:space="preserve"> 44899.7503 </t>
  </si>
  <si>
    <t xml:space="preserve"> 73.7994 </t>
  </si>
  <si>
    <t xml:space="preserve">D:\images\2021-CHG-CBA-Saccharin 1\plaque 1/@06 EE2 171/B6_03.tif </t>
  </si>
  <si>
    <t xml:space="preserve"> 43899.0776 </t>
  </si>
  <si>
    <t xml:space="preserve"> 73.3434 </t>
  </si>
  <si>
    <t xml:space="preserve">D:\images\2021-CHG-CBA-Saccharin 1\plaque 1/@06 EE2 171/C6_01.tif </t>
  </si>
  <si>
    <t xml:space="preserve"> 49642.0689 </t>
  </si>
  <si>
    <t xml:space="preserve"> 79.5 </t>
  </si>
  <si>
    <t xml:space="preserve">D:\images\2021-CHG-CBA-Saccharin 1\plaque 1/@06 EE2 171/C6_02.tif </t>
  </si>
  <si>
    <t xml:space="preserve"> 52970.3934 </t>
  </si>
  <si>
    <t xml:space="preserve"> 79.6846 </t>
  </si>
  <si>
    <t xml:space="preserve">D:\images\2021-CHG-CBA-Saccharin 1\plaque 1/@06 EE2 171/C6_03.tif </t>
  </si>
  <si>
    <t xml:space="preserve"> 56538.0093 </t>
  </si>
  <si>
    <t xml:space="preserve"> 78.4886 </t>
  </si>
  <si>
    <t xml:space="preserve">D:\images\2021-CHG-CBA-Saccharin 1\plaque 1/@06 EE2 171/D6_01.tif </t>
  </si>
  <si>
    <t xml:space="preserve"> 31869.2511 </t>
  </si>
  <si>
    <t xml:space="preserve"> 71.5645 </t>
  </si>
  <si>
    <t xml:space="preserve">D:\images\2021-CHG-CBA-Saccharin 1\plaque 1/@06 EE2 171/D6_02.tif </t>
  </si>
  <si>
    <t xml:space="preserve"> 34175.1491 </t>
  </si>
  <si>
    <t xml:space="preserve"> 71.6187 </t>
  </si>
  <si>
    <t xml:space="preserve">D:\images\2021-CHG-CBA-Saccharin 1\plaque 1/@06 EE2 171/D6_03.tif </t>
  </si>
  <si>
    <t xml:space="preserve"> 27757.7914 </t>
  </si>
  <si>
    <t xml:space="preserve"> 70.2861 </t>
  </si>
  <si>
    <t xml:space="preserve">D:\images\2021-CHG-CBA-Saccharin 1\plaque 1/@06 EE2 171/E6_01.tif </t>
  </si>
  <si>
    <t xml:space="preserve"> 42941.9124 </t>
  </si>
  <si>
    <t xml:space="preserve"> 72.5927 </t>
  </si>
  <si>
    <t xml:space="preserve">D:\images\2021-CHG-CBA-Saccharin 1\plaque 1/@06 EE2 171/E6_02.tif </t>
  </si>
  <si>
    <t xml:space="preserve"> 42485.0835 </t>
  </si>
  <si>
    <t xml:space="preserve"> 70.2115 </t>
  </si>
  <si>
    <t xml:space="preserve">D:\images\2021-CHG-CBA-Saccharin 1\plaque 1/@06 EE2 171/E6_03.tif </t>
  </si>
  <si>
    <t xml:space="preserve"> 46009.1918 </t>
  </si>
  <si>
    <t xml:space="preserve"> 73.6898 </t>
  </si>
  <si>
    <t xml:space="preserve">D:\images\2021-CHG-CBA-Saccharin 1\plaque 1/@06 EE2 171/F6_01.tif </t>
  </si>
  <si>
    <t xml:space="preserve"> 50860.2792 </t>
  </si>
  <si>
    <t xml:space="preserve"> 76.8623 </t>
  </si>
  <si>
    <t xml:space="preserve">D:\images\2021-CHG-CBA-Saccharin 1\plaque 1/@06 EE2 171/F6_02.tif </t>
  </si>
  <si>
    <t xml:space="preserve"> 55754.8741 </t>
  </si>
  <si>
    <t xml:space="preserve"> 75.1116 </t>
  </si>
  <si>
    <t xml:space="preserve">D:\images\2021-CHG-CBA-Saccharin 1\plaque 1/@06 EE2 171/F6_03.tif </t>
  </si>
  <si>
    <t xml:space="preserve"> 47357.9246 </t>
  </si>
  <si>
    <t xml:space="preserve"> 77.9789 </t>
  </si>
  <si>
    <t xml:space="preserve">D:\images\2021-CHG-CBA-Saccharin 1\plaque 1/@06 EE2 171/G6_01.tif </t>
  </si>
  <si>
    <t xml:space="preserve"> 43964.3389 </t>
  </si>
  <si>
    <t xml:space="preserve"> 74.9446 </t>
  </si>
  <si>
    <t xml:space="preserve">D:\images\2021-CHG-CBA-Saccharin 1\plaque 1/@06 EE2 171/G6_02.tif </t>
  </si>
  <si>
    <t xml:space="preserve"> 43398.7412 </t>
  </si>
  <si>
    <t xml:space="preserve"> 74.6306 </t>
  </si>
  <si>
    <t xml:space="preserve">D:\images\2021-CHG-CBA-Saccharin 1\plaque 1/@06 EE2 171/G6_03.tif </t>
  </si>
  <si>
    <t xml:space="preserve"> 38786.9452 </t>
  </si>
  <si>
    <t xml:space="preserve"> 73.1368 </t>
  </si>
  <si>
    <t xml:space="preserve">D:\images\2021-CHG-CBA-Saccharin 1\plaque 1/@06 EE2 171/H6_01.tif </t>
  </si>
  <si>
    <t xml:space="preserve"> 19404.3495 </t>
  </si>
  <si>
    <t xml:space="preserve"> 67.6513 </t>
  </si>
  <si>
    <t xml:space="preserve">D:\images\2021-CHG-CBA-Saccharin 1\plaque 1/@06 EE2 171/H6_02.tif </t>
  </si>
  <si>
    <t xml:space="preserve"> 20840.0973 </t>
  </si>
  <si>
    <t xml:space="preserve"> 67.5344 </t>
  </si>
  <si>
    <t xml:space="preserve">D:\images\2021-CHG-CBA-Saccharin 1\plaque 1/@06 EE2 171/H6_03.tif </t>
  </si>
  <si>
    <t xml:space="preserve"> 25299.6171 </t>
  </si>
  <si>
    <t xml:space="preserve"> 70.804 </t>
  </si>
  <si>
    <t xml:space="preserve">D:\images\2021-CHG-CBA-Saccharin 1\plaque 1/@06 EE2 171/ </t>
  </si>
  <si>
    <t xml:space="preserve"> 73.4325 </t>
  </si>
  <si>
    <t xml:space="preserve"> 3.3233 </t>
  </si>
  <si>
    <t xml:space="preserve"> 2919708.29 </t>
  </si>
  <si>
    <t xml:space="preserve"> 966352.012 </t>
  </si>
  <si>
    <t xml:space="preserve">D:\images\2021-CHG-CBA-Saccharin 1\plaque 1/@07 EE2 488/A7_01.tif </t>
  </si>
  <si>
    <t xml:space="preserve"> 55928.9041 </t>
  </si>
  <si>
    <t xml:space="preserve"> 93.7347 </t>
  </si>
  <si>
    <t xml:space="preserve">D:\images\2021-CHG-CBA-Saccharin 1\plaque 1/@07 EE2 488/A7_02.tif </t>
  </si>
  <si>
    <t xml:space="preserve"> 50664.4954 </t>
  </si>
  <si>
    <t xml:space="preserve"> 98.5754 </t>
  </si>
  <si>
    <t xml:space="preserve">D:\images\2021-CHG-CBA-Saccharin 1\plaque 1/@07 EE2 488/A7_03.tif </t>
  </si>
  <si>
    <t xml:space="preserve"> 53035.6547 </t>
  </si>
  <si>
    <t xml:space="preserve"> 97.6977 </t>
  </si>
  <si>
    <t xml:space="preserve">D:\images\2021-CHG-CBA-Saccharin 1\plaque 1/@07 EE2 488/B7_01.tif </t>
  </si>
  <si>
    <t xml:space="preserve"> 61476.1116 </t>
  </si>
  <si>
    <t xml:space="preserve"> 103.0584 </t>
  </si>
  <si>
    <t xml:space="preserve">D:\images\2021-CHG-CBA-Saccharin 1\plaque 1/@07 EE2 488/B7_02.tif </t>
  </si>
  <si>
    <t xml:space="preserve"> 67849.9619 </t>
  </si>
  <si>
    <t xml:space="preserve"> 100.808 </t>
  </si>
  <si>
    <t xml:space="preserve">D:\images\2021-CHG-CBA-Saccharin 1\plaque 1/@07 EE2 488/B7_03.tif </t>
  </si>
  <si>
    <t xml:space="preserve"> 61258.5741 </t>
  </si>
  <si>
    <t xml:space="preserve"> 104.604 </t>
  </si>
  <si>
    <t xml:space="preserve">D:\images\2021-CHG-CBA-Saccharin 1\plaque 1/@07 EE2 488/C7_01.tif </t>
  </si>
  <si>
    <t xml:space="preserve"> 51491.1381 </t>
  </si>
  <si>
    <t xml:space="preserve"> 100.6008 </t>
  </si>
  <si>
    <t xml:space="preserve">D:\images\2021-CHG-CBA-Saccharin 1\plaque 1/@07 EE2 488/C7_02.tif </t>
  </si>
  <si>
    <t xml:space="preserve"> 57712.712 </t>
  </si>
  <si>
    <t xml:space="preserve"> 95.5236 </t>
  </si>
  <si>
    <t xml:space="preserve">D:\images\2021-CHG-CBA-Saccharin 1\plaque 1/@07 EE2 488/C7_03.tif </t>
  </si>
  <si>
    <t xml:space="preserve"> 57016.5919 </t>
  </si>
  <si>
    <t xml:space="preserve"> 96.794 </t>
  </si>
  <si>
    <t xml:space="preserve">D:\images\2021-CHG-CBA-Saccharin 1\plaque 1/@07 EE2 488/D7_01.tif </t>
  </si>
  <si>
    <t xml:space="preserve"> 41223.3657 </t>
  </si>
  <si>
    <t xml:space="preserve"> 109.6665 </t>
  </si>
  <si>
    <t xml:space="preserve">D:\images\2021-CHG-CBA-Saccharin 1\plaque 1/@07 EE2 488/D7_02.tif </t>
  </si>
  <si>
    <t xml:space="preserve"> 112.3726 </t>
  </si>
  <si>
    <t>D:\images\2021-CHG-CBA-Saccharin 1\plaque 1/@07 EE2 488/D7_03- exclu.tif</t>
  </si>
  <si>
    <t xml:space="preserve">D:\images\2021-CHG-CBA-Saccharin 1\plaque 1/@07 EE2 488/E7_01.tif </t>
  </si>
  <si>
    <t xml:space="preserve"> 89886.5157 </t>
  </si>
  <si>
    <t xml:space="preserve"> 96.7444 </t>
  </si>
  <si>
    <t xml:space="preserve">D:\images\2021-CHG-CBA-Saccharin 1\plaque 1/@07 EE2 488/E7_02.tif </t>
  </si>
  <si>
    <t xml:space="preserve"> 90060.5457 </t>
  </si>
  <si>
    <t xml:space="preserve"> 97.3911 </t>
  </si>
  <si>
    <t xml:space="preserve">D:\images\2021-CHG-CBA-Saccharin 1\plaque 1/@07 EE2 488/E7_03.tif </t>
  </si>
  <si>
    <t xml:space="preserve"> 92061.8912 </t>
  </si>
  <si>
    <t xml:space="preserve"> 96.1654 </t>
  </si>
  <si>
    <t xml:space="preserve">D:\images\2021-CHG-CBA-Saccharin 1\plaque 1/@07 EE2 488/F7_01.tif </t>
  </si>
  <si>
    <t xml:space="preserve"> 71743.884 </t>
  </si>
  <si>
    <t xml:space="preserve"> 89.8908 </t>
  </si>
  <si>
    <t xml:space="preserve">D:\images\2021-CHG-CBA-Saccharin 1\plaque 1/@07 EE2 488/F7_02.tif </t>
  </si>
  <si>
    <t xml:space="preserve"> 68698.3583 </t>
  </si>
  <si>
    <t xml:space="preserve"> 90.5728 </t>
  </si>
  <si>
    <t xml:space="preserve">D:\images\2021-CHG-CBA-Saccharin 1\plaque 1/@07 EE2 488/F7_03.tif </t>
  </si>
  <si>
    <t xml:space="preserve"> 68959.4034 </t>
  </si>
  <si>
    <t xml:space="preserve"> 89.9634 </t>
  </si>
  <si>
    <t xml:space="preserve">D:\images\2021-CHG-CBA-Saccharin 1\plaque 1/@07 EE2 488/G7_01.tif </t>
  </si>
  <si>
    <t xml:space="preserve"> 72026.6828 </t>
  </si>
  <si>
    <t xml:space="preserve"> 92.8451 </t>
  </si>
  <si>
    <t xml:space="preserve">D:\images\2021-CHG-CBA-Saccharin 1\plaque 1/@07 EE2 488/G7_02.tif </t>
  </si>
  <si>
    <t xml:space="preserve"> 68306.7907 </t>
  </si>
  <si>
    <t xml:space="preserve"> 89.2398 </t>
  </si>
  <si>
    <t xml:space="preserve">D:\images\2021-CHG-CBA-Saccharin 1\plaque 1/@07 EE2 488/G7_03.tif </t>
  </si>
  <si>
    <t xml:space="preserve"> 59583.535 </t>
  </si>
  <si>
    <t xml:space="preserve"> 97.1665 </t>
  </si>
  <si>
    <t xml:space="preserve">D:\images\2021-CHG-CBA-Saccharin 1\plaque 1/@07 EE2 488/H7_01.tif </t>
  </si>
  <si>
    <t xml:space="preserve"> 69024.6646 </t>
  </si>
  <si>
    <t xml:space="preserve"> 97.4879 </t>
  </si>
  <si>
    <t xml:space="preserve">D:\images\2021-CHG-CBA-Saccharin 1\plaque 1/@07 EE2 488/H7_02.tif </t>
  </si>
  <si>
    <t xml:space="preserve"> 66544.7366 </t>
  </si>
  <si>
    <t xml:space="preserve"> 99.0902 </t>
  </si>
  <si>
    <t xml:space="preserve">D:\images\2021-CHG-CBA-Saccharin 1\plaque 1/@07 EE2 488/H7_03.tif </t>
  </si>
  <si>
    <t xml:space="preserve"> 69960.0761 </t>
  </si>
  <si>
    <t xml:space="preserve"> 99.6943 </t>
  </si>
  <si>
    <t xml:space="preserve">D:\images\2021-CHG-CBA-Saccharin 1\plaque 1/@07 EE2 488/ </t>
  </si>
  <si>
    <t xml:space="preserve"> 98.5421 </t>
  </si>
  <si>
    <t xml:space="preserve"> 6.7404 </t>
  </si>
  <si>
    <t xml:space="preserve"> 6188391.38 </t>
  </si>
  <si>
    <t xml:space="preserve"> 1267984.72 </t>
  </si>
  <si>
    <t xml:space="preserve">D:\images\2021-CHG-CBA-Saccharin 1\plaque 1/@08 Saccharin 0.01/A8_01.tif </t>
  </si>
  <si>
    <t xml:space="preserve"> 4503.0273 </t>
  </si>
  <si>
    <t xml:space="preserve"> 68.5217 </t>
  </si>
  <si>
    <t xml:space="preserve">D:\images\2021-CHG-CBA-Saccharin 1\plaque 1/@08 Saccharin 0.01/A8_02.tif </t>
  </si>
  <si>
    <t xml:space="preserve"> 2827.9882 </t>
  </si>
  <si>
    <t xml:space="preserve"> 65.6846 </t>
  </si>
  <si>
    <t xml:space="preserve">D:\images\2021-CHG-CBA-Saccharin 1\plaque 1/@08 Saccharin 0.01/A8_03.tif </t>
  </si>
  <si>
    <t xml:space="preserve"> 2001.3455 </t>
  </si>
  <si>
    <t xml:space="preserve"> 64.4239 </t>
  </si>
  <si>
    <t xml:space="preserve">D:\images\2021-CHG-CBA-Saccharin 1\plaque 1/@08 Saccharin 0.01/B8_01.tif </t>
  </si>
  <si>
    <t xml:space="preserve"> 2871.4957 </t>
  </si>
  <si>
    <t xml:space="preserve"> 64.7803 </t>
  </si>
  <si>
    <t xml:space="preserve">D:\images\2021-CHG-CBA-Saccharin 1\plaque 1/@08 Saccharin 0.01/B8_02.tif </t>
  </si>
  <si>
    <t xml:space="preserve"> 4372.5048 </t>
  </si>
  <si>
    <t xml:space="preserve"> 65.1741 </t>
  </si>
  <si>
    <t xml:space="preserve">D:\images\2021-CHG-CBA-Saccharin 1\plaque 1/@08 Saccharin 0.01/B8_03.tif </t>
  </si>
  <si>
    <t xml:space="preserve"> 3589.3696 </t>
  </si>
  <si>
    <t xml:space="preserve">D:\images\2021-CHG-CBA-Saccharin 1\plaque 1/@08 Saccharin 0.01/C8_01.tif </t>
  </si>
  <si>
    <t xml:space="preserve"> 4328.9972 </t>
  </si>
  <si>
    <t xml:space="preserve"> 71.4171 </t>
  </si>
  <si>
    <t xml:space="preserve">D:\images\2021-CHG-CBA-Saccharin 1\plaque 1/@08 Saccharin 0.01/C8_02.tif </t>
  </si>
  <si>
    <t xml:space="preserve"> 4546.5348 </t>
  </si>
  <si>
    <t xml:space="preserve"> 68.9187 </t>
  </si>
  <si>
    <t xml:space="preserve">D:\images\2021-CHG-CBA-Saccharin 1\plaque 1/@08 Saccharin 0.01/C8_03.tif </t>
  </si>
  <si>
    <t xml:space="preserve"> 4764.0723 </t>
  </si>
  <si>
    <t xml:space="preserve"> 69.2237 </t>
  </si>
  <si>
    <t xml:space="preserve">D:\images\2021-CHG-CBA-Saccharin 1\plaque 1/@08 Saccharin 0.01/D8_01.tif </t>
  </si>
  <si>
    <t xml:space="preserve"> 13052.253 </t>
  </si>
  <si>
    <t xml:space="preserve"> 78.1633 </t>
  </si>
  <si>
    <t xml:space="preserve">D:\images\2021-CHG-CBA-Saccharin 1\plaque 1/@08 Saccharin 0.01/D8_02.tif </t>
  </si>
  <si>
    <t xml:space="preserve">D:\images\2021-CHG-CBA-Saccharin 1\plaque 1/@08 Saccharin 0.01/D8_03.tif </t>
  </si>
  <si>
    <t xml:space="preserve"> 15118.8597 </t>
  </si>
  <si>
    <t xml:space="preserve"> 80.2475 </t>
  </si>
  <si>
    <t xml:space="preserve">D:\images\2021-CHG-CBA-Saccharin 1\plaque 1/@08 Saccharin 0.01/E8_01.tif </t>
  </si>
  <si>
    <t xml:space="preserve"> 13878.8957 </t>
  </si>
  <si>
    <t xml:space="preserve"> 92.5893 </t>
  </si>
  <si>
    <t xml:space="preserve">D:\images\2021-CHG-CBA-Saccharin 1\plaque 1/@08 Saccharin 0.01/E8_02.tif </t>
  </si>
  <si>
    <t xml:space="preserve"> 14444.4933 </t>
  </si>
  <si>
    <t xml:space="preserve"> 100.3961 </t>
  </si>
  <si>
    <t>D:\images\2021-CHG-CBA-Saccharin 1\plaque 1/@08 Saccharin 0.01/E8_03- exclu.tif</t>
  </si>
  <si>
    <t xml:space="preserve">D:\images\2021-CHG-CBA-Saccharin 1\plaque 1/@08 Saccharin 0.01/F8_01.tif </t>
  </si>
  <si>
    <t xml:space="preserve"> 2479.9281 </t>
  </si>
  <si>
    <t xml:space="preserve"> 65.0965 </t>
  </si>
  <si>
    <t xml:space="preserve">D:\images\2021-CHG-CBA-Saccharin 1\plaque 1/@08 Saccharin 0.01/F8_02.tif </t>
  </si>
  <si>
    <t xml:space="preserve"> 2197.1293 </t>
  </si>
  <si>
    <t xml:space="preserve"> 64.1881 </t>
  </si>
  <si>
    <t xml:space="preserve">D:\images\2021-CHG-CBA-Saccharin 1\plaque 1/@08 Saccharin 0.01/F8_03.tif </t>
  </si>
  <si>
    <t xml:space="preserve"> 65.0423 </t>
  </si>
  <si>
    <t xml:space="preserve">D:\images\2021-CHG-CBA-Saccharin 1\plaque 1/@08 Saccharin 0.01/G8_01.tif </t>
  </si>
  <si>
    <t xml:space="preserve"> 1218.2103 </t>
  </si>
  <si>
    <t xml:space="preserve"> 63.6786 </t>
  </si>
  <si>
    <t xml:space="preserve">D:\images\2021-CHG-CBA-Saccharin 1\plaque 1/@08 Saccharin 0.01/G8_02.tif </t>
  </si>
  <si>
    <t xml:space="preserve"> 1109.4415 </t>
  </si>
  <si>
    <t xml:space="preserve"> 66.2157 </t>
  </si>
  <si>
    <t xml:space="preserve">D:\images\2021-CHG-CBA-Saccharin 1\plaque 1/@08 Saccharin 0.01/G8_03.tif </t>
  </si>
  <si>
    <t xml:space="preserve"> 826.6427 </t>
  </si>
  <si>
    <t xml:space="preserve"> 65.3947 </t>
  </si>
  <si>
    <t xml:space="preserve">D:\images\2021-CHG-CBA-Saccharin 1\plaque 1/@08 Saccharin 0.01/H8_01.tif </t>
  </si>
  <si>
    <t xml:space="preserve"> 4133.2135 </t>
  </si>
  <si>
    <t xml:space="preserve"> 65.8789 </t>
  </si>
  <si>
    <t xml:space="preserve">D:\images\2021-CHG-CBA-Saccharin 1\plaque 1/@08 Saccharin 0.01/H8_02.tif </t>
  </si>
  <si>
    <t xml:space="preserve"> 5438.4388 </t>
  </si>
  <si>
    <t xml:space="preserve"> 66.236 </t>
  </si>
  <si>
    <t xml:space="preserve">D:\images\2021-CHG-CBA-Saccharin 1\plaque 1/@08 Saccharin 0.01/H8_03.tif </t>
  </si>
  <si>
    <t xml:space="preserve"> 64.7356 </t>
  </si>
  <si>
    <t xml:space="preserve">D:\images\2021-CHG-CBA-Saccharin 1\plaque 1/@08 Saccharin 0.01/ </t>
  </si>
  <si>
    <t xml:space="preserve"> 69.5468 </t>
  </si>
  <si>
    <t xml:space="preserve"> 9.3729 </t>
  </si>
  <si>
    <t xml:space="preserve"> 368740.667 </t>
  </si>
  <si>
    <t xml:space="preserve"> 414524.299 </t>
  </si>
  <si>
    <t xml:space="preserve">D:\images\2021-CHG-CBA-Saccharin 1\plaque 1/@09 Saccharin 0.1/A9_01.tif </t>
  </si>
  <si>
    <t xml:space="preserve"> 1239.964 </t>
  </si>
  <si>
    <t xml:space="preserve"> 64.0351 </t>
  </si>
  <si>
    <t xml:space="preserve">D:\images\2021-CHG-CBA-Saccharin 1\plaque 1/@09 Saccharin 0.1/A9_02.tif </t>
  </si>
  <si>
    <t xml:space="preserve"> 1631.5316 </t>
  </si>
  <si>
    <t xml:space="preserve"> 66.76 </t>
  </si>
  <si>
    <t xml:space="preserve">D:\images\2021-CHG-CBA-Saccharin 1\plaque 1/@09 Saccharin 0.1/A9_03.tif </t>
  </si>
  <si>
    <t xml:space="preserve"> 891.904 </t>
  </si>
  <si>
    <t xml:space="preserve"> 65.8293 </t>
  </si>
  <si>
    <t xml:space="preserve">D:\images\2021-CHG-CBA-Saccharin 1\plaque 1/@09 Saccharin 0.1/B9_01.tif </t>
  </si>
  <si>
    <t xml:space="preserve"> 66.3152 </t>
  </si>
  <si>
    <t xml:space="preserve">D:\images\2021-CHG-CBA-Saccharin 1\plaque 1/@09 Saccharin 0.1/B9_02.tif </t>
  </si>
  <si>
    <t xml:space="preserve"> 652.6127 </t>
  </si>
  <si>
    <t xml:space="preserve"> 63.9 </t>
  </si>
  <si>
    <t xml:space="preserve">D:\images\2021-CHG-CBA-Saccharin 1\plaque 1/@09 Saccharin 0.1/B9_03.tif </t>
  </si>
  <si>
    <t xml:space="preserve"> 1588.0241 </t>
  </si>
  <si>
    <t xml:space="preserve"> 64.4932 </t>
  </si>
  <si>
    <t xml:space="preserve">D:\images\2021-CHG-CBA-Saccharin 1\plaque 1/@09 Saccharin 0.1/C9_01.tif </t>
  </si>
  <si>
    <t xml:space="preserve"> 935.4115 </t>
  </si>
  <si>
    <t xml:space="preserve"> 64.0233 </t>
  </si>
  <si>
    <t xml:space="preserve">D:\images\2021-CHG-CBA-Saccharin 1\plaque 1/@09 Saccharin 0.1/C9_02.tif </t>
  </si>
  <si>
    <t xml:space="preserve"> 1675.0391 </t>
  </si>
  <si>
    <t xml:space="preserve"> 65.1299 </t>
  </si>
  <si>
    <t xml:space="preserve">D:\images\2021-CHG-CBA-Saccharin 1\plaque 1/@09 Saccharin 0.1/C9_03.tif </t>
  </si>
  <si>
    <t xml:space="preserve"> 3850.4146 </t>
  </si>
  <si>
    <t xml:space="preserve"> 67.0226 </t>
  </si>
  <si>
    <t xml:space="preserve">D:\images\2021-CHG-CBA-Saccharin 1\plaque 1/@09 Saccharin 0.1/D9_01.tif </t>
  </si>
  <si>
    <t xml:space="preserve"> 63.4444 </t>
  </si>
  <si>
    <t>D:\images\2021-CHG-CBA-Saccharin 1\plaque 1/@09 Saccharin 0.1/D9_02- exclu.tif</t>
  </si>
  <si>
    <t xml:space="preserve">D:\images\2021-CHG-CBA-Saccharin 1\plaque 1/@09 Saccharin 0.1/D9_03.tif </t>
  </si>
  <si>
    <t xml:space="preserve"> 2414.6668 </t>
  </si>
  <si>
    <t xml:space="preserve"> 63.8649 </t>
  </si>
  <si>
    <t xml:space="preserve">D:\images\2021-CHG-CBA-Saccharin 1\plaque 1/@09 Saccharin 0.1/E9_01.tif </t>
  </si>
  <si>
    <t xml:space="preserve"> 6634.8953 </t>
  </si>
  <si>
    <t xml:space="preserve"> 74.0131 </t>
  </si>
  <si>
    <t xml:space="preserve">D:\images\2021-CHG-CBA-Saccharin 1\plaque 1/@09 Saccharin 0.1/E9_02.tif </t>
  </si>
  <si>
    <t xml:space="preserve"> 8636.2407 </t>
  </si>
  <si>
    <t xml:space="preserve">D:\images\2021-CHG-CBA-Saccharin 1\plaque 1/@09 Saccharin 0.1/E9_03.tif </t>
  </si>
  <si>
    <t xml:space="preserve"> 4002.6909 </t>
  </si>
  <si>
    <t xml:space="preserve"> 68.212 </t>
  </si>
  <si>
    <t xml:space="preserve">D:\images\2021-CHG-CBA-Saccharin 1\plaque 1/@09 Saccharin 0.1/F9_01.tif </t>
  </si>
  <si>
    <t xml:space="preserve"> 4263.736 </t>
  </si>
  <si>
    <t xml:space="preserve"> 68.5918 </t>
  </si>
  <si>
    <t xml:space="preserve">D:\images\2021-CHG-CBA-Saccharin 1\plaque 1/@09 Saccharin 0.1/F9_02.tif </t>
  </si>
  <si>
    <t xml:space="preserve"> 5547.2075 </t>
  </si>
  <si>
    <t xml:space="preserve"> 69.8627 </t>
  </si>
  <si>
    <t xml:space="preserve">D:\images\2021-CHG-CBA-Saccharin 1\plaque 1/@09 Saccharin 0.1/F9_03.tif </t>
  </si>
  <si>
    <t xml:space="preserve"> 3415.3395 </t>
  </si>
  <si>
    <t xml:space="preserve"> 65.1401 </t>
  </si>
  <si>
    <t xml:space="preserve">D:\images\2021-CHG-CBA-Saccharin 1\plaque 1/@09 Saccharin 0.1/G9_01.tif </t>
  </si>
  <si>
    <t xml:space="preserve"> 3371.832 </t>
  </si>
  <si>
    <t xml:space="preserve"> 65.1613 </t>
  </si>
  <si>
    <t>D:\images\2021-CHG-CBA-Saccharin 1\plaque 1/@09 Saccharin 0.1/G9_02- exclu.tif</t>
  </si>
  <si>
    <t xml:space="preserve">D:\images\2021-CHG-CBA-Saccharin 1\plaque 1/@09 Saccharin 0.1/G9_03.tif </t>
  </si>
  <si>
    <t xml:space="preserve"> 4394.2585 </t>
  </si>
  <si>
    <t xml:space="preserve"> 65.7525 </t>
  </si>
  <si>
    <t xml:space="preserve">D:\images\2021-CHG-CBA-Saccharin 1\plaque 1/@09 Saccharin 0.1/H9_01.tif </t>
  </si>
  <si>
    <t xml:space="preserve"> 63.4902 </t>
  </si>
  <si>
    <t xml:space="preserve">D:\images\2021-CHG-CBA-Saccharin 1\plaque 1/@09 Saccharin 0.1/H9_02.tif </t>
  </si>
  <si>
    <t xml:space="preserve"> 63.5978 </t>
  </si>
  <si>
    <t xml:space="preserve">D:\images\2021-CHG-CBA-Saccharin 1\plaque 1/@09 Saccharin 0.1/H9_03.tif </t>
  </si>
  <si>
    <t xml:space="preserve"> 64.3281 </t>
  </si>
  <si>
    <t xml:space="preserve">D:\images\2021-CHG-CBA-Saccharin 1\plaque 1/@09 Saccharin 0.1/ </t>
  </si>
  <si>
    <t xml:space="preserve"> 65.7631 </t>
  </si>
  <si>
    <t xml:space="preserve"> 2.666 </t>
  </si>
  <si>
    <t xml:space="preserve"> 178309.083 </t>
  </si>
  <si>
    <t xml:space="preserve"> 150267.606 </t>
  </si>
  <si>
    <t xml:space="preserve">D:\images\2021-CHG-CBA-Saccharin 1\plaque 1/@10 Saccharin 1/A10_01.tif </t>
  </si>
  <si>
    <t xml:space="preserve"> 6112.8052 </t>
  </si>
  <si>
    <t xml:space="preserve"> 70.4057 </t>
  </si>
  <si>
    <t xml:space="preserve">D:\images\2021-CHG-CBA-Saccharin 1\plaque 1/@10 Saccharin 1/A10_02.tif </t>
  </si>
  <si>
    <t xml:space="preserve"> 543.8439 </t>
  </si>
  <si>
    <t xml:space="preserve"> 62.16 </t>
  </si>
  <si>
    <t>D:\images\2021-CHG-CBA-Saccharin 1\plaque 1/@10 Saccharin 1/A10_03- exclu.tif</t>
  </si>
  <si>
    <t xml:space="preserve">D:\images\2021-CHG-CBA-Saccharin 1\plaque 1/@10 Saccharin 1/B10_01.tif </t>
  </si>
  <si>
    <t xml:space="preserve"> 6373.8502 </t>
  </si>
  <si>
    <t xml:space="preserve"> 70.3174 </t>
  </si>
  <si>
    <t xml:space="preserve">D:\images\2021-CHG-CBA-Saccharin 1\plaque 1/@10 Saccharin 1/B10_02.tif </t>
  </si>
  <si>
    <t xml:space="preserve"> 5286.1625 </t>
  </si>
  <si>
    <t xml:space="preserve"> 68.8971 </t>
  </si>
  <si>
    <t>D:\images\2021-CHG-CBA-Saccharin 1\plaque 1/@10 Saccharin 1/B10_03- exclu.tif</t>
  </si>
  <si>
    <t xml:space="preserve">D:\images\2021-CHG-CBA-Saccharin 1\plaque 1/@10 Saccharin 1/C10_01.tif </t>
  </si>
  <si>
    <t xml:space="preserve"> 64.7595 </t>
  </si>
  <si>
    <t>D:\images\2021-CHG-CBA-Saccharin 1\plaque 1/@10 Saccharin 1/C10_02- exclu.tif</t>
  </si>
  <si>
    <t xml:space="preserve">D:\images\2021-CHG-CBA-Saccharin 1\plaque 1/@10 Saccharin 1/C10_03.tif </t>
  </si>
  <si>
    <t xml:space="preserve"> 2153.6217 </t>
  </si>
  <si>
    <t xml:space="preserve"> 66.7778 </t>
  </si>
  <si>
    <t xml:space="preserve">D:\images\2021-CHG-CBA-Saccharin 1\plaque 1/@10 Saccharin 1/D10_01.tif </t>
  </si>
  <si>
    <t xml:space="preserve"> 63.8904 </t>
  </si>
  <si>
    <t xml:space="preserve">D:\images\2021-CHG-CBA-Saccharin 1\plaque 1/@10 Saccharin 1/D10_02.tif </t>
  </si>
  <si>
    <t xml:space="preserve"> 64.186 </t>
  </si>
  <si>
    <t xml:space="preserve">D:\images\2021-CHG-CBA-Saccharin 1\plaque 1/@10 Saccharin 1/D10_03.tif </t>
  </si>
  <si>
    <t xml:space="preserve"> 804.8889 </t>
  </si>
  <si>
    <t xml:space="preserve"> 62.3784 </t>
  </si>
  <si>
    <t xml:space="preserve">D:\images\2021-CHG-CBA-Saccharin 1\plaque 1/@10 Saccharin 1/E10_01.tif </t>
  </si>
  <si>
    <t xml:space="preserve"> 68.3182 </t>
  </si>
  <si>
    <t xml:space="preserve">D:\images\2021-CHG-CBA-Saccharin 1\plaque 1/@10 Saccharin 1/E10_02.tif </t>
  </si>
  <si>
    <t xml:space="preserve"> 2305.898 </t>
  </si>
  <si>
    <t xml:space="preserve"> 65.3113 </t>
  </si>
  <si>
    <t xml:space="preserve">D:\images\2021-CHG-CBA-Saccharin 1\plaque 1/@10 Saccharin 1/E10_03.tif </t>
  </si>
  <si>
    <t xml:space="preserve"> 1849.0692 </t>
  </si>
  <si>
    <t xml:space="preserve"> 65.7412 </t>
  </si>
  <si>
    <t xml:space="preserve">D:\images\2021-CHG-CBA-Saccharin 1\plaque 1/@10 Saccharin 1/F10_01.tif </t>
  </si>
  <si>
    <t xml:space="preserve"> 957.1652 </t>
  </si>
  <si>
    <t xml:space="preserve"> 66.6364 </t>
  </si>
  <si>
    <t xml:space="preserve">D:\images\2021-CHG-CBA-Saccharin 1\plaque 1/@10 Saccharin 1/F10_02.tif </t>
  </si>
  <si>
    <t xml:space="preserve"> 1609.7779 </t>
  </si>
  <si>
    <t xml:space="preserve"> 64.3108 </t>
  </si>
  <si>
    <t xml:space="preserve">D:\images\2021-CHG-CBA-Saccharin 1\plaque 1/@10 Saccharin 1/F10_03.tif </t>
  </si>
  <si>
    <t xml:space="preserve">D:\images\2021-CHG-CBA-Saccharin 1\plaque 1/@10 Saccharin 1/G10_01.tif </t>
  </si>
  <si>
    <t xml:space="preserve">D:\images\2021-CHG-CBA-Saccharin 1\plaque 1/@10 Saccharin 1/G10_02.tif </t>
  </si>
  <si>
    <t xml:space="preserve"> 1783.8079 </t>
  </si>
  <si>
    <t xml:space="preserve"> 65.0854 </t>
  </si>
  <si>
    <t xml:space="preserve">D:\images\2021-CHG-CBA-Saccharin 1\plaque 1/@10 Saccharin 1/G10_03.tif </t>
  </si>
  <si>
    <t xml:space="preserve"> 65.931 </t>
  </si>
  <si>
    <t xml:space="preserve">D:\images\2021-CHG-CBA-Saccharin 1\plaque 1/@10 Saccharin 1/H10_01.tif </t>
  </si>
  <si>
    <t xml:space="preserve"> 63.2549 </t>
  </si>
  <si>
    <t xml:space="preserve">D:\images\2021-CHG-CBA-Saccharin 1\plaque 1/@10 Saccharin 1/H10_02.tif </t>
  </si>
  <si>
    <t xml:space="preserve"> 64.371 </t>
  </si>
  <si>
    <t xml:space="preserve">D:\images\2021-CHG-CBA-Saccharin 1\plaque 1/@10 Saccharin 1/H10_03.tif </t>
  </si>
  <si>
    <t xml:space="preserve"> 913.6577 </t>
  </si>
  <si>
    <t xml:space="preserve">D:\images\2021-CHG-CBA-Saccharin 1\plaque 1/@10 Saccharin 1/ </t>
  </si>
  <si>
    <t xml:space="preserve"> 65.5464 </t>
  </si>
  <si>
    <t xml:space="preserve"> 2.489 </t>
  </si>
  <si>
    <t xml:space="preserve"> 135999.042 </t>
  </si>
  <si>
    <t xml:space="preserve"> 128023.642 </t>
  </si>
  <si>
    <t xml:space="preserve">D:\images\2021-CHG-CBA-Saccharin 1\plaque 1/@11 Saccharin 10/A11_01.tif </t>
  </si>
  <si>
    <t xml:space="preserve"> 1152.949 </t>
  </si>
  <si>
    <t xml:space="preserve"> 63.1509 </t>
  </si>
  <si>
    <t xml:space="preserve">D:\images\2021-CHG-CBA-Saccharin 1\plaque 1/@11 Saccharin 10/A11_02.tif </t>
  </si>
  <si>
    <t xml:space="preserve"> 64.975 </t>
  </si>
  <si>
    <t xml:space="preserve">D:\images\2021-CHG-CBA-Saccharin 1\plaque 1/@11 Saccharin 10/A11_03.tif </t>
  </si>
  <si>
    <t xml:space="preserve"> 1283.4715 </t>
  </si>
  <si>
    <t xml:space="preserve"> 63.9322 </t>
  </si>
  <si>
    <t xml:space="preserve">D:\images\2021-CHG-CBA-Saccharin 1\plaque 1/@11 Saccharin 10/B11_01.tif </t>
  </si>
  <si>
    <t xml:space="preserve"> 63.2623 </t>
  </si>
  <si>
    <t xml:space="preserve">D:\images\2021-CHG-CBA-Saccharin 1\plaque 1/@11 Saccharin 10/B11_02.tif </t>
  </si>
  <si>
    <t xml:space="preserve"> 348.0601 </t>
  </si>
  <si>
    <t xml:space="preserve">D:\images\2021-CHG-CBA-Saccharin 1\plaque 1/@11 Saccharin 10/B11_03.tif </t>
  </si>
  <si>
    <t xml:space="preserve"> 66.9062 </t>
  </si>
  <si>
    <t>D:\images\2021-CHG-CBA-Saccharin 1\plaque 1/@11 Saccharin 10/C11_01- exclu.tif</t>
  </si>
  <si>
    <t>D:\images\2021-CHG-CBA-Saccharin 1\plaque 1/@11 Saccharin 10/C11_02- exclu.tif</t>
  </si>
  <si>
    <t>D:\images\2021-CHG-CBA-Saccharin 1\plaque 1/@11 Saccharin 10/C11_03- exclu.tif</t>
  </si>
  <si>
    <t xml:space="preserve">D:\images\2021-CHG-CBA-Saccharin 1\plaque 1/@11 Saccharin 10/D11_01.tif </t>
  </si>
  <si>
    <t xml:space="preserve"> 63.6667 </t>
  </si>
  <si>
    <t xml:space="preserve">D:\images\2021-CHG-CBA-Saccharin 1\plaque 1/@11 Saccharin 10/D11_02.tif </t>
  </si>
  <si>
    <t xml:space="preserve"> 1000.6727 </t>
  </si>
  <si>
    <t xml:space="preserve"> 64.1304 </t>
  </si>
  <si>
    <t xml:space="preserve">D:\images\2021-CHG-CBA-Saccharin 1\plaque 1/@11 Saccharin 10/D11_03.tif </t>
  </si>
  <si>
    <t xml:space="preserve"> 1065.934 </t>
  </si>
  <si>
    <t xml:space="preserve"> 63.7755 </t>
  </si>
  <si>
    <t xml:space="preserve">D:\images\2021-CHG-CBA-Saccharin 1\plaque 1/@11 Saccharin 10/E11_01.tif </t>
  </si>
  <si>
    <t xml:space="preserve"> 3437.0933 </t>
  </si>
  <si>
    <t xml:space="preserve"> 63.5886 </t>
  </si>
  <si>
    <t xml:space="preserve">D:\images\2021-CHG-CBA-Saccharin 1\plaque 1/@11 Saccharin 10/E11_02.tif </t>
  </si>
  <si>
    <t xml:space="preserve"> 1696.7929 </t>
  </si>
  <si>
    <t xml:space="preserve"> 63.7179 </t>
  </si>
  <si>
    <t xml:space="preserve">D:\images\2021-CHG-CBA-Saccharin 1\plaque 1/@11 Saccharin 10/E11_03.tif </t>
  </si>
  <si>
    <t xml:space="preserve"> 1936.0842 </t>
  </si>
  <si>
    <t xml:space="preserve"> 63.4045 </t>
  </si>
  <si>
    <t xml:space="preserve">D:\images\2021-CHG-CBA-Saccharin 1\plaque 1/@11 Saccharin 10/F11_01.tif </t>
  </si>
  <si>
    <t xml:space="preserve"> 64.8409 </t>
  </si>
  <si>
    <t xml:space="preserve">D:\images\2021-CHG-CBA-Saccharin 1\plaque 1/@11 Saccharin 10/F11_02.tif </t>
  </si>
  <si>
    <t xml:space="preserve"> 64.3617 </t>
  </si>
  <si>
    <t xml:space="preserve">D:\images\2021-CHG-CBA-Saccharin 1\plaque 1/@11 Saccharin 10/F11_03.tif </t>
  </si>
  <si>
    <t xml:space="preserve"> 67.4013 </t>
  </si>
  <si>
    <t xml:space="preserve">D:\images\2021-CHG-CBA-Saccharin 1\plaque 1/@11 Saccharin 10/G11_01.tif </t>
  </si>
  <si>
    <t xml:space="preserve"> 2523.4356 </t>
  </si>
  <si>
    <t xml:space="preserve"> 65.569 </t>
  </si>
  <si>
    <t xml:space="preserve">D:\images\2021-CHG-CBA-Saccharin 1\plaque 1/@11 Saccharin 10/G11_02.tif </t>
  </si>
  <si>
    <t xml:space="preserve"> 2088.3605 </t>
  </si>
  <si>
    <t xml:space="preserve"> 64.6146 </t>
  </si>
  <si>
    <t xml:space="preserve">D:\images\2021-CHG-CBA-Saccharin 1\plaque 1/@11 Saccharin 10/G11_03.tif </t>
  </si>
  <si>
    <t xml:space="preserve"> 1566.2704 </t>
  </si>
  <si>
    <t xml:space="preserve"> 65.7361 </t>
  </si>
  <si>
    <t xml:space="preserve">D:\images\2021-CHG-CBA-Saccharin 1\plaque 1/@11 Saccharin 10/H11_01.tif </t>
  </si>
  <si>
    <t xml:space="preserve"> 67.6923 </t>
  </si>
  <si>
    <t xml:space="preserve">D:\images\2021-CHG-CBA-Saccharin 1\plaque 1/@11 Saccharin 10/H11_02.tif </t>
  </si>
  <si>
    <t xml:space="preserve"> 64.8272 </t>
  </si>
  <si>
    <t xml:space="preserve">D:\images\2021-CHG-CBA-Saccharin 1\plaque 1/@11 Saccharin 10/H11_03.tif </t>
  </si>
  <si>
    <t xml:space="preserve"> 63.6216 </t>
  </si>
  <si>
    <t xml:space="preserve">D:\images\2021-CHG-CBA-Saccharin 1\plaque 1/@11 Saccharin 10/ </t>
  </si>
  <si>
    <t xml:space="preserve"> 67.7648 </t>
  </si>
  <si>
    <t xml:space="preserve"> 8.7479 </t>
  </si>
  <si>
    <t xml:space="preserve"> 262016.75 </t>
  </si>
  <si>
    <t xml:space="preserve"> 385449.829 </t>
  </si>
  <si>
    <t xml:space="preserve">D:\images\2021-CHG-CBA-Saccharin 1\plaque 1/@12 Saccharin 100/A12_01.tif </t>
  </si>
  <si>
    <t xml:space="preserve">D:\images\2021-CHG-CBA-Saccharin 1\plaque 1/@12 Saccharin 100/A12_02.tif </t>
  </si>
  <si>
    <t xml:space="preserve"> 63.9194 </t>
  </si>
  <si>
    <t xml:space="preserve">D:\images\2021-CHG-CBA-Saccharin 1\plaque 1/@12 Saccharin 100/A12_03.tif </t>
  </si>
  <si>
    <t xml:space="preserve"> 63.9545 </t>
  </si>
  <si>
    <t>D:\images\2021-CHG-CBA-Saccharin 1\plaque 1/@12 Saccharin 100/B12_01- exclu.tif</t>
  </si>
  <si>
    <t xml:space="preserve">D:\images\2021-CHG-CBA-Saccharin 1\plaque 1/@12 Saccharin 100/B12_02.tif </t>
  </si>
  <si>
    <t xml:space="preserve"> 108.7688 </t>
  </si>
  <si>
    <t xml:space="preserve"> 65.4 </t>
  </si>
  <si>
    <t xml:space="preserve">D:\images\2021-CHG-CBA-Saccharin 1\plaque 1/@12 Saccharin 100/B12_03.tif </t>
  </si>
  <si>
    <t xml:space="preserve"> 2697.4656 </t>
  </si>
  <si>
    <t xml:space="preserve"> 65.9677 </t>
  </si>
  <si>
    <t xml:space="preserve">D:\images\2021-CHG-CBA-Saccharin 1\plaque 1/@12 Saccharin 100/C12_01.tif </t>
  </si>
  <si>
    <t xml:space="preserve"> 848.3964 </t>
  </si>
  <si>
    <t xml:space="preserve">D:\images\2021-CHG-CBA-Saccharin 1\plaque 1/@12 Saccharin 100/C12_02.tif </t>
  </si>
  <si>
    <t xml:space="preserve"> 63.2308 </t>
  </si>
  <si>
    <t xml:space="preserve">D:\images\2021-CHG-CBA-Saccharin 1\plaque 1/@12 Saccharin 100/C12_03.tif </t>
  </si>
  <si>
    <t xml:space="preserve"> 717.8739 </t>
  </si>
  <si>
    <t xml:space="preserve"> 64.2727 </t>
  </si>
  <si>
    <t xml:space="preserve">D:\images\2021-CHG-CBA-Saccharin 1\plaque 1/@12 Saccharin 100/D12_01.tif </t>
  </si>
  <si>
    <t xml:space="preserve"> 2501.6818 </t>
  </si>
  <si>
    <t xml:space="preserve"> 64.7304 </t>
  </si>
  <si>
    <t xml:space="preserve">D:\images\2021-CHG-CBA-Saccharin 1\plaque 1/@12 Saccharin 100/D12_02.tif </t>
  </si>
  <si>
    <t xml:space="preserve"> 63.1 </t>
  </si>
  <si>
    <t>D:\images\2021-CHG-CBA-Saccharin 1\plaque 1/@12 Saccharin 100/D12_03- exclu.tif</t>
  </si>
  <si>
    <t xml:space="preserve">D:\images\2021-CHG-CBA-Saccharin 1\plaque 1/@12 Saccharin 100/E12_01.tif </t>
  </si>
  <si>
    <t xml:space="preserve"> 1174.7028 </t>
  </si>
  <si>
    <t xml:space="preserve"> 63.3889 </t>
  </si>
  <si>
    <t xml:space="preserve">D:\images\2021-CHG-CBA-Saccharin 1\plaque 1/@12 Saccharin 100/E12_02.tif </t>
  </si>
  <si>
    <t xml:space="preserve"> 783.1352 </t>
  </si>
  <si>
    <t xml:space="preserve"> 64.5278 </t>
  </si>
  <si>
    <t xml:space="preserve">D:\images\2021-CHG-CBA-Saccharin 1\plaque 1/@12 Saccharin 100/E12_03.tif </t>
  </si>
  <si>
    <t xml:space="preserve"> 64.2963 </t>
  </si>
  <si>
    <t xml:space="preserve">D:\images\2021-CHG-CBA-Saccharin 1\plaque 1/@12 Saccharin 100/F12_01.tif </t>
  </si>
  <si>
    <t xml:space="preserve"> 66.1061 </t>
  </si>
  <si>
    <t xml:space="preserve">D:\images\2021-CHG-CBA-Saccharin 1\plaque 1/@12 Saccharin 100/F12_02.tif </t>
  </si>
  <si>
    <t xml:space="preserve"> 68.622 </t>
  </si>
  <si>
    <t xml:space="preserve">D:\images\2021-CHG-CBA-Saccharin 1\plaque 1/@12 Saccharin 100/F12_03.tif </t>
  </si>
  <si>
    <t xml:space="preserve"> 66.1415 </t>
  </si>
  <si>
    <t xml:space="preserve">D:\images\2021-CHG-CBA-Saccharin 1\plaque 1/@12 Saccharin 100/G12_01.tif </t>
  </si>
  <si>
    <t xml:space="preserve">D:\images\2021-CHG-CBA-Saccharin 1\plaque 1/@12 Saccharin 100/G12_02.tif </t>
  </si>
  <si>
    <t xml:space="preserve">D:\images\2021-CHG-CBA-Saccharin 1\plaque 1/@12 Saccharin 100/G12_03.tif </t>
  </si>
  <si>
    <t xml:space="preserve"> 64.7037 </t>
  </si>
  <si>
    <t xml:space="preserve">D:\images\2021-CHG-CBA-Saccharin 1\plaque 1/@12 Saccharin 100/H12_01.tif </t>
  </si>
  <si>
    <t xml:space="preserve"> 4611.7961 </t>
  </si>
  <si>
    <t xml:space="preserve"> 67.3443 </t>
  </si>
  <si>
    <t xml:space="preserve">D:\images\2021-CHG-CBA-Saccharin 1\plaque 1/@12 Saccharin 100/H12_02.tif </t>
  </si>
  <si>
    <t xml:space="preserve"> 4481.2735 </t>
  </si>
  <si>
    <t xml:space="preserve"> 68.0825 </t>
  </si>
  <si>
    <t xml:space="preserve">D:\images\2021-CHG-CBA-Saccharin 1\plaque 1/@12 Saccharin 100/H12_03.tif </t>
  </si>
  <si>
    <t xml:space="preserve"> 4024.4447 </t>
  </si>
  <si>
    <t xml:space="preserve"> 67.7189 </t>
  </si>
  <si>
    <t xml:space="preserve">D:\images\2021-CHG-CBA-Saccharin 1\plaque 1/@12 Saccharin 100/ </t>
  </si>
  <si>
    <t xml:space="preserve"> 65.0017 </t>
  </si>
  <si>
    <t xml:space="preserve"> 1.8254 </t>
  </si>
  <si>
    <t xml:space="preserve"> 102767.542 </t>
  </si>
  <si>
    <t xml:space="preserve"> 93679.4552 </t>
  </si>
  <si>
    <t xml:space="preserve">D:\images\2021-CHG-CBA-Saccharin 1\plaque 2/@13 TESTO 30/A1_01.tif </t>
  </si>
  <si>
    <t xml:space="preserve"> 35241.0831 </t>
  </si>
  <si>
    <t xml:space="preserve"> 72.3105 </t>
  </si>
  <si>
    <t xml:space="preserve">D:\images\2021-CHG-CBA-Saccharin 1\plaque 2/@13 TESTO 30/A1_02.tif </t>
  </si>
  <si>
    <t xml:space="preserve"> 33196.2301 </t>
  </si>
  <si>
    <t xml:space="preserve"> 69.5216 </t>
  </si>
  <si>
    <t xml:space="preserve">D:\images\2021-CHG-CBA-Saccharin 1\plaque 2/@13 TESTO 30/A1_03.tif </t>
  </si>
  <si>
    <t xml:space="preserve"> 31695.221 </t>
  </si>
  <si>
    <t xml:space="preserve"> 69.1332 </t>
  </si>
  <si>
    <t xml:space="preserve">D:\images\2021-CHG-CBA-Saccharin 1\plaque 2/@13 TESTO 30/B1_01.tif </t>
  </si>
  <si>
    <t xml:space="preserve"> 40287.9543 </t>
  </si>
  <si>
    <t xml:space="preserve"> 73.3591 </t>
  </si>
  <si>
    <t xml:space="preserve">D:\images\2021-CHG-CBA-Saccharin 1\plaque 2/@13 TESTO 30/B1_02.tif </t>
  </si>
  <si>
    <t xml:space="preserve"> 32717.6475 </t>
  </si>
  <si>
    <t xml:space="preserve"> 73.6769 </t>
  </si>
  <si>
    <t xml:space="preserve">D:\images\2021-CHG-CBA-Saccharin 1\plaque 2/@13 TESTO 30/B1_03.tif </t>
  </si>
  <si>
    <t xml:space="preserve"> 36633.3234 </t>
  </si>
  <si>
    <t xml:space="preserve"> 71.9394 </t>
  </si>
  <si>
    <t xml:space="preserve">D:\images\2021-CHG-CBA-Saccharin 1\plaque 2/@13 TESTO 30/C1_01.tif </t>
  </si>
  <si>
    <t xml:space="preserve"> 25190.8483 </t>
  </si>
  <si>
    <t xml:space="preserve"> 66.5466 </t>
  </si>
  <si>
    <t xml:space="preserve">D:\images\2021-CHG-CBA-Saccharin 1\plaque 2/@13 TESTO 30/C1_02.tif </t>
  </si>
  <si>
    <t xml:space="preserve"> 25952.2297 </t>
  </si>
  <si>
    <t xml:space="preserve"> 66.622 </t>
  </si>
  <si>
    <t xml:space="preserve">D:\images\2021-CHG-CBA-Saccharin 1\plaque 2/@13 TESTO 30/C1_03.tif </t>
  </si>
  <si>
    <t xml:space="preserve"> 23711.593 </t>
  </si>
  <si>
    <t xml:space="preserve"> 67.4284 </t>
  </si>
  <si>
    <t xml:space="preserve">D:\images\2021-CHG-CBA-Saccharin 1\plaque 2/@13 TESTO 30/D1_01.tif </t>
  </si>
  <si>
    <t xml:space="preserve"> 25386.6321 </t>
  </si>
  <si>
    <t xml:space="preserve"> 68.3445 </t>
  </si>
  <si>
    <t xml:space="preserve">D:\images\2021-CHG-CBA-Saccharin 1\plaque 2/@13 TESTO 30/D1_02.tif </t>
  </si>
  <si>
    <t xml:space="preserve"> 30346.4882 </t>
  </si>
  <si>
    <t xml:space="preserve"> 69.5168 </t>
  </si>
  <si>
    <t xml:space="preserve">D:\images\2021-CHG-CBA-Saccharin 1\plaque 2/@13 TESTO 30/D1_03.tif </t>
  </si>
  <si>
    <t xml:space="preserve"> 27257.455 </t>
  </si>
  <si>
    <t xml:space="preserve"> 68.2873 </t>
  </si>
  <si>
    <t xml:space="preserve">D:\images\2021-CHG-CBA-Saccharin 1\plaque 2/@13 TESTO 30/E1_01.tif </t>
  </si>
  <si>
    <t xml:space="preserve"> 26713.6111 </t>
  </si>
  <si>
    <t xml:space="preserve"> 67.8388 </t>
  </si>
  <si>
    <t xml:space="preserve">D:\images\2021-CHG-CBA-Saccharin 1\plaque 2/@13 TESTO 30/E1_02.tif </t>
  </si>
  <si>
    <t xml:space="preserve"> 31608.206 </t>
  </si>
  <si>
    <t xml:space="preserve"> 69.543 </t>
  </si>
  <si>
    <t xml:space="preserve">D:\images\2021-CHG-CBA-Saccharin 1\plaque 2/@13 TESTO 30/E1_03.tif </t>
  </si>
  <si>
    <t xml:space="preserve"> 26670.1036 </t>
  </si>
  <si>
    <t xml:space="preserve"> 68.8883 </t>
  </si>
  <si>
    <t xml:space="preserve">D:\images\2021-CHG-CBA-Saccharin 1\plaque 2/@13 TESTO 30/F1_01.tif </t>
  </si>
  <si>
    <t xml:space="preserve"> 8679.7482 </t>
  </si>
  <si>
    <t xml:space="preserve"> 66.0376 </t>
  </si>
  <si>
    <t xml:space="preserve">D:\images\2021-CHG-CBA-Saccharin 1\plaque 2/@13 TESTO 30/F1_02.tif </t>
  </si>
  <si>
    <t xml:space="preserve"> 64.2452 </t>
  </si>
  <si>
    <t>D:\images\2021-CHG-CBA-Saccharin 1\plaque 2/@13 TESTO 30/F1_03- exclu.tif</t>
  </si>
  <si>
    <t xml:space="preserve">D:\images\2021-CHG-CBA-Saccharin 1\plaque 2/@13 TESTO 30/G1_01.tif </t>
  </si>
  <si>
    <t xml:space="preserve"> 31151.3772 </t>
  </si>
  <si>
    <t xml:space="preserve"> 71.0482 </t>
  </si>
  <si>
    <t xml:space="preserve">D:\images\2021-CHG-CBA-Saccharin 1\plaque 2/@13 TESTO 30/G1_02.tif </t>
  </si>
  <si>
    <t xml:space="preserve"> 33326.7527 </t>
  </si>
  <si>
    <t xml:space="preserve"> 72.3956 </t>
  </si>
  <si>
    <t xml:space="preserve">D:\images\2021-CHG-CBA-Saccharin 1\plaque 2/@13 TESTO 30/G1_03.tif </t>
  </si>
  <si>
    <t xml:space="preserve"> 34523.2092 </t>
  </si>
  <si>
    <t xml:space="preserve"> 70.7398 </t>
  </si>
  <si>
    <t xml:space="preserve">D:\images\2021-CHG-CBA-Saccharin 1\plaque 2/@13 TESTO 30/H1_01.tif </t>
  </si>
  <si>
    <t xml:space="preserve"> 37590.4886 </t>
  </si>
  <si>
    <t xml:space="preserve"> 73.9948 </t>
  </si>
  <si>
    <t xml:space="preserve">D:\images\2021-CHG-CBA-Saccharin 1\plaque 2/@13 TESTO 30/H1_02.tif </t>
  </si>
  <si>
    <t xml:space="preserve"> 33566.044 </t>
  </si>
  <si>
    <t xml:space="preserve"> 69.7764 </t>
  </si>
  <si>
    <t xml:space="preserve">D:\images\2021-CHG-CBA-Saccharin 1\plaque 2/@13 TESTO 30/H1_03.tif </t>
  </si>
  <si>
    <t xml:space="preserve"> 42724.3748 </t>
  </si>
  <si>
    <t xml:space="preserve"> 70.8274 </t>
  </si>
  <si>
    <t xml:space="preserve">D:\images\2021-CHG-CBA-Saccharin 1\plaque 2/@13 TESTO 30/ </t>
  </si>
  <si>
    <t xml:space="preserve"> 69.4362 </t>
  </si>
  <si>
    <t xml:space="preserve"> 2.7421 </t>
  </si>
  <si>
    <t xml:space="preserve"> 1988478.08 </t>
  </si>
  <si>
    <t xml:space="preserve"> 764374.84 </t>
  </si>
  <si>
    <t xml:space="preserve">D:\images\2021-CHG-CBA-Saccharin 1\plaque 2/@14 TESTO 30/A2_01.tif </t>
  </si>
  <si>
    <t xml:space="preserve"> 43790.3088 </t>
  </si>
  <si>
    <t xml:space="preserve"> 79.4441 </t>
  </si>
  <si>
    <t xml:space="preserve">D:\images\2021-CHG-CBA-Saccharin 1\plaque 2/@14 TESTO 30/A2_02.tif </t>
  </si>
  <si>
    <t xml:space="preserve"> 40570.7531 </t>
  </si>
  <si>
    <t xml:space="preserve"> 81.6021 </t>
  </si>
  <si>
    <t xml:space="preserve">D:\images\2021-CHG-CBA-Saccharin 1\plaque 2/@14 TESTO 30/A2_03.tif </t>
  </si>
  <si>
    <t xml:space="preserve"> 38699.9302 </t>
  </si>
  <si>
    <t xml:space="preserve"> 81.3052 </t>
  </si>
  <si>
    <t xml:space="preserve">D:\images\2021-CHG-CBA-Saccharin 1\plaque 2/@14 TESTO 30/B2_01.tif </t>
  </si>
  <si>
    <t xml:space="preserve"> 53100.916 </t>
  </si>
  <si>
    <t xml:space="preserve"> 73.7964 </t>
  </si>
  <si>
    <t xml:space="preserve">D:\images\2021-CHG-CBA-Saccharin 1\plaque 2/@14 TESTO 30/B2_02.tif </t>
  </si>
  <si>
    <t xml:space="preserve"> 47618.9697 </t>
  </si>
  <si>
    <t xml:space="preserve"> 75.2312 </t>
  </si>
  <si>
    <t xml:space="preserve">D:\images\2021-CHG-CBA-Saccharin 1\plaque 2/@14 TESTO 30/B2_03.tif </t>
  </si>
  <si>
    <t xml:space="preserve"> 45269.5642 </t>
  </si>
  <si>
    <t xml:space="preserve"> 72.1605 </t>
  </si>
  <si>
    <t xml:space="preserve">D:\images\2021-CHG-CBA-Saccharin 1\plaque 2/@14 TESTO 30/C2_01.tif </t>
  </si>
  <si>
    <t xml:space="preserve"> 24951.557 </t>
  </si>
  <si>
    <t xml:space="preserve"> 70.4394 </t>
  </si>
  <si>
    <t xml:space="preserve">D:\images\2021-CHG-CBA-Saccharin 1\plaque 2/@14 TESTO 30/C2_02.tif </t>
  </si>
  <si>
    <t xml:space="preserve"> 21688.4937 </t>
  </si>
  <si>
    <t xml:space="preserve"> 68.4473 </t>
  </si>
  <si>
    <t xml:space="preserve">D:\images\2021-CHG-CBA-Saccharin 1\plaque 2/@14 TESTO 30/C2_03.tif </t>
  </si>
  <si>
    <t xml:space="preserve"> 24668.7582 </t>
  </si>
  <si>
    <t xml:space="preserve"> 69.7919 </t>
  </si>
  <si>
    <t xml:space="preserve">D:\images\2021-CHG-CBA-Saccharin 1\plaque 2/@14 TESTO 30/D2_01.tif </t>
  </si>
  <si>
    <t xml:space="preserve"> 15749.7186 </t>
  </si>
  <si>
    <t xml:space="preserve"> 71.7182 </t>
  </si>
  <si>
    <t xml:space="preserve">D:\images\2021-CHG-CBA-Saccharin 1\plaque 2/@14 TESTO 30/D2_02.tif </t>
  </si>
  <si>
    <t xml:space="preserve"> 23646.3317 </t>
  </si>
  <si>
    <t xml:space="preserve"> 72.2162 </t>
  </si>
  <si>
    <t>D:\images\2021-CHG-CBA-Saccharin 1\plaque 2/@14 TESTO 30/D2_03- exclu.tif</t>
  </si>
  <si>
    <t xml:space="preserve">D:\images\2021-CHG-CBA-Saccharin 1\plaque 2/@14 TESTO 30/E2_01.tif </t>
  </si>
  <si>
    <t xml:space="preserve"> 19556.6257 </t>
  </si>
  <si>
    <t xml:space="preserve"> 73.2236 </t>
  </si>
  <si>
    <t xml:space="preserve">D:\images\2021-CHG-CBA-Saccharin 1\plaque 2/@14 TESTO 30/E2_02.tif </t>
  </si>
  <si>
    <t xml:space="preserve"> 17859.8329 </t>
  </si>
  <si>
    <t xml:space="preserve"> 68.0171 </t>
  </si>
  <si>
    <t xml:space="preserve">D:\images\2021-CHG-CBA-Saccharin 1\plaque 2/@14 TESTO 30/E2_03.tif </t>
  </si>
  <si>
    <t xml:space="preserve"> 12530.1629 </t>
  </si>
  <si>
    <t xml:space="preserve"> 65.0295 </t>
  </si>
  <si>
    <t xml:space="preserve">D:\images\2021-CHG-CBA-Saccharin 1\plaque 2/@14 TESTO 30/F2_01.tif </t>
  </si>
  <si>
    <t xml:space="preserve"> 29237.0467 </t>
  </si>
  <si>
    <t xml:space="preserve"> 71.657 </t>
  </si>
  <si>
    <t xml:space="preserve">D:\images\2021-CHG-CBA-Saccharin 1\plaque 2/@14 TESTO 30/F2_02.tif </t>
  </si>
  <si>
    <t xml:space="preserve"> 31716.9748 </t>
  </si>
  <si>
    <t xml:space="preserve"> 72.0288 </t>
  </si>
  <si>
    <t xml:space="preserve">D:\images\2021-CHG-CBA-Saccharin 1\plaque 2/@14 TESTO 30/F2_03.tif </t>
  </si>
  <si>
    <t xml:space="preserve"> 34479.7017 </t>
  </si>
  <si>
    <t xml:space="preserve"> 71.5098 </t>
  </si>
  <si>
    <t xml:space="preserve">D:\images\2021-CHG-CBA-Saccharin 1\plaque 2/@14 TESTO 30/G2_01.tif </t>
  </si>
  <si>
    <t xml:space="preserve"> 36241.7558 </t>
  </si>
  <si>
    <t xml:space="preserve"> 80.0966 </t>
  </si>
  <si>
    <t xml:space="preserve">D:\images\2021-CHG-CBA-Saccharin 1\plaque 2/@14 TESTO 30/G2_02.tif </t>
  </si>
  <si>
    <t xml:space="preserve"> 33587.7977 </t>
  </si>
  <si>
    <t xml:space="preserve"> 80.4514 </t>
  </si>
  <si>
    <t xml:space="preserve">D:\images\2021-CHG-CBA-Saccharin 1\plaque 2/@14 TESTO 30/G2_03.tif </t>
  </si>
  <si>
    <t xml:space="preserve"> 44442.9215 </t>
  </si>
  <si>
    <t xml:space="preserve"> 72.254 </t>
  </si>
  <si>
    <t>D:\images\2021-CHG-CBA-Saccharin 1\plaque 2/@14 TESTO 30/H2_01- exclu.tif</t>
  </si>
  <si>
    <t>D:\images\2021-CHG-CBA-Saccharin 1\plaque 2/@14 TESTO 30/H2_02- exclu.tif</t>
  </si>
  <si>
    <t>D:\images\2021-CHG-CBA-Saccharin 1\plaque 2/@14 TESTO 30/H2_03- exclu.tif</t>
  </si>
  <si>
    <t xml:space="preserve">D:\images\2021-CHG-CBA-Saccharin 1\plaque 2/@14 TESTO 30/ </t>
  </si>
  <si>
    <t xml:space="preserve"> 72.3548 </t>
  </si>
  <si>
    <t xml:space="preserve"> 5.0789 </t>
  </si>
  <si>
    <t xml:space="preserve"> 2038464.58 </t>
  </si>
  <si>
    <t xml:space="preserve"> 1167568.16 </t>
  </si>
  <si>
    <t xml:space="preserve">D:\images\2021-CHG-CBA-Saccharin 1\plaque 2/@15 TESTO + EE2/A3_01.tif </t>
  </si>
  <si>
    <t xml:space="preserve"> 35719.6657 </t>
  </si>
  <si>
    <t xml:space="preserve"> 71.7192 </t>
  </si>
  <si>
    <t xml:space="preserve">D:\images\2021-CHG-CBA-Saccharin 1\plaque 2/@15 TESTO + EE2/A3_02.tif </t>
  </si>
  <si>
    <t xml:space="preserve"> 41179.8582 </t>
  </si>
  <si>
    <t xml:space="preserve"> 73.8278 </t>
  </si>
  <si>
    <t xml:space="preserve">D:\images\2021-CHG-CBA-Saccharin 1\plaque 2/@15 TESTO + EE2/A3_03.tif </t>
  </si>
  <si>
    <t xml:space="preserve"> 41049.3357 </t>
  </si>
  <si>
    <t xml:space="preserve"> 74.1722 </t>
  </si>
  <si>
    <t>D:\images\2021-CHG-CBA-Saccharin 1\plaque 2/@15 TESTO + EE2/B3_01- exclu.tif</t>
  </si>
  <si>
    <t>D:\images\2021-CHG-CBA-Saccharin 1\plaque 2/@15 TESTO + EE2/B3_02- exclu.tif</t>
  </si>
  <si>
    <t>D:\images\2021-CHG-CBA-Saccharin 1\plaque 2/@15 TESTO + EE2/B3_03- exclu.tif</t>
  </si>
  <si>
    <t xml:space="preserve">D:\images\2021-CHG-CBA-Saccharin 1\plaque 2/@15 TESTO + EE2/C3_01.tif </t>
  </si>
  <si>
    <t xml:space="preserve"> 10594.0787 </t>
  </si>
  <si>
    <t xml:space="preserve"> 68.9138 </t>
  </si>
  <si>
    <t xml:space="preserve">D:\images\2021-CHG-CBA-Saccharin 1\plaque 2/@15 TESTO + EE2/C3_02.tif </t>
  </si>
  <si>
    <t xml:space="preserve"> 11725.2739 </t>
  </si>
  <si>
    <t xml:space="preserve"> 66.5065 </t>
  </si>
  <si>
    <t xml:space="preserve">D:\images\2021-CHG-CBA-Saccharin 1\plaque 2/@15 TESTO + EE2/C3_03.tif </t>
  </si>
  <si>
    <t xml:space="preserve"> 11203.1838 </t>
  </si>
  <si>
    <t xml:space="preserve"> 65.5748 </t>
  </si>
  <si>
    <t xml:space="preserve">D:\images\2021-CHG-CBA-Saccharin 1\plaque 2/@15 TESTO + EE2/D3_01.tif </t>
  </si>
  <si>
    <t xml:space="preserve"> 19034.5356 </t>
  </si>
  <si>
    <t xml:space="preserve"> 72.4114 </t>
  </si>
  <si>
    <t xml:space="preserve">D:\images\2021-CHG-CBA-Saccharin 1\plaque 2/@15 TESTO + EE2/D3_02.tif </t>
  </si>
  <si>
    <t xml:space="preserve"> 21057.6348 </t>
  </si>
  <si>
    <t xml:space="preserve"> 71.2376 </t>
  </si>
  <si>
    <t xml:space="preserve">D:\images\2021-CHG-CBA-Saccharin 1\plaque 2/@15 TESTO + EE2/D3_03.tif </t>
  </si>
  <si>
    <t xml:space="preserve"> 21797.2625 </t>
  </si>
  <si>
    <t xml:space="preserve"> 71.7794 </t>
  </si>
  <si>
    <t xml:space="preserve">D:\images\2021-CHG-CBA-Saccharin 1\plaque 2/@15 TESTO + EE2/E3_01.tif </t>
  </si>
  <si>
    <t xml:space="preserve"> 39417.8041 </t>
  </si>
  <si>
    <t xml:space="preserve"> 79.9525 </t>
  </si>
  <si>
    <t xml:space="preserve">D:\images\2021-CHG-CBA-Saccharin 1\plaque 2/@15 TESTO + EE2/E3_02.tif </t>
  </si>
  <si>
    <t xml:space="preserve"> 38373.6238 </t>
  </si>
  <si>
    <t xml:space="preserve"> 80.195 </t>
  </si>
  <si>
    <t xml:space="preserve">D:\images\2021-CHG-CBA-Saccharin 1\plaque 2/@15 TESTO + EE2/E3_03.tif </t>
  </si>
  <si>
    <t xml:space="preserve"> 40092.1705 </t>
  </si>
  <si>
    <t xml:space="preserve"> 78.338 </t>
  </si>
  <si>
    <t xml:space="preserve">D:\images\2021-CHG-CBA-Saccharin 1\plaque 2/@15 TESTO + EE2/F3_01.tif </t>
  </si>
  <si>
    <t xml:space="preserve"> 67567.163 </t>
  </si>
  <si>
    <t xml:space="preserve"> 80.6565 </t>
  </si>
  <si>
    <t xml:space="preserve">D:\images\2021-CHG-CBA-Saccharin 1\plaque 2/@15 TESTO + EE2/F3_02.tif </t>
  </si>
  <si>
    <t xml:space="preserve"> 64978.4662 </t>
  </si>
  <si>
    <t xml:space="preserve"> 80.5631 </t>
  </si>
  <si>
    <t xml:space="preserve">D:\images\2021-CHG-CBA-Saccharin 1\plaque 2/@15 TESTO + EE2/F3_03.tif </t>
  </si>
  <si>
    <t xml:space="preserve"> 59496.5199 </t>
  </si>
  <si>
    <t xml:space="preserve"> 80.2252 </t>
  </si>
  <si>
    <t xml:space="preserve">D:\images\2021-CHG-CBA-Saccharin 1\plaque 2/@15 TESTO + EE2/G3_01.tif </t>
  </si>
  <si>
    <t xml:space="preserve"> 59866.3338 </t>
  </si>
  <si>
    <t xml:space="preserve"> 81.7129 </t>
  </si>
  <si>
    <t xml:space="preserve">D:\images\2021-CHG-CBA-Saccharin 1\plaque 2/@15 TESTO + EE2/G3_02.tif </t>
  </si>
  <si>
    <t xml:space="preserve"> 60692.9765 </t>
  </si>
  <si>
    <t xml:space="preserve"> 81.2376 </t>
  </si>
  <si>
    <t xml:space="preserve">D:\images\2021-CHG-CBA-Saccharin 1\plaque 2/@15 TESTO + EE2/G3_03.tif </t>
  </si>
  <si>
    <t xml:space="preserve"> 58343.5709 </t>
  </si>
  <si>
    <t xml:space="preserve"> 80.6667 </t>
  </si>
  <si>
    <t xml:space="preserve">D:\images\2021-CHG-CBA-Saccharin 1\plaque 2/@15 TESTO + EE2/H3_01.tif </t>
  </si>
  <si>
    <t xml:space="preserve"> 19926.4396 </t>
  </si>
  <si>
    <t xml:space="preserve"> 70.0022 </t>
  </si>
  <si>
    <t xml:space="preserve">D:\images\2021-CHG-CBA-Saccharin 1\plaque 2/@15 TESTO + EE2/H3_02.tif </t>
  </si>
  <si>
    <t xml:space="preserve"> 15010.091 </t>
  </si>
  <si>
    <t xml:space="preserve"> 67.4957 </t>
  </si>
  <si>
    <t xml:space="preserve">D:\images\2021-CHG-CBA-Saccharin 1\plaque 2/@15 TESTO + EE2/H3_03.tif </t>
  </si>
  <si>
    <t xml:space="preserve"> 12812.9617 </t>
  </si>
  <si>
    <t xml:space="preserve"> 67.0255 </t>
  </si>
  <si>
    <t xml:space="preserve">D:\images\2021-CHG-CBA-Saccharin 1\plaque 2/@15 TESTO + EE2/ </t>
  </si>
  <si>
    <t xml:space="preserve"> 73.9695 </t>
  </si>
  <si>
    <t xml:space="preserve"> 5.5612 </t>
  </si>
  <si>
    <t xml:space="preserve"> 2841569.75 </t>
  </si>
  <si>
    <t xml:space="preserve"> 1588304.95 </t>
  </si>
  <si>
    <t xml:space="preserve">D:\images\2021-CHG-CBA-Saccharin 1\plaque 2/@16 TESTO + FAD/A4_01.tif </t>
  </si>
  <si>
    <t xml:space="preserve"> 4872.8411 </t>
  </si>
  <si>
    <t xml:space="preserve"> 66.3304 </t>
  </si>
  <si>
    <t xml:space="preserve">D:\images\2021-CHG-CBA-Saccharin 1\plaque 2/@16 TESTO + FAD/A4_02.tif </t>
  </si>
  <si>
    <t xml:space="preserve"> 12682.4392 </t>
  </si>
  <si>
    <t xml:space="preserve"> 86.5849 </t>
  </si>
  <si>
    <t xml:space="preserve">D:\images\2021-CHG-CBA-Saccharin 1\plaque 2/@16 TESTO + FAD/A4_03.tif </t>
  </si>
  <si>
    <t xml:space="preserve"> 12312.6253 </t>
  </si>
  <si>
    <t xml:space="preserve"> 81.8922 </t>
  </si>
  <si>
    <t>D:\images\2021-CHG-CBA-Saccharin 1\plaque 2/@16 TESTO + FAD/B4_01- exclu.tif</t>
  </si>
  <si>
    <t xml:space="preserve">D:\images\2021-CHG-CBA-Saccharin 1\plaque 2/@16 TESTO + FAD/B4_02.tif </t>
  </si>
  <si>
    <t xml:space="preserve"> 65.5 </t>
  </si>
  <si>
    <t xml:space="preserve">D:\images\2021-CHG-CBA-Saccharin 1\plaque 2/@16 TESTO + FAD/B4_03.tif </t>
  </si>
  <si>
    <t xml:space="preserve"> 67.3568 </t>
  </si>
  <si>
    <t xml:space="preserve">D:\images\2021-CHG-CBA-Saccharin 1\plaque 2/@16 TESTO + FAD/C4_01.tif </t>
  </si>
  <si>
    <t xml:space="preserve"> 72.1928 </t>
  </si>
  <si>
    <t xml:space="preserve">D:\images\2021-CHG-CBA-Saccharin 1\plaque 2/@16 TESTO + FAD/C4_02.tif </t>
  </si>
  <si>
    <t xml:space="preserve"> 4198.4747 </t>
  </si>
  <si>
    <t xml:space="preserve"> 67.4041 </t>
  </si>
  <si>
    <t xml:space="preserve">D:\images\2021-CHG-CBA-Saccharin 1\plaque 2/@16 TESTO + FAD/C4_03.tif </t>
  </si>
  <si>
    <t xml:space="preserve"> 5046.8712 </t>
  </si>
  <si>
    <t xml:space="preserve"> 70.1034 </t>
  </si>
  <si>
    <t xml:space="preserve">D:\images\2021-CHG-CBA-Saccharin 1\plaque 2/@16 TESTO + FAD/D4_01.tif </t>
  </si>
  <si>
    <t xml:space="preserve"> 64.2653 </t>
  </si>
  <si>
    <t xml:space="preserve">D:\images\2021-CHG-CBA-Saccharin 1\plaque 2/@16 TESTO + FAD/D4_02.tif </t>
  </si>
  <si>
    <t xml:space="preserve"> 1370.4866 </t>
  </si>
  <si>
    <t xml:space="preserve"> 63.2381 </t>
  </si>
  <si>
    <t xml:space="preserve">D:\images\2021-CHG-CBA-Saccharin 1\plaque 2/@16 TESTO + FAD/D4_03.tif </t>
  </si>
  <si>
    <t xml:space="preserve"> 66.8987 </t>
  </si>
  <si>
    <t xml:space="preserve">D:\images\2021-CHG-CBA-Saccharin 1\plaque 2/@16 TESTO + FAD/E4_01.tif </t>
  </si>
  <si>
    <t xml:space="preserve"> 62.7812 </t>
  </si>
  <si>
    <t xml:space="preserve">D:\images\2021-CHG-CBA-Saccharin 1\plaque 2/@16 TESTO + FAD/E4_02.tif </t>
  </si>
  <si>
    <t xml:space="preserve"> 62.6842 </t>
  </si>
  <si>
    <t xml:space="preserve">D:\images\2021-CHG-CBA-Saccharin 1\plaque 2/@16 TESTO + FAD/E4_03.tif </t>
  </si>
  <si>
    <t xml:space="preserve"> 391.5676 </t>
  </si>
  <si>
    <t xml:space="preserve"> 61.8333 </t>
  </si>
  <si>
    <t xml:space="preserve">D:\images\2021-CHG-CBA-Saccharin 1\plaque 2/@16 TESTO + FAD/F4_01.tif </t>
  </si>
  <si>
    <t xml:space="preserve"> 3567.6158 </t>
  </si>
  <si>
    <t xml:space="preserve"> 67.4451 </t>
  </si>
  <si>
    <t xml:space="preserve">D:\images\2021-CHG-CBA-Saccharin 1\plaque 2/@16 TESTO + FAD/F4_02.tif </t>
  </si>
  <si>
    <t xml:space="preserve"> 8027.1356 </t>
  </si>
  <si>
    <t xml:space="preserve"> 73.4201 </t>
  </si>
  <si>
    <t xml:space="preserve">D:\images\2021-CHG-CBA-Saccharin 1\plaque 2/@16 TESTO + FAD/F4_03.tif </t>
  </si>
  <si>
    <t xml:space="preserve"> 6460.8652 </t>
  </si>
  <si>
    <t xml:space="preserve"> 75.4276 </t>
  </si>
  <si>
    <t xml:space="preserve">D:\images\2021-CHG-CBA-Saccharin 1\plaque 2/@16 TESTO + FAD/G4_01.tif </t>
  </si>
  <si>
    <t xml:space="preserve"> 1827.3154 </t>
  </si>
  <si>
    <t xml:space="preserve"> 64.1548 </t>
  </si>
  <si>
    <t xml:space="preserve">D:\images\2021-CHG-CBA-Saccharin 1\plaque 2/@16 TESTO + FAD/G4_02.tif </t>
  </si>
  <si>
    <t xml:space="preserve"> 3241.3095 </t>
  </si>
  <si>
    <t xml:space="preserve"> 65.255 </t>
  </si>
  <si>
    <t xml:space="preserve">D:\images\2021-CHG-CBA-Saccharin 1\plaque 2/@16 TESTO + FAD/G4_03.tif </t>
  </si>
  <si>
    <t xml:space="preserve"> 1805.5617 </t>
  </si>
  <si>
    <t xml:space="preserve"> 63.3855 </t>
  </si>
  <si>
    <t xml:space="preserve">D:\images\2021-CHG-CBA-Saccharin 1\plaque 2/@16 TESTO + FAD/H4_01.tif </t>
  </si>
  <si>
    <t xml:space="preserve"> 65.2308 </t>
  </si>
  <si>
    <t xml:space="preserve">D:\images\2021-CHG-CBA-Saccharin 1\plaque 2/@16 TESTO + FAD/H4_02.tif </t>
  </si>
  <si>
    <t xml:space="preserve"> 739.6277 </t>
  </si>
  <si>
    <t xml:space="preserve"> 62.4706 </t>
  </si>
  <si>
    <t xml:space="preserve">D:\images\2021-CHG-CBA-Saccharin 1\plaque 2/@16 TESTO + FAD/H4_03.tif </t>
  </si>
  <si>
    <t xml:space="preserve"> 65.7333 </t>
  </si>
  <si>
    <t xml:space="preserve">D:\images\2021-CHG-CBA-Saccharin 1\plaque 2/@16 TESTO + FAD/ </t>
  </si>
  <si>
    <t xml:space="preserve"> 67.7266 </t>
  </si>
  <si>
    <t xml:space="preserve"> 6.2165 </t>
  </si>
  <si>
    <t xml:space="preserve"> 268348.958 </t>
  </si>
  <si>
    <t xml:space="preserve"> 289517.358 </t>
  </si>
  <si>
    <t xml:space="preserve">D:\images\2021-CHG-CBA-Saccharin 1\plaque 2/@17 Saccharin 0.01 + Testo/A5_01.tif </t>
  </si>
  <si>
    <t xml:space="preserve"> 65.3007 </t>
  </si>
  <si>
    <t xml:space="preserve">D:\images\2021-CHG-CBA-Saccharin 1\plaque 2/@17 Saccharin 0.01 + Testo/A5_02.tif </t>
  </si>
  <si>
    <t xml:space="preserve"> 64.2513 </t>
  </si>
  <si>
    <t>D:\images\2021-CHG-CBA-Saccharin 1\plaque 2/@17 Saccharin 0.01 + Testo/A5_03- exclu.tif</t>
  </si>
  <si>
    <t xml:space="preserve">D:\images\2021-CHG-CBA-Saccharin 1\plaque 2/@17 Saccharin 0.01 + Testo/B5_01.tif </t>
  </si>
  <si>
    <t xml:space="preserve"> 22449.8752 </t>
  </si>
  <si>
    <t xml:space="preserve"> 68.3188 </t>
  </si>
  <si>
    <t xml:space="preserve">D:\images\2021-CHG-CBA-Saccharin 1\plaque 2/@17 Saccharin 0.01 + Testo/B5_02.tif </t>
  </si>
  <si>
    <t xml:space="preserve"> 26757.1187 </t>
  </si>
  <si>
    <t xml:space="preserve"> 70.1065 </t>
  </si>
  <si>
    <t>D:\images\2021-CHG-CBA-Saccharin 1\plaque 2/@17 Saccharin 0.01 + Testo/B5_03- exclu.tif</t>
  </si>
  <si>
    <t xml:space="preserve">D:\images\2021-CHG-CBA-Saccharin 1\plaque 2/@17 Saccharin 0.01 + Testo/C5_01.tif </t>
  </si>
  <si>
    <t xml:space="preserve"> 14857.8147 </t>
  </si>
  <si>
    <t xml:space="preserve"> 66.8521 </t>
  </si>
  <si>
    <t xml:space="preserve">D:\images\2021-CHG-CBA-Saccharin 1\plaque 2/@17 Saccharin 0.01 + Testo/C5_02.tif </t>
  </si>
  <si>
    <t xml:space="preserve"> 15227.6285 </t>
  </si>
  <si>
    <t xml:space="preserve"> 66.6071 </t>
  </si>
  <si>
    <t xml:space="preserve">D:\images\2021-CHG-CBA-Saccharin 1\plaque 2/@17 Saccharin 0.01 + Testo/C5_03.tif </t>
  </si>
  <si>
    <t xml:space="preserve"> 18207.8929 </t>
  </si>
  <si>
    <t xml:space="preserve"> 67.3154 </t>
  </si>
  <si>
    <t xml:space="preserve">D:\images\2021-CHG-CBA-Saccharin 1\plaque 2/@17 Saccharin 0.01 + Testo/D5_01.tif </t>
  </si>
  <si>
    <t xml:space="preserve"> 29367.5693 </t>
  </si>
  <si>
    <t xml:space="preserve"> 71.5637 </t>
  </si>
  <si>
    <t xml:space="preserve">D:\images\2021-CHG-CBA-Saccharin 1\plaque 2/@17 Saccharin 0.01 + Testo/D5_02.tif </t>
  </si>
  <si>
    <t xml:space="preserve"> 31020.8546 </t>
  </si>
  <si>
    <t xml:space="preserve"> 71.1255 </t>
  </si>
  <si>
    <t xml:space="preserve">D:\images\2021-CHG-CBA-Saccharin 1\plaque 2/@17 Saccharin 0.01 + Testo/D5_03.tif </t>
  </si>
  <si>
    <t xml:space="preserve"> 29585.1068 </t>
  </si>
  <si>
    <t xml:space="preserve"> 70.3287 </t>
  </si>
  <si>
    <t xml:space="preserve">D:\images\2021-CHG-CBA-Saccharin 1\plaque 2/@17 Saccharin 0.01 + Testo/E5_01.tif </t>
  </si>
  <si>
    <t xml:space="preserve"> 43137.6962 </t>
  </si>
  <si>
    <t xml:space="preserve"> 73.8795 </t>
  </si>
  <si>
    <t xml:space="preserve">D:\images\2021-CHG-CBA-Saccharin 1\plaque 2/@17 Saccharin 0.01 + Testo/E5_02.tif </t>
  </si>
  <si>
    <t xml:space="preserve"> 37873.2875 </t>
  </si>
  <si>
    <t xml:space="preserve"> 74.2366 </t>
  </si>
  <si>
    <t xml:space="preserve">D:\images\2021-CHG-CBA-Saccharin 1\plaque 2/@17 Saccharin 0.01 + Testo/E5_03.tif </t>
  </si>
  <si>
    <t xml:space="preserve"> 40592.5068 </t>
  </si>
  <si>
    <t xml:space="preserve"> 74.6484 </t>
  </si>
  <si>
    <t xml:space="preserve">D:\images\2021-CHG-CBA-Saccharin 1\plaque 2/@17 Saccharin 0.01 + Testo/F5_01.tif </t>
  </si>
  <si>
    <t xml:space="preserve"> 24146.6681 </t>
  </si>
  <si>
    <t xml:space="preserve"> 70.0649 </t>
  </si>
  <si>
    <t xml:space="preserve">D:\images\2021-CHG-CBA-Saccharin 1\plaque 2/@17 Saccharin 0.01 + Testo/F5_02.tif </t>
  </si>
  <si>
    <t xml:space="preserve"> 19600.1333 </t>
  </si>
  <si>
    <t xml:space="preserve"> 69.8735 </t>
  </si>
  <si>
    <t xml:space="preserve">D:\images\2021-CHG-CBA-Saccharin 1\plaque 2/@17 Saccharin 0.01 + Testo/F5_03.tif </t>
  </si>
  <si>
    <t xml:space="preserve"> 69.4566 </t>
  </si>
  <si>
    <t xml:space="preserve">D:\images\2021-CHG-CBA-Saccharin 1\plaque 2/@17 Saccharin 0.01 + Testo/G5_01.tif </t>
  </si>
  <si>
    <t xml:space="preserve"> 40853.5519 </t>
  </si>
  <si>
    <t xml:space="preserve"> 74.6794 </t>
  </si>
  <si>
    <t xml:space="preserve">D:\images\2021-CHG-CBA-Saccharin 1\plaque 2/@17 Saccharin 0.01 + Testo/G5_02.tif </t>
  </si>
  <si>
    <t xml:space="preserve"> 40309.708 </t>
  </si>
  <si>
    <t xml:space="preserve"> 75.6098 </t>
  </si>
  <si>
    <t xml:space="preserve">D:\images\2021-CHG-CBA-Saccharin 1\plaque 2/@17 Saccharin 0.01 + Testo/G5_03.tif </t>
  </si>
  <si>
    <t xml:space="preserve"> 31782.2361 </t>
  </si>
  <si>
    <t xml:space="preserve"> 70.9103 </t>
  </si>
  <si>
    <t xml:space="preserve">D:\images\2021-CHG-CBA-Saccharin 1\plaque 2/@17 Saccharin 0.01 + Testo/H5_01.tif </t>
  </si>
  <si>
    <t xml:space="preserve"> 39722.3566 </t>
  </si>
  <si>
    <t xml:space="preserve"> 73.149 </t>
  </si>
  <si>
    <t xml:space="preserve">D:\images\2021-CHG-CBA-Saccharin 1\plaque 2/@17 Saccharin 0.01 + Testo/H5_02.tif </t>
  </si>
  <si>
    <t xml:space="preserve"> 44464.6752 </t>
  </si>
  <si>
    <t xml:space="preserve"> 72.4843 </t>
  </si>
  <si>
    <t xml:space="preserve">D:\images\2021-CHG-CBA-Saccharin 1\plaque 2/@17 Saccharin 0.01 + Testo/H5_03.tif </t>
  </si>
  <si>
    <t xml:space="preserve"> 42137.0234 </t>
  </si>
  <si>
    <t xml:space="preserve"> 74.2834 </t>
  </si>
  <si>
    <t xml:space="preserve">D:\images\2021-CHG-CBA-Saccharin 1\plaque 2/@17 Saccharin 0.01 + Testo/ </t>
  </si>
  <si>
    <t xml:space="preserve"> 70.1493 </t>
  </si>
  <si>
    <t xml:space="preserve"> 3.6143 </t>
  </si>
  <si>
    <t xml:space="preserve"> 1902978.67 </t>
  </si>
  <si>
    <t xml:space="preserve"> 998841.605 </t>
  </si>
  <si>
    <t xml:space="preserve">D:\images\2021-CHG-CBA-Saccharin 1\plaque 2/@18 Saccharin 0.1 + Testo/A6_01.tif </t>
  </si>
  <si>
    <t xml:space="preserve"> 16967.9289 </t>
  </si>
  <si>
    <t xml:space="preserve"> 70.1885 </t>
  </si>
  <si>
    <t xml:space="preserve">D:\images\2021-CHG-CBA-Saccharin 1\plaque 2/@18 Saccharin 0.1 + Testo/A6_02.tif </t>
  </si>
  <si>
    <t xml:space="preserve"> 19078.0431 </t>
  </si>
  <si>
    <t xml:space="preserve"> 72.0536 </t>
  </si>
  <si>
    <t xml:space="preserve">D:\images\2021-CHG-CBA-Saccharin 1\plaque 2/@18 Saccharin 0.1 + Testo/A6_03.tif </t>
  </si>
  <si>
    <t xml:space="preserve"> 20339.7609 </t>
  </si>
  <si>
    <t xml:space="preserve"> 69.3775 </t>
  </si>
  <si>
    <t xml:space="preserve">D:\images\2021-CHG-CBA-Saccharin 1\plaque 2/@18 Saccharin 0.1 + Testo/B6_01.tif </t>
  </si>
  <si>
    <t xml:space="preserve"> 54993.4926 </t>
  </si>
  <si>
    <t xml:space="preserve"> 73.7532 </t>
  </si>
  <si>
    <t xml:space="preserve">D:\images\2021-CHG-CBA-Saccharin 1\plaque 2/@18 Saccharin 0.1 + Testo/B6_02.tif </t>
  </si>
  <si>
    <t xml:space="preserve"> 56102.9342 </t>
  </si>
  <si>
    <t xml:space="preserve"> 73.4354 </t>
  </si>
  <si>
    <t xml:space="preserve">D:\images\2021-CHG-CBA-Saccharin 1\plaque 2/@18 Saccharin 0.1 + Testo/B6_03.tif </t>
  </si>
  <si>
    <t xml:space="preserve"> 53557.7448 </t>
  </si>
  <si>
    <t xml:space="preserve"> 74.3603 </t>
  </si>
  <si>
    <t xml:space="preserve">D:\images\2021-CHG-CBA-Saccharin 1\plaque 2/@18 Saccharin 0.1 + Testo/C6_01.tif </t>
  </si>
  <si>
    <t xml:space="preserve"> 20753.0823 </t>
  </si>
  <si>
    <t xml:space="preserve"> 67.6551 </t>
  </si>
  <si>
    <t xml:space="preserve">D:\images\2021-CHG-CBA-Saccharin 1\plaque 2/@18 Saccharin 0.1 + Testo/C6_02.tif </t>
  </si>
  <si>
    <t xml:space="preserve"> 18490.6918 </t>
  </si>
  <si>
    <t xml:space="preserve"> 67.1165 </t>
  </si>
  <si>
    <t xml:space="preserve">D:\images\2021-CHG-CBA-Saccharin 1\plaque 2/@18 Saccharin 0.1 + Testo/C6_03.tif </t>
  </si>
  <si>
    <t xml:space="preserve"> 21383.9412 </t>
  </si>
  <si>
    <t xml:space="preserve"> 68.1556 </t>
  </si>
  <si>
    <t xml:space="preserve">D:\images\2021-CHG-CBA-Saccharin 1\plaque 2/@18 Saccharin 0.1 + Testo/D6_01.tif </t>
  </si>
  <si>
    <t xml:space="preserve"> 40483.7381 </t>
  </si>
  <si>
    <t xml:space="preserve"> 75.8732 </t>
  </si>
  <si>
    <t xml:space="preserve">D:\images\2021-CHG-CBA-Saccharin 1\plaque 2/@18 Saccharin 0.1 + Testo/D6_02.tif </t>
  </si>
  <si>
    <t xml:space="preserve"> 35523.8819 </t>
  </si>
  <si>
    <t xml:space="preserve"> 73.1604 </t>
  </si>
  <si>
    <t xml:space="preserve">D:\images\2021-CHG-CBA-Saccharin 1\plaque 2/@18 Saccharin 0.1 + Testo/D6_03.tif </t>
  </si>
  <si>
    <t xml:space="preserve"> 34762.5005 </t>
  </si>
  <si>
    <t xml:space="preserve">D:\images\2021-CHG-CBA-Saccharin 1\plaque 2/@18 Saccharin 0.1 + Testo/E6_01.tif </t>
  </si>
  <si>
    <t xml:space="preserve"> 37808.0262 </t>
  </si>
  <si>
    <t xml:space="preserve"> 70.3049 </t>
  </si>
  <si>
    <t xml:space="preserve">D:\images\2021-CHG-CBA-Saccharin 1\plaque 2/@18 Saccharin 0.1 + Testo/E6_02.tif </t>
  </si>
  <si>
    <t xml:space="preserve"> 32456.6025 </t>
  </si>
  <si>
    <t xml:space="preserve"> 69.004 </t>
  </si>
  <si>
    <t xml:space="preserve">D:\images\2021-CHG-CBA-Saccharin 1\plaque 2/@18 Saccharin 0.1 + Testo/E6_03.tif </t>
  </si>
  <si>
    <t xml:space="preserve"> 68.5498 </t>
  </si>
  <si>
    <t xml:space="preserve">D:\images\2021-CHG-CBA-Saccharin 1\plaque 2/@18 Saccharin 0.1 + Testo/F6_01.tif </t>
  </si>
  <si>
    <t xml:space="preserve"> 13726.6194 </t>
  </si>
  <si>
    <t xml:space="preserve"> 66.6513 </t>
  </si>
  <si>
    <t xml:space="preserve">D:\images\2021-CHG-CBA-Saccharin 1\plaque 2/@18 Saccharin 0.1 + Testo/F6_02.tif </t>
  </si>
  <si>
    <t xml:space="preserve"> 20600.806 </t>
  </si>
  <si>
    <t xml:space="preserve"> 66.4076 </t>
  </si>
  <si>
    <t xml:space="preserve">D:\images\2021-CHG-CBA-Saccharin 1\plaque 2/@18 Saccharin 0.1 + Testo/F6_03.tif </t>
  </si>
  <si>
    <t xml:space="preserve"> 23189.5028 </t>
  </si>
  <si>
    <t xml:space="preserve"> 67.1229 </t>
  </si>
  <si>
    <t xml:space="preserve">D:\images\2021-CHG-CBA-Saccharin 1\plaque 2/@18 Saccharin 0.1 + Testo/G6_01.tif </t>
  </si>
  <si>
    <t xml:space="preserve"> 19534.872 </t>
  </si>
  <si>
    <t xml:space="preserve"> 66.0535 </t>
  </si>
  <si>
    <t xml:space="preserve">D:\images\2021-CHG-CBA-Saccharin 1\plaque 2/@18 Saccharin 0.1 + Testo/G6_02.tif </t>
  </si>
  <si>
    <t xml:space="preserve"> 15597.4423 </t>
  </si>
  <si>
    <t xml:space="preserve"> 65.5049 </t>
  </si>
  <si>
    <t xml:space="preserve">D:\images\2021-CHG-CBA-Saccharin 1\plaque 2/@18 Saccharin 0.1 + Testo/G6_03.tif </t>
  </si>
  <si>
    <t xml:space="preserve"> 17294.2352 </t>
  </si>
  <si>
    <t xml:space="preserve"> 66.5358 </t>
  </si>
  <si>
    <t>D:\images\2021-CHG-CBA-Saccharin 1\plaque 2/@18 Saccharin 0.1 + Testo/H6_01- exclu.tif</t>
  </si>
  <si>
    <t xml:space="preserve">D:\images\2021-CHG-CBA-Saccharin 1\plaque 2/@18 Saccharin 0.1 + Testo/H6_02.tif </t>
  </si>
  <si>
    <t xml:space="preserve"> 38003.81 </t>
  </si>
  <si>
    <t xml:space="preserve"> 72.407 </t>
  </si>
  <si>
    <t xml:space="preserve">D:\images\2021-CHG-CBA-Saccharin 1\plaque 2/@18 Saccharin 0.1 + Testo/H6_03.tif </t>
  </si>
  <si>
    <t xml:space="preserve"> 39156.759 </t>
  </si>
  <si>
    <t xml:space="preserve"> 73.6411 </t>
  </si>
  <si>
    <t xml:space="preserve">D:\images\2021-CHG-CBA-Saccharin 1\plaque 2/@18 Saccharin 0.1 + Testo/ </t>
  </si>
  <si>
    <t xml:space="preserve"> 70.1689 </t>
  </si>
  <si>
    <t xml:space="preserve"> 3.2068 </t>
  </si>
  <si>
    <t xml:space="preserve"> 2111894.5 </t>
  </si>
  <si>
    <t xml:space="preserve"> 998219.949 </t>
  </si>
  <si>
    <t>13 TESTO 30</t>
  </si>
  <si>
    <t>14 TESTO 30</t>
  </si>
  <si>
    <t>15 TESTO + EE2</t>
  </si>
  <si>
    <t>16 TESTO + FAD</t>
  </si>
  <si>
    <t>08 Saccharin 0.01</t>
  </si>
  <si>
    <t>09 Saccharin 0.1</t>
  </si>
  <si>
    <t>10 Saccharin 1</t>
  </si>
  <si>
    <t>12 Saccharin 100</t>
  </si>
  <si>
    <t>17 Saccharin 0.01 + Testo</t>
  </si>
  <si>
    <t>18 Saccharin 0.1 + Testo</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</si>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</sst>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
      <sz val="11"/>
      <name val="Arial"/>
      <family val="2"/>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29">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2"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5"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7"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1" xfId="0" applyFont="1" applyFill="1" applyBorder="1"/>
    <xf numFmtId="0" fontId="8" fillId="9" borderId="31"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0" xfId="0" applyNumberFormat="1" applyFont="1" applyFill="1" applyBorder="1" applyAlignment="1">
      <alignment horizontal="center" vertical="center" wrapText="1"/>
    </xf>
    <xf numFmtId="0" fontId="3" fillId="0" borderId="24"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2"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5"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1" xfId="0" applyNumberFormat="1" applyFont="1" applyFill="1" applyBorder="1" applyAlignment="1">
      <alignment horizontal="center"/>
    </xf>
    <xf numFmtId="2" fontId="8" fillId="15" borderId="31"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1" xfId="0" applyNumberFormat="1" applyFont="1" applyFill="1" applyBorder="1" applyAlignment="1">
      <alignment horizontal="center"/>
    </xf>
    <xf numFmtId="1" fontId="8" fillId="9" borderId="31"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1" xfId="0" applyNumberFormat="1" applyFont="1" applyFill="1" applyBorder="1" applyAlignment="1">
      <alignment horizontal="center"/>
    </xf>
    <xf numFmtId="0" fontId="8" fillId="16" borderId="31" xfId="7" applyNumberFormat="1" applyFont="1" applyFill="1" applyBorder="1" applyAlignment="1">
      <alignment horizontal="center"/>
    </xf>
    <xf numFmtId="0" fontId="8" fillId="9" borderId="31"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1" xfId="0" applyNumberFormat="1" applyFont="1" applyFill="1" applyBorder="1" applyAlignment="1">
      <alignment horizontal="center"/>
    </xf>
    <xf numFmtId="0" fontId="8" fillId="15" borderId="31" xfId="7" applyNumberFormat="1" applyFont="1" applyFill="1" applyBorder="1" applyAlignment="1">
      <alignment horizontal="center"/>
    </xf>
    <xf numFmtId="0" fontId="8" fillId="15" borderId="31" xfId="0" applyNumberFormat="1" applyFont="1" applyFill="1" applyBorder="1"/>
    <xf numFmtId="0" fontId="8" fillId="17" borderId="31" xfId="0" applyNumberFormat="1" applyFont="1" applyFill="1" applyBorder="1" applyAlignment="1">
      <alignment horizontal="center"/>
    </xf>
    <xf numFmtId="0" fontId="8" fillId="17" borderId="31" xfId="7" applyNumberFormat="1" applyFont="1" applyFill="1" applyBorder="1" applyAlignment="1">
      <alignment horizontal="center"/>
    </xf>
    <xf numFmtId="0" fontId="8" fillId="9" borderId="31" xfId="0" applyNumberFormat="1" applyFont="1" applyFill="1" applyBorder="1" applyAlignment="1">
      <alignment horizontal="center"/>
    </xf>
    <xf numFmtId="0" fontId="8" fillId="9" borderId="31"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0" xfId="0" applyFont="1" applyFill="1" applyBorder="1" applyAlignment="1">
      <alignment horizontal="center" vertical="center" wrapText="1"/>
    </xf>
    <xf numFmtId="13" fontId="16" fillId="18" borderId="30"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1"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5"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0" xfId="0" applyFont="1" applyBorder="1" applyAlignment="1">
      <alignment vertical="center"/>
    </xf>
    <xf numFmtId="0" fontId="3" fillId="0" borderId="21" xfId="0" applyNumberFormat="1" applyFont="1" applyBorder="1" applyAlignment="1">
      <alignment horizontal="center" vertical="center"/>
    </xf>
    <xf numFmtId="0" fontId="3" fillId="14" borderId="33" xfId="0" applyNumberFormat="1" applyFont="1" applyFill="1" applyBorder="1" applyAlignment="1">
      <alignment vertical="center"/>
    </xf>
    <xf numFmtId="0" fontId="3" fillId="14" borderId="28" xfId="0" applyFont="1" applyFill="1" applyBorder="1" applyAlignment="1">
      <alignment vertical="center"/>
    </xf>
    <xf numFmtId="0" fontId="3" fillId="14" borderId="34" xfId="0" applyNumberFormat="1" applyFont="1" applyFill="1" applyBorder="1" applyAlignment="1">
      <alignment vertical="center"/>
    </xf>
    <xf numFmtId="0" fontId="3" fillId="14" borderId="23" xfId="0" applyFont="1" applyFill="1" applyBorder="1" applyAlignment="1">
      <alignment vertical="center"/>
    </xf>
    <xf numFmtId="0" fontId="3" fillId="14" borderId="35" xfId="0" applyNumberFormat="1" applyFont="1" applyFill="1" applyBorder="1" applyAlignment="1">
      <alignment vertical="center"/>
    </xf>
    <xf numFmtId="0" fontId="3" fillId="14" borderId="36"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7" xfId="0" applyNumberFormat="1" applyFont="1" applyFill="1" applyBorder="1" applyAlignment="1">
      <alignment horizontal="center" vertical="center"/>
    </xf>
    <xf numFmtId="0" fontId="3" fillId="14" borderId="37" xfId="0" applyFont="1" applyFill="1" applyBorder="1" applyAlignment="1">
      <alignment horizontal="center" vertical="center"/>
    </xf>
    <xf numFmtId="0" fontId="3" fillId="14" borderId="32"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2" xfId="0" applyFont="1" applyFill="1" applyBorder="1" applyAlignment="1">
      <alignment horizontal="left" vertical="top" wrapText="1"/>
    </xf>
    <xf numFmtId="0" fontId="0" fillId="20" borderId="31" xfId="0" applyFont="1" applyFill="1" applyBorder="1" applyAlignment="1">
      <alignment horizontal="left" vertical="top" wrapText="1"/>
    </xf>
    <xf numFmtId="0" fontId="0" fillId="20" borderId="40" xfId="0" applyFont="1" applyFill="1" applyBorder="1" applyAlignment="1">
      <alignment horizontal="left" vertical="top" wrapText="1"/>
    </xf>
    <xf numFmtId="0" fontId="0" fillId="20" borderId="43" xfId="0" applyFont="1" applyFill="1" applyBorder="1" applyAlignment="1">
      <alignment horizontal="left" vertical="top" wrapText="1"/>
    </xf>
    <xf numFmtId="0" fontId="1" fillId="0" borderId="41"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40" xfId="0" applyFont="1" applyFill="1" applyBorder="1" applyAlignment="1">
      <alignment horizontal="center" vertical="center" wrapText="1"/>
    </xf>
    <xf numFmtId="0" fontId="1" fillId="0" borderId="43"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7" xfId="0" applyFont="1" applyFill="1" applyBorder="1" applyAlignment="1">
      <alignment horizontal="center"/>
    </xf>
    <xf numFmtId="0" fontId="3" fillId="14" borderId="44"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20" fillId="0" borderId="0" xfId="0"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37" xfId="0" applyNumberFormat="1" applyFont="1" applyBorder="1" applyAlignment="1">
      <alignment horizontal="left" vertical="center"/>
    </xf>
    <xf numFmtId="0" fontId="3" fillId="0" borderId="38" xfId="0" applyFont="1" applyBorder="1" applyAlignment="1">
      <alignment horizontal="left" vertical="center"/>
    </xf>
    <xf numFmtId="0" fontId="3" fillId="0" borderId="39" xfId="0" applyFont="1" applyBorder="1" applyAlignment="1">
      <alignment horizontal="left" vertical="center"/>
    </xf>
    <xf numFmtId="14" fontId="3" fillId="0" borderId="3" xfId="0" applyNumberFormat="1" applyFont="1" applyBorder="1" applyAlignment="1">
      <alignment horizontal="left" vertical="center"/>
    </xf>
    <xf numFmtId="0" fontId="3" fillId="0" borderId="14" xfId="0" applyFont="1" applyBorder="1" applyAlignment="1">
      <alignment horizontal="left" vertical="center"/>
    </xf>
    <xf numFmtId="0" fontId="3" fillId="0" borderId="19" xfId="0" applyFont="1" applyBorder="1" applyAlignment="1">
      <alignment horizontal="left" vertical="center"/>
    </xf>
    <xf numFmtId="14" fontId="3" fillId="0" borderId="25" xfId="0" applyNumberFormat="1"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4"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01-3A6E-47B1-AF72-DEDC06171B4B}"/>
              </c:ext>
            </c:extLst>
          </c:dPt>
          <c:dPt>
            <c:idx val="1"/>
            <c:invertIfNegative val="0"/>
            <c:bubble3D val="0"/>
            <c:spPr>
              <a:solidFill>
                <a:schemeClr val="accent2"/>
              </a:solidFill>
            </c:spPr>
            <c:extLst>
              <c:ext xmlns:c16="http://schemas.microsoft.com/office/drawing/2014/chart" uri="{C3380CC4-5D6E-409C-BE32-E72D297353CC}">
                <c16:uniqueId val="{00000002-3A6E-47B1-AF72-DEDC06171B4B}"/>
              </c:ext>
            </c:extLst>
          </c:dPt>
          <c:dPt>
            <c:idx val="2"/>
            <c:invertIfNegative val="0"/>
            <c:bubble3D val="0"/>
            <c:spPr>
              <a:solidFill>
                <a:schemeClr val="accent2"/>
              </a:solidFill>
            </c:spPr>
            <c:extLst>
              <c:ext xmlns:c16="http://schemas.microsoft.com/office/drawing/2014/chart" uri="{C3380CC4-5D6E-409C-BE32-E72D297353CC}">
                <c16:uniqueId val="{00000003-3A6E-47B1-AF72-DEDC06171B4B}"/>
              </c:ext>
            </c:extLst>
          </c:dPt>
          <c:dPt>
            <c:idx val="3"/>
            <c:invertIfNegative val="0"/>
            <c:bubble3D val="0"/>
            <c:spPr>
              <a:solidFill>
                <a:schemeClr val="accent2"/>
              </a:solidFill>
            </c:spPr>
            <c:extLst>
              <c:ext xmlns:c16="http://schemas.microsoft.com/office/drawing/2014/chart" uri="{C3380CC4-5D6E-409C-BE32-E72D297353CC}">
                <c16:uniqueId val="{00000004-3A6E-47B1-AF72-DEDC06171B4B}"/>
              </c:ext>
            </c:extLst>
          </c:dPt>
          <c:dPt>
            <c:idx val="4"/>
            <c:invertIfNegative val="0"/>
            <c:bubble3D val="0"/>
            <c:spPr>
              <a:solidFill>
                <a:schemeClr val="accent2"/>
              </a:solidFill>
            </c:spPr>
            <c:extLst>
              <c:ext xmlns:c16="http://schemas.microsoft.com/office/drawing/2014/chart" uri="{C3380CC4-5D6E-409C-BE32-E72D297353CC}">
                <c16:uniqueId val="{00000005-3A6E-47B1-AF72-DEDC06171B4B}"/>
              </c:ext>
            </c:extLst>
          </c:dPt>
          <c:dPt>
            <c:idx val="5"/>
            <c:invertIfNegative val="0"/>
            <c:bubble3D val="0"/>
            <c:spPr>
              <a:solidFill>
                <a:schemeClr val="accent2"/>
              </a:solidFill>
            </c:spPr>
            <c:extLst>
              <c:ext xmlns:c16="http://schemas.microsoft.com/office/drawing/2014/chart" uri="{C3380CC4-5D6E-409C-BE32-E72D297353CC}">
                <c16:uniqueId val="{00000006-3A6E-47B1-AF72-DEDC06171B4B}"/>
              </c:ext>
            </c:extLst>
          </c:dPt>
          <c:dPt>
            <c:idx val="6"/>
            <c:invertIfNegative val="0"/>
            <c:bubble3D val="0"/>
            <c:spPr>
              <a:solidFill>
                <a:schemeClr val="accent2"/>
              </a:solidFill>
            </c:spPr>
            <c:extLst>
              <c:ext xmlns:c16="http://schemas.microsoft.com/office/drawing/2014/chart" uri="{C3380CC4-5D6E-409C-BE32-E72D297353CC}">
                <c16:uniqueId val="{00000007-3A6E-47B1-AF72-DEDC06171B4B}"/>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08-3A6E-47B1-AF72-DEDC06171B4B}"/>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09-3A6E-47B1-AF72-DEDC06171B4B}"/>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0A-3A6E-47B1-AF72-DEDC06171B4B}"/>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0B-3A6E-47B1-AF72-DEDC06171B4B}"/>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0C-3A6E-47B1-AF72-DEDC06171B4B}"/>
              </c:ext>
            </c:extLst>
          </c:dPt>
          <c:dPt>
            <c:idx val="13"/>
            <c:invertIfNegative val="0"/>
            <c:bubble3D val="0"/>
            <c:spPr>
              <a:solidFill>
                <a:srgbClr val="92D050"/>
              </a:solidFill>
            </c:spPr>
            <c:extLst>
              <c:ext xmlns:c16="http://schemas.microsoft.com/office/drawing/2014/chart" uri="{C3380CC4-5D6E-409C-BE32-E72D297353CC}">
                <c16:uniqueId val="{0000000D-3A6E-47B1-AF72-DEDC06171B4B}"/>
              </c:ext>
            </c:extLst>
          </c:dPt>
          <c:dPt>
            <c:idx val="14"/>
            <c:invertIfNegative val="0"/>
            <c:bubble3D val="0"/>
            <c:spPr>
              <a:solidFill>
                <a:srgbClr val="00B0F0"/>
              </a:solidFill>
            </c:spPr>
            <c:extLst>
              <c:ext xmlns:c16="http://schemas.microsoft.com/office/drawing/2014/chart" uri="{C3380CC4-5D6E-409C-BE32-E72D297353CC}">
                <c16:uniqueId val="{0000000E-3A6E-47B1-AF72-DEDC06171B4B}"/>
              </c:ext>
            </c:extLst>
          </c:dPt>
          <c:dPt>
            <c:idx val="15"/>
            <c:invertIfNegative val="0"/>
            <c:bubble3D val="0"/>
            <c:spPr>
              <a:solidFill>
                <a:srgbClr val="FF0000"/>
              </a:solidFill>
            </c:spPr>
            <c:extLst>
              <c:ext xmlns:c16="http://schemas.microsoft.com/office/drawing/2014/chart" uri="{C3380CC4-5D6E-409C-BE32-E72D297353CC}">
                <c16:uniqueId val="{0000000F-3A6E-47B1-AF72-DEDC06171B4B}"/>
              </c:ext>
            </c:extLst>
          </c:dPt>
          <c:dPt>
            <c:idx val="16"/>
            <c:invertIfNegative val="0"/>
            <c:bubble3D val="0"/>
            <c:spPr>
              <a:solidFill>
                <a:schemeClr val="accent6"/>
              </a:solidFill>
            </c:spPr>
            <c:extLst>
              <c:ext xmlns:c16="http://schemas.microsoft.com/office/drawing/2014/chart" uri="{C3380CC4-5D6E-409C-BE32-E72D297353CC}">
                <c16:uniqueId val="{00000010-3A6E-47B1-AF72-DEDC06171B4B}"/>
              </c:ext>
            </c:extLst>
          </c:dPt>
          <c:dPt>
            <c:idx val="17"/>
            <c:invertIfNegative val="0"/>
            <c:bubble3D val="0"/>
            <c:spPr>
              <a:solidFill>
                <a:schemeClr val="accent6"/>
              </a:solidFill>
            </c:spPr>
            <c:extLst>
              <c:ext xmlns:c16="http://schemas.microsoft.com/office/drawing/2014/chart" uri="{C3380CC4-5D6E-409C-BE32-E72D297353CC}">
                <c16:uniqueId val="{00000011-3A6E-47B1-AF72-DEDC06171B4B}"/>
              </c:ext>
            </c:extLst>
          </c:dPt>
          <c:dPt>
            <c:idx val="18"/>
            <c:invertIfNegative val="0"/>
            <c:bubble3D val="0"/>
            <c:spPr>
              <a:solidFill>
                <a:schemeClr val="accent6"/>
              </a:solidFill>
            </c:spPr>
            <c:extLst>
              <c:ext xmlns:c16="http://schemas.microsoft.com/office/drawing/2014/chart" uri="{C3380CC4-5D6E-409C-BE32-E72D297353CC}">
                <c16:uniqueId val="{00000012-3A6E-47B1-AF72-DEDC06171B4B}"/>
              </c:ext>
            </c:extLst>
          </c:dPt>
          <c:dPt>
            <c:idx val="19"/>
            <c:invertIfNegative val="0"/>
            <c:bubble3D val="0"/>
            <c:spPr>
              <a:solidFill>
                <a:schemeClr val="accent6"/>
              </a:solidFill>
            </c:spPr>
            <c:extLst>
              <c:ext xmlns:c16="http://schemas.microsoft.com/office/drawing/2014/chart" uri="{C3380CC4-5D6E-409C-BE32-E72D297353CC}">
                <c16:uniqueId val="{00000013-3A6E-47B1-AF72-DEDC06171B4B}"/>
              </c:ext>
            </c:extLst>
          </c:dPt>
          <c:dPt>
            <c:idx val="20"/>
            <c:invertIfNegative val="0"/>
            <c:bubble3D val="0"/>
            <c:spPr>
              <a:solidFill>
                <a:schemeClr val="accent6"/>
              </a:solidFill>
            </c:spPr>
            <c:extLst>
              <c:ext xmlns:c16="http://schemas.microsoft.com/office/drawing/2014/chart" uri="{C3380CC4-5D6E-409C-BE32-E72D297353CC}">
                <c16:uniqueId val="{00000014-3A6E-47B1-AF72-DEDC06171B4B}"/>
              </c:ext>
            </c:extLst>
          </c:dPt>
          <c:dLbls>
            <c:dLbl>
              <c:idx val="0"/>
              <c:tx>
                <c:rich>
                  <a:bodyPr/>
                  <a:lstStyle/>
                  <a:p>
                    <a:fld id="{2A1FAE07-F638-41E0-9EEC-9D8E5A6D9BA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A6E-47B1-AF72-DEDC06171B4B}"/>
                </c:ext>
              </c:extLst>
            </c:dLbl>
            <c:dLbl>
              <c:idx val="1"/>
              <c:tx>
                <c:rich>
                  <a:bodyPr/>
                  <a:lstStyle/>
                  <a:p>
                    <a:fld id="{87637A40-9DCD-4CB9-83EC-41873EB6FEE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A6E-47B1-AF72-DEDC06171B4B}"/>
                </c:ext>
              </c:extLst>
            </c:dLbl>
            <c:dLbl>
              <c:idx val="2"/>
              <c:tx>
                <c:rich>
                  <a:bodyPr/>
                  <a:lstStyle/>
                  <a:p>
                    <a:fld id="{6C146D7B-A1EB-4529-B918-EDB3D8070E8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A6E-47B1-AF72-DEDC06171B4B}"/>
                </c:ext>
              </c:extLst>
            </c:dLbl>
            <c:dLbl>
              <c:idx val="3"/>
              <c:tx>
                <c:rich>
                  <a:bodyPr/>
                  <a:lstStyle/>
                  <a:p>
                    <a:fld id="{9D9E431F-5FE4-451A-A7B1-7BAF4601258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A6E-47B1-AF72-DEDC06171B4B}"/>
                </c:ext>
              </c:extLst>
            </c:dLbl>
            <c:dLbl>
              <c:idx val="4"/>
              <c:tx>
                <c:rich>
                  <a:bodyPr/>
                  <a:lstStyle/>
                  <a:p>
                    <a:fld id="{CFEE04C0-DD5E-4821-BEE2-D4C2279F0F6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A6E-47B1-AF72-DEDC06171B4B}"/>
                </c:ext>
              </c:extLst>
            </c:dLbl>
            <c:dLbl>
              <c:idx val="5"/>
              <c:tx>
                <c:rich>
                  <a:bodyPr/>
                  <a:lstStyle/>
                  <a:p>
                    <a:fld id="{3920C88A-CED0-43B8-95FF-D50961936C0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A6E-47B1-AF72-DEDC06171B4B}"/>
                </c:ext>
              </c:extLst>
            </c:dLbl>
            <c:dLbl>
              <c:idx val="6"/>
              <c:tx>
                <c:rich>
                  <a:bodyPr/>
                  <a:lstStyle/>
                  <a:p>
                    <a:fld id="{9DFF1A6A-003C-4EAB-91F2-AE8CC4E91BA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A6E-47B1-AF72-DEDC06171B4B}"/>
                </c:ext>
              </c:extLst>
            </c:dLbl>
            <c:dLbl>
              <c:idx val="7"/>
              <c:tx>
                <c:rich>
                  <a:bodyPr/>
                  <a:lstStyle/>
                  <a:p>
                    <a:fld id="{A0BB617C-682C-41E6-B5A6-0E9EC22B9A3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A6E-47B1-AF72-DEDC06171B4B}"/>
                </c:ext>
              </c:extLst>
            </c:dLbl>
            <c:dLbl>
              <c:idx val="8"/>
              <c:tx>
                <c:rich>
                  <a:bodyPr/>
                  <a:lstStyle/>
                  <a:p>
                    <a:fld id="{802B3907-E8D6-427E-938D-8D1DAFE297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A6E-47B1-AF72-DEDC06171B4B}"/>
                </c:ext>
              </c:extLst>
            </c:dLbl>
            <c:dLbl>
              <c:idx val="9"/>
              <c:tx>
                <c:rich>
                  <a:bodyPr/>
                  <a:lstStyle/>
                  <a:p>
                    <a:fld id="{F35F386E-9971-4D60-929A-2AF2628CBE7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A6E-47B1-AF72-DEDC06171B4B}"/>
                </c:ext>
              </c:extLst>
            </c:dLbl>
            <c:dLbl>
              <c:idx val="10"/>
              <c:tx>
                <c:rich>
                  <a:bodyPr/>
                  <a:lstStyle/>
                  <a:p>
                    <a:fld id="{24581850-3AAE-46CA-98D6-5C3A2C151BD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A6E-47B1-AF72-DEDC06171B4B}"/>
                </c:ext>
              </c:extLst>
            </c:dLbl>
            <c:dLbl>
              <c:idx val="11"/>
              <c:tx>
                <c:rich>
                  <a:bodyPr/>
                  <a:lstStyle/>
                  <a:p>
                    <a:fld id="{545EB62D-7B1B-4F57-ABDC-88F6828D269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3A6E-47B1-AF72-DEDC06171B4B}"/>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3A6E-47B1-AF72-DEDC06171B4B}"/>
                </c:ext>
              </c:extLst>
            </c:dLbl>
            <c:dLbl>
              <c:idx val="13"/>
              <c:tx>
                <c:rich>
                  <a:bodyPr/>
                  <a:lstStyle/>
                  <a:p>
                    <a:fld id="{39DD1D46-57E8-4BE6-B3D8-3FACFC82B91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3A6E-47B1-AF72-DEDC06171B4B}"/>
                </c:ext>
              </c:extLst>
            </c:dLbl>
            <c:dLbl>
              <c:idx val="14"/>
              <c:tx>
                <c:rich>
                  <a:bodyPr/>
                  <a:lstStyle/>
                  <a:p>
                    <a:fld id="{BDAC70CD-8878-4529-9B54-C91AC3312F8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3A6E-47B1-AF72-DEDC06171B4B}"/>
                </c:ext>
              </c:extLst>
            </c:dLbl>
            <c:dLbl>
              <c:idx val="15"/>
              <c:tx>
                <c:rich>
                  <a:bodyPr/>
                  <a:lstStyle/>
                  <a:p>
                    <a:fld id="{D9EDB781-1F41-473E-8EBE-AD1D6FD4469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3A6E-47B1-AF72-DEDC06171B4B}"/>
                </c:ext>
              </c:extLst>
            </c:dLbl>
            <c:dLbl>
              <c:idx val="16"/>
              <c:tx>
                <c:rich>
                  <a:bodyPr/>
                  <a:lstStyle/>
                  <a:p>
                    <a:fld id="{CC20298D-8046-473A-9796-097D1B66E82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3A6E-47B1-AF72-DEDC06171B4B}"/>
                </c:ext>
              </c:extLst>
            </c:dLbl>
            <c:dLbl>
              <c:idx val="17"/>
              <c:tx>
                <c:rich>
                  <a:bodyPr/>
                  <a:lstStyle/>
                  <a:p>
                    <a:fld id="{5BF7F05A-37D2-43E7-9F71-C61584EDDD0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3A6E-47B1-AF72-DEDC06171B4B}"/>
                </c:ext>
              </c:extLst>
            </c:dLbl>
            <c:dLbl>
              <c:idx val="18"/>
              <c:tx>
                <c:rich>
                  <a:bodyPr/>
                  <a:lstStyle/>
                  <a:p>
                    <a:fld id="{4DD7F375-67E6-42A9-A674-C3B69002F0F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3A6E-47B1-AF72-DEDC06171B4B}"/>
                </c:ext>
              </c:extLst>
            </c:dLbl>
            <c:dLbl>
              <c:idx val="19"/>
              <c:tx>
                <c:rich>
                  <a:bodyPr/>
                  <a:lstStyle/>
                  <a:p>
                    <a:fld id="{4D53E911-7211-4D93-82E1-40532B0C41E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3A6E-47B1-AF72-DEDC06171B4B}"/>
                </c:ext>
              </c:extLst>
            </c:dLbl>
            <c:dLbl>
              <c:idx val="20"/>
              <c:tx>
                <c:rich>
                  <a:bodyPr/>
                  <a:lstStyle/>
                  <a:p>
                    <a:fld id="{9DBFB7F9-25F0-4586-86BE-355A9ECD999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3A6E-47B1-AF72-DEDC06171B4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'R1'!$B$48:$V$48</c:f>
                <c:numCache>
                  <c:formatCode>General</c:formatCode>
                  <c:ptCount val="21"/>
                  <c:pt idx="0">
                    <c:v>2.6997105560627031E-2</c:v>
                  </c:pt>
                  <c:pt idx="1">
                    <c:v>3.961204149321098E-2</c:v>
                  </c:pt>
                  <c:pt idx="2">
                    <c:v>4.005109776779215E-2</c:v>
                  </c:pt>
                  <c:pt idx="3">
                    <c:v>7.4642993064049021E-2</c:v>
                  </c:pt>
                  <c:pt idx="4">
                    <c:v>0.29738857714823391</c:v>
                  </c:pt>
                  <c:pt idx="5">
                    <c:v>0.1796922340233815</c:v>
                  </c:pt>
                  <c:pt idx="6">
                    <c:v>0.25663378077208465</c:v>
                  </c:pt>
                  <c:pt idx="7">
                    <c:v>9.3690129950267757E-3</c:v>
                  </c:pt>
                  <c:pt idx="8">
                    <c:v>3.8790749659152211E-2</c:v>
                  </c:pt>
                  <c:pt idx="9">
                    <c:v>1.5398596450611157E-2</c:v>
                  </c:pt>
                  <c:pt idx="10">
                    <c:v>4.511521237233411E-2</c:v>
                  </c:pt>
                  <c:pt idx="11">
                    <c:v>3.4274639767947465E-2</c:v>
                  </c:pt>
                  <c:pt idx="12">
                    <c:v>0</c:v>
                  </c:pt>
                  <c:pt idx="13">
                    <c:v>0.1284906225431835</c:v>
                  </c:pt>
                  <c:pt idx="14">
                    <c:v>0.22193730006554158</c:v>
                  </c:pt>
                  <c:pt idx="15">
                    <c:v>2.4629496463258734E-2</c:v>
                  </c:pt>
                  <c:pt idx="16">
                    <c:v>0.18825016999692756</c:v>
                  </c:pt>
                  <c:pt idx="17">
                    <c:v>0.19174607874660585</c:v>
                  </c:pt>
                  <c:pt idx="18">
                    <c:v>0.24438197755513263</c:v>
                  </c:pt>
                  <c:pt idx="19">
                    <c:v>0.21036318252881422</c:v>
                  </c:pt>
                  <c:pt idx="20">
                    <c:v>0.3090266388775284</c:v>
                  </c:pt>
                </c:numCache>
              </c:numRef>
            </c:plus>
            <c:minus>
              <c:numRef>
                <c:f>'R1'!$N$48:$V$48</c:f>
                <c:numCache>
                  <c:formatCode>General</c:formatCode>
                  <c:ptCount val="9"/>
                  <c:pt idx="0">
                    <c:v>0</c:v>
                  </c:pt>
                  <c:pt idx="1">
                    <c:v>0.1284906225431835</c:v>
                  </c:pt>
                  <c:pt idx="2">
                    <c:v>0.22193730006554158</c:v>
                  </c:pt>
                  <c:pt idx="3">
                    <c:v>2.4629496463258734E-2</c:v>
                  </c:pt>
                  <c:pt idx="4">
                    <c:v>0.18825016999692756</c:v>
                  </c:pt>
                  <c:pt idx="5">
                    <c:v>0.19174607874660585</c:v>
                  </c:pt>
                  <c:pt idx="6">
                    <c:v>0.24438197755513263</c:v>
                  </c:pt>
                  <c:pt idx="7">
                    <c:v>0.21036318252881422</c:v>
                  </c:pt>
                  <c:pt idx="8">
                    <c:v>0.3090266388775284</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FAD-10mg/L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'R1'!$B$53:$V$53</c:f>
              <c:numCache>
                <c:formatCode>0.0000</c:formatCode>
                <c:ptCount val="21"/>
                <c:pt idx="0">
                  <c:v>9.7375232749601817E-2</c:v>
                </c:pt>
                <c:pt idx="1">
                  <c:v>0.11072148565376264</c:v>
                </c:pt>
                <c:pt idx="2">
                  <c:v>0.10419731324787439</c:v>
                </c:pt>
                <c:pt idx="3">
                  <c:v>0.26467456800719324</c:v>
                </c:pt>
                <c:pt idx="4">
                  <c:v>0.60923496279781941</c:v>
                </c:pt>
                <c:pt idx="5">
                  <c:v>1.2783999792557399</c:v>
                </c:pt>
                <c:pt idx="6">
                  <c:v>2.4821521486052691</c:v>
                </c:pt>
                <c:pt idx="7">
                  <c:v>2.3739765535719808E-2</c:v>
                </c:pt>
                <c:pt idx="8">
                  <c:v>7.7981868433804086E-2</c:v>
                </c:pt>
                <c:pt idx="9">
                  <c:v>4.6697278697853159E-2</c:v>
                </c:pt>
                <c:pt idx="10">
                  <c:v>0.11344670014528108</c:v>
                </c:pt>
                <c:pt idx="11">
                  <c:v>7.2597420526962414E-2</c:v>
                </c:pt>
                <c:pt idx="13">
                  <c:v>0.99999999999999989</c:v>
                </c:pt>
                <c:pt idx="14">
                  <c:v>2.0057924015313708</c:v>
                </c:pt>
                <c:pt idx="15">
                  <c:v>0.10260470116796168</c:v>
                </c:pt>
                <c:pt idx="16">
                  <c:v>0.95394328012060181</c:v>
                </c:pt>
                <c:pt idx="17">
                  <c:v>0.61843939619955468</c:v>
                </c:pt>
                <c:pt idx="18">
                  <c:v>0.88495850506830998</c:v>
                </c:pt>
                <c:pt idx="19">
                  <c:v>0.54558221487434688</c:v>
                </c:pt>
                <c:pt idx="20">
                  <c:v>0.91102134279476754</c:v>
                </c:pt>
              </c:numCache>
            </c:numRef>
          </c:val>
          <c:extLst>
            <c:ext xmlns:c15="http://schemas.microsoft.com/office/drawing/2012/chart" uri="{02D57815-91ED-43cb-92C2-25804820EDAC}">
              <c15:datalabelsRange>
                <c15:f>'R1'!$B$61:$V$61</c15:f>
                <c15:dlblRangeCache>
                  <c:ptCount val="21"/>
                  <c:pt idx="1">
                    <c:v>NS</c:v>
                  </c:pt>
                  <c:pt idx="2">
                    <c:v>NS</c:v>
                  </c:pt>
                  <c:pt idx="3">
                    <c:v>*</c:v>
                  </c:pt>
                  <c:pt idx="4">
                    <c:v>*</c:v>
                  </c:pt>
                  <c:pt idx="5">
                    <c:v>***</c:v>
                  </c:pt>
                  <c:pt idx="6">
                    <c:v>***</c:v>
                  </c:pt>
                  <c:pt idx="7">
                    <c:v>NC</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00-4E48-433F-93CE-959A7E8575BB}"/>
            </c:ext>
          </c:extLst>
        </c:ser>
        <c:dLbls>
          <c:showLegendKey val="0"/>
          <c:showVal val="1"/>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1B47-4653-BAD8-01D1B83037E1}"/>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18-1B47-4653-BAD8-01D1B83037E1}"/>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19-1B47-4653-BAD8-01D1B83037E1}"/>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1A-1B47-4653-BAD8-01D1B83037E1}"/>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92D050"/>
              </a:solidFill>
            </c:spPr>
            <c:extLst>
              <c:ext xmlns:c16="http://schemas.microsoft.com/office/drawing/2014/chart" uri="{C3380CC4-5D6E-409C-BE32-E72D297353CC}">
                <c16:uniqueId val="{00000005-EED2-4ACE-91AA-7F8713196E92}"/>
              </c:ext>
            </c:extLst>
          </c:dPt>
          <c:dPt>
            <c:idx val="14"/>
            <c:invertIfNegative val="0"/>
            <c:bubble3D val="0"/>
            <c:spPr>
              <a:solidFill>
                <a:srgbClr val="00B0F0"/>
              </a:solidFill>
            </c:spPr>
            <c:extLst>
              <c:ext xmlns:c16="http://schemas.microsoft.com/office/drawing/2014/chart" uri="{C3380CC4-5D6E-409C-BE32-E72D297353CC}">
                <c16:uniqueId val="{0000001B-1B47-4653-BAD8-01D1B83037E1}"/>
              </c:ext>
            </c:extLst>
          </c:dPt>
          <c:dPt>
            <c:idx val="15"/>
            <c:invertIfNegative val="0"/>
            <c:bubble3D val="0"/>
            <c:spPr>
              <a:solidFill>
                <a:srgbClr val="FF0000"/>
              </a:solidFill>
            </c:spPr>
            <c:extLst>
              <c:ext xmlns:c16="http://schemas.microsoft.com/office/drawing/2014/chart" uri="{C3380CC4-5D6E-409C-BE32-E72D297353CC}">
                <c16:uniqueId val="{00000007-EED2-4ACE-91AA-7F8713196E92}"/>
              </c:ext>
            </c:extLst>
          </c:dPt>
          <c:dPt>
            <c:idx val="16"/>
            <c:invertIfNegative val="0"/>
            <c:bubble3D val="0"/>
            <c:spPr>
              <a:solidFill>
                <a:schemeClr val="accent6"/>
              </a:solidFill>
            </c:spPr>
            <c:extLst>
              <c:ext xmlns:c16="http://schemas.microsoft.com/office/drawing/2014/chart" uri="{C3380CC4-5D6E-409C-BE32-E72D297353CC}">
                <c16:uniqueId val="{0000001C-1B47-4653-BAD8-01D1B83037E1}"/>
              </c:ext>
            </c:extLst>
          </c:dPt>
          <c:dPt>
            <c:idx val="17"/>
            <c:invertIfNegative val="0"/>
            <c:bubble3D val="0"/>
            <c:spPr>
              <a:solidFill>
                <a:schemeClr val="accent6"/>
              </a:solidFill>
            </c:spPr>
            <c:extLst>
              <c:ext xmlns:c16="http://schemas.microsoft.com/office/drawing/2014/chart" uri="{C3380CC4-5D6E-409C-BE32-E72D297353CC}">
                <c16:uniqueId val="{0000001D-1B47-4653-BAD8-01D1B83037E1}"/>
              </c:ext>
            </c:extLst>
          </c:dPt>
          <c:dPt>
            <c:idx val="18"/>
            <c:invertIfNegative val="0"/>
            <c:bubble3D val="0"/>
            <c:spPr>
              <a:solidFill>
                <a:schemeClr val="accent6"/>
              </a:solidFill>
            </c:spPr>
            <c:extLst>
              <c:ext xmlns:c16="http://schemas.microsoft.com/office/drawing/2014/chart" uri="{C3380CC4-5D6E-409C-BE32-E72D297353CC}">
                <c16:uniqueId val="{0000001E-1B47-4653-BAD8-01D1B83037E1}"/>
              </c:ext>
            </c:extLst>
          </c:dPt>
          <c:dPt>
            <c:idx val="19"/>
            <c:invertIfNegative val="0"/>
            <c:bubble3D val="0"/>
            <c:spPr>
              <a:solidFill>
                <a:schemeClr val="accent6"/>
              </a:solidFill>
            </c:spPr>
            <c:extLst>
              <c:ext xmlns:c16="http://schemas.microsoft.com/office/drawing/2014/chart" uri="{C3380CC4-5D6E-409C-BE32-E72D297353CC}">
                <c16:uniqueId val="{0000001F-1B47-4653-BAD8-01D1B83037E1}"/>
              </c:ext>
            </c:extLst>
          </c:dPt>
          <c:dPt>
            <c:idx val="20"/>
            <c:invertIfNegative val="0"/>
            <c:bubble3D val="0"/>
            <c:spPr>
              <a:solidFill>
                <a:schemeClr val="accent6"/>
              </a:solidFill>
            </c:spPr>
            <c:extLst>
              <c:ext xmlns:c16="http://schemas.microsoft.com/office/drawing/2014/chart" uri="{C3380CC4-5D6E-409C-BE32-E72D297353CC}">
                <c16:uniqueId val="{00000020-1B47-4653-BAD8-01D1B83037E1}"/>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BE6BDFDF-0B68-455C-B55F-CFBEAC42644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B47-4653-BAD8-01D1B83037E1}"/>
                </c:ext>
              </c:extLst>
            </c:dLbl>
            <c:dLbl>
              <c:idx val="1"/>
              <c:tx>
                <c:rich>
                  <a:bodyPr/>
                  <a:lstStyle/>
                  <a:p>
                    <a:fld id="{4DAFA399-2469-452E-BB22-21A01C240D6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B47-4653-BAD8-01D1B83037E1}"/>
                </c:ext>
              </c:extLst>
            </c:dLbl>
            <c:dLbl>
              <c:idx val="2"/>
              <c:tx>
                <c:rich>
                  <a:bodyPr/>
                  <a:lstStyle/>
                  <a:p>
                    <a:fld id="{15995E9C-DC62-474F-92C7-6958B8A1A77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B47-4653-BAD8-01D1B83037E1}"/>
                </c:ext>
              </c:extLst>
            </c:dLbl>
            <c:dLbl>
              <c:idx val="3"/>
              <c:tx>
                <c:rich>
                  <a:bodyPr/>
                  <a:lstStyle/>
                  <a:p>
                    <a:fld id="{BBC277F5-D869-4885-BF42-6F24B04F962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B47-4653-BAD8-01D1B83037E1}"/>
                </c:ext>
              </c:extLst>
            </c:dLbl>
            <c:dLbl>
              <c:idx val="4"/>
              <c:tx>
                <c:rich>
                  <a:bodyPr/>
                  <a:lstStyle/>
                  <a:p>
                    <a:fld id="{79C16F7D-FFDB-4C01-B8C5-A927FB3C334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B47-4653-BAD8-01D1B83037E1}"/>
                </c:ext>
              </c:extLst>
            </c:dLbl>
            <c:dLbl>
              <c:idx val="5"/>
              <c:tx>
                <c:rich>
                  <a:bodyPr/>
                  <a:lstStyle/>
                  <a:p>
                    <a:fld id="{4BD52ADE-B1AD-44CA-B763-43CBF319F8F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B47-4653-BAD8-01D1B83037E1}"/>
                </c:ext>
              </c:extLst>
            </c:dLbl>
            <c:dLbl>
              <c:idx val="6"/>
              <c:tx>
                <c:rich>
                  <a:bodyPr/>
                  <a:lstStyle/>
                  <a:p>
                    <a:fld id="{CF76E4D9-DF16-462A-AAA4-2BB4DF76C58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B47-4653-BAD8-01D1B83037E1}"/>
                </c:ext>
              </c:extLst>
            </c:dLbl>
            <c:dLbl>
              <c:idx val="7"/>
              <c:tx>
                <c:rich>
                  <a:bodyPr/>
                  <a:lstStyle/>
                  <a:p>
                    <a:fld id="{79AF479C-B0F9-4939-8A64-8BF7A33D570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B47-4653-BAD8-01D1B83037E1}"/>
                </c:ext>
              </c:extLst>
            </c:dLbl>
            <c:dLbl>
              <c:idx val="8"/>
              <c:tx>
                <c:rich>
                  <a:bodyPr/>
                  <a:lstStyle/>
                  <a:p>
                    <a:fld id="{1311A880-85D5-4FC7-82EE-9AD8001F710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B47-4653-BAD8-01D1B83037E1}"/>
                </c:ext>
              </c:extLst>
            </c:dLbl>
            <c:dLbl>
              <c:idx val="9"/>
              <c:tx>
                <c:rich>
                  <a:bodyPr/>
                  <a:lstStyle/>
                  <a:p>
                    <a:fld id="{C3F77C00-BD9D-4817-94BB-9A773202AEF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0E5DD5F6-CD4B-4E45-91ED-6269A4653E9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B47-4653-BAD8-01D1B83037E1}"/>
                </c:ext>
              </c:extLst>
            </c:dLbl>
            <c:dLbl>
              <c:idx val="11"/>
              <c:tx>
                <c:rich>
                  <a:bodyPr/>
                  <a:lstStyle/>
                  <a:p>
                    <a:fld id="{77B21137-5BC3-48A5-B577-D246168A576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1B47-4653-BAD8-01D1B83037E1}"/>
                </c:ext>
              </c:extLst>
            </c:dLbl>
            <c:dLbl>
              <c:idx val="13"/>
              <c:tx>
                <c:rich>
                  <a:bodyPr/>
                  <a:lstStyle/>
                  <a:p>
                    <a:fld id="{F0753814-D017-4910-9586-6FB040A4F97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8EDF5AFC-B9AF-472F-A56C-EE810BC3135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B47-4653-BAD8-01D1B83037E1}"/>
                </c:ext>
              </c:extLst>
            </c:dLbl>
            <c:dLbl>
              <c:idx val="15"/>
              <c:tx>
                <c:rich>
                  <a:bodyPr/>
                  <a:lstStyle/>
                  <a:p>
                    <a:fld id="{7B5C36BC-C450-4384-B456-7092B910BE5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55E6200B-26EE-40DA-9D2E-66EFA8AAA25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B47-4653-BAD8-01D1B83037E1}"/>
                </c:ext>
              </c:extLst>
            </c:dLbl>
            <c:dLbl>
              <c:idx val="17"/>
              <c:tx>
                <c:rich>
                  <a:bodyPr/>
                  <a:lstStyle/>
                  <a:p>
                    <a:fld id="{C958BED9-BE88-42C9-A138-24CF57FEC7F4}"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B47-4653-BAD8-01D1B83037E1}"/>
                </c:ext>
              </c:extLst>
            </c:dLbl>
            <c:dLbl>
              <c:idx val="18"/>
              <c:tx>
                <c:rich>
                  <a:bodyPr/>
                  <a:lstStyle/>
                  <a:p>
                    <a:fld id="{47CF1AC3-3337-4D56-A495-C0C20938BD7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B47-4653-BAD8-01D1B83037E1}"/>
                </c:ext>
              </c:extLst>
            </c:dLbl>
            <c:dLbl>
              <c:idx val="19"/>
              <c:tx>
                <c:rich>
                  <a:bodyPr/>
                  <a:lstStyle/>
                  <a:p>
                    <a:fld id="{5E86A7A5-AA5E-46CA-BE72-4C539863299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B47-4653-BAD8-01D1B83037E1}"/>
                </c:ext>
              </c:extLst>
            </c:dLbl>
            <c:dLbl>
              <c:idx val="20"/>
              <c:tx>
                <c:rich>
                  <a:bodyPr/>
                  <a:lstStyle/>
                  <a:p>
                    <a:fld id="{C4B38FF2-E7B8-494F-A7DD-19E3B5A70E29}"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B47-4653-BAD8-01D1B83037E1}"/>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'R2'!$B$54:$V$54</c:f>
                <c:numCache>
                  <c:formatCode>General</c:formatCode>
                  <c:ptCount val="21"/>
                  <c:pt idx="0">
                    <c:v>2.1561825359201665E-2</c:v>
                  </c:pt>
                  <c:pt idx="1">
                    <c:v>4.6114066854317078E-2</c:v>
                  </c:pt>
                  <c:pt idx="2">
                    <c:v>2.7936374893121837E-2</c:v>
                  </c:pt>
                  <c:pt idx="3">
                    <c:v>4.8301547880191954E-2</c:v>
                  </c:pt>
                  <c:pt idx="4">
                    <c:v>0.17506835988726707</c:v>
                  </c:pt>
                  <c:pt idx="5">
                    <c:v>0.15734115579579358</c:v>
                  </c:pt>
                  <c:pt idx="6">
                    <c:v>0.20967212273835287</c:v>
                  </c:pt>
                  <c:pt idx="7">
                    <c:v>7.1378479453383117E-2</c:v>
                  </c:pt>
                  <c:pt idx="8">
                    <c:v>2.2123686319623252E-2</c:v>
                  </c:pt>
                  <c:pt idx="9">
                    <c:v>1.9312049213730587E-2</c:v>
                  </c:pt>
                  <c:pt idx="10">
                    <c:v>9.9567718769856088E-3</c:v>
                  </c:pt>
                  <c:pt idx="11">
                    <c:v>1.3510753078267063E-2</c:v>
                  </c:pt>
                  <c:pt idx="13">
                    <c:v>0.10076222211952765</c:v>
                  </c:pt>
                  <c:pt idx="14">
                    <c:v>0.30925844829498833</c:v>
                  </c:pt>
                  <c:pt idx="15">
                    <c:v>4.3128840499132716E-2</c:v>
                  </c:pt>
                  <c:pt idx="16">
                    <c:v>0.16128605989006456</c:v>
                  </c:pt>
                  <c:pt idx="17">
                    <c:v>0.16930987918365303</c:v>
                  </c:pt>
                  <c:pt idx="18">
                    <c:v>0.17225641229745708</c:v>
                  </c:pt>
                  <c:pt idx="19">
                    <c:v>0.21339840132219209</c:v>
                  </c:pt>
                  <c:pt idx="20">
                    <c:v>0.24335454192959016</c:v>
                  </c:pt>
                </c:numCache>
              </c:numRef>
            </c:plus>
            <c:minus>
              <c:numRef>
                <c:f>'R1'!$N$48:$V$48</c:f>
                <c:numCache>
                  <c:formatCode>General</c:formatCode>
                  <c:ptCount val="9"/>
                  <c:pt idx="0">
                    <c:v>0</c:v>
                  </c:pt>
                  <c:pt idx="1">
                    <c:v>0.1284906225431835</c:v>
                  </c:pt>
                  <c:pt idx="2">
                    <c:v>0.22193730006554158</c:v>
                  </c:pt>
                  <c:pt idx="3">
                    <c:v>2.4629496463258734E-2</c:v>
                  </c:pt>
                  <c:pt idx="4">
                    <c:v>0.18825016999692756</c:v>
                  </c:pt>
                  <c:pt idx="5">
                    <c:v>0.19174607874660585</c:v>
                  </c:pt>
                  <c:pt idx="6">
                    <c:v>0.24438197755513263</c:v>
                  </c:pt>
                  <c:pt idx="7">
                    <c:v>0.21036318252881422</c:v>
                  </c:pt>
                  <c:pt idx="8">
                    <c:v>0.3090266388775284</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FAD-10mg/L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'R2'!$B$53:$V$53</c:f>
              <c:numCache>
                <c:formatCode>0.0000</c:formatCode>
                <c:ptCount val="21"/>
                <c:pt idx="0">
                  <c:v>6.7025197386965121E-2</c:v>
                </c:pt>
                <c:pt idx="1">
                  <c:v>0.17770343361346091</c:v>
                </c:pt>
                <c:pt idx="2">
                  <c:v>8.4879118410382981E-2</c:v>
                </c:pt>
                <c:pt idx="3">
                  <c:v>0.15164034152713635</c:v>
                </c:pt>
                <c:pt idx="4">
                  <c:v>1.2910800469352453</c:v>
                </c:pt>
                <c:pt idx="5">
                  <c:v>1.3635432037072919</c:v>
                </c:pt>
                <c:pt idx="6">
                  <c:v>2.8786793211427111</c:v>
                </c:pt>
                <c:pt idx="7">
                  <c:v>0.19629713998664741</c:v>
                </c:pt>
                <c:pt idx="8">
                  <c:v>8.7979224004396422E-2</c:v>
                </c:pt>
                <c:pt idx="9">
                  <c:v>6.9587525281045337E-2</c:v>
                </c:pt>
                <c:pt idx="10">
                  <c:v>5.7236237663191865E-2</c:v>
                </c:pt>
                <c:pt idx="11">
                  <c:v>5.0367086141432531E-2</c:v>
                </c:pt>
                <c:pt idx="13">
                  <c:v>1.0000000000000002</c:v>
                </c:pt>
                <c:pt idx="14">
                  <c:v>1.2796204198777168</c:v>
                </c:pt>
                <c:pt idx="15">
                  <c:v>0.12666928658729942</c:v>
                </c:pt>
                <c:pt idx="16">
                  <c:v>0.90266656125266831</c:v>
                </c:pt>
                <c:pt idx="17">
                  <c:v>0.9845329698276204</c:v>
                </c:pt>
                <c:pt idx="18">
                  <c:v>0.68815597765528214</c:v>
                </c:pt>
                <c:pt idx="19">
                  <c:v>1.0844634582544339</c:v>
                </c:pt>
                <c:pt idx="20">
                  <c:v>0.73552328931734789</c:v>
                </c:pt>
              </c:numCache>
            </c:numRef>
          </c:val>
          <c:extLst>
            <c:ext xmlns:c15="http://schemas.microsoft.com/office/drawing/2012/chart" uri="{02D57815-91ED-43cb-92C2-25804820EDAC}">
              <c15:datalabelsRange>
                <c15:f>'R2'!$B$61:$V$61</c15:f>
                <c15:dlblRangeCache>
                  <c:ptCount val="21"/>
                  <c:pt idx="1">
                    <c:v>NS</c:v>
                  </c:pt>
                  <c:pt idx="2">
                    <c:v>NS</c:v>
                  </c:pt>
                  <c:pt idx="3">
                    <c:v>NS</c:v>
                  </c:pt>
                  <c:pt idx="4">
                    <c:v>***</c:v>
                  </c:pt>
                  <c:pt idx="5">
                    <c:v>***</c:v>
                  </c:pt>
                  <c:pt idx="6">
                    <c:v>***</c:v>
                  </c:pt>
                  <c:pt idx="7">
                    <c:v>NS</c:v>
                  </c:pt>
                  <c:pt idx="8">
                    <c:v>NS</c:v>
                  </c:pt>
                  <c:pt idx="9">
                    <c:v>NC</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1"/>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0"/>
            <c:invertIfNegative val="0"/>
            <c:bubble3D val="0"/>
            <c:spPr>
              <a:solidFill>
                <a:schemeClr val="tx1"/>
              </a:solidFill>
            </c:spPr>
            <c:extLst>
              <c:ext xmlns:c16="http://schemas.microsoft.com/office/drawing/2014/chart" uri="{C3380CC4-5D6E-409C-BE32-E72D297353CC}">
                <c16:uniqueId val="{00000017-673C-444C-8C2E-98AE6D5EAB88}"/>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18-673C-444C-8C2E-98AE6D5EAB88}"/>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19-673C-444C-8C2E-98AE6D5EAB88}"/>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01-EED2-4ACE-91AA-7F8713196E92}"/>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1A-673C-444C-8C2E-98AE6D5EAB88}"/>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03-EED2-4ACE-91AA-7F8713196E92}"/>
              </c:ext>
            </c:extLst>
          </c:dPt>
          <c:dPt>
            <c:idx val="13"/>
            <c:invertIfNegative val="0"/>
            <c:bubble3D val="0"/>
            <c:spPr>
              <a:solidFill>
                <a:srgbClr val="92D050"/>
              </a:solidFill>
            </c:spPr>
            <c:extLst>
              <c:ext xmlns:c16="http://schemas.microsoft.com/office/drawing/2014/chart" uri="{C3380CC4-5D6E-409C-BE32-E72D297353CC}">
                <c16:uniqueId val="{00000005-EED2-4ACE-91AA-7F8713196E92}"/>
              </c:ext>
            </c:extLst>
          </c:dPt>
          <c:dPt>
            <c:idx val="14"/>
            <c:invertIfNegative val="0"/>
            <c:bubble3D val="0"/>
            <c:spPr>
              <a:solidFill>
                <a:srgbClr val="00B0F0"/>
              </a:solidFill>
            </c:spPr>
            <c:extLst>
              <c:ext xmlns:c16="http://schemas.microsoft.com/office/drawing/2014/chart" uri="{C3380CC4-5D6E-409C-BE32-E72D297353CC}">
                <c16:uniqueId val="{0000001B-673C-444C-8C2E-98AE6D5EAB88}"/>
              </c:ext>
            </c:extLst>
          </c:dPt>
          <c:dPt>
            <c:idx val="15"/>
            <c:invertIfNegative val="0"/>
            <c:bubble3D val="0"/>
            <c:spPr>
              <a:solidFill>
                <a:srgbClr val="FF0000"/>
              </a:solidFill>
            </c:spPr>
            <c:extLst>
              <c:ext xmlns:c16="http://schemas.microsoft.com/office/drawing/2014/chart" uri="{C3380CC4-5D6E-409C-BE32-E72D297353CC}">
                <c16:uniqueId val="{00000007-EED2-4ACE-91AA-7F8713196E92}"/>
              </c:ext>
            </c:extLst>
          </c:dPt>
          <c:dPt>
            <c:idx val="16"/>
            <c:invertIfNegative val="0"/>
            <c:bubble3D val="0"/>
            <c:spPr>
              <a:solidFill>
                <a:schemeClr val="accent6"/>
              </a:solidFill>
            </c:spPr>
            <c:extLst>
              <c:ext xmlns:c16="http://schemas.microsoft.com/office/drawing/2014/chart" uri="{C3380CC4-5D6E-409C-BE32-E72D297353CC}">
                <c16:uniqueId val="{0000001C-673C-444C-8C2E-98AE6D5EAB88}"/>
              </c:ext>
            </c:extLst>
          </c:dPt>
          <c:dPt>
            <c:idx val="17"/>
            <c:invertIfNegative val="0"/>
            <c:bubble3D val="0"/>
            <c:spPr>
              <a:solidFill>
                <a:schemeClr val="accent6"/>
              </a:solidFill>
            </c:spPr>
            <c:extLst>
              <c:ext xmlns:c16="http://schemas.microsoft.com/office/drawing/2014/chart" uri="{C3380CC4-5D6E-409C-BE32-E72D297353CC}">
                <c16:uniqueId val="{0000001D-673C-444C-8C2E-98AE6D5EAB88}"/>
              </c:ext>
            </c:extLst>
          </c:dPt>
          <c:dPt>
            <c:idx val="18"/>
            <c:invertIfNegative val="0"/>
            <c:bubble3D val="0"/>
            <c:spPr>
              <a:solidFill>
                <a:schemeClr val="accent6"/>
              </a:solidFill>
            </c:spPr>
            <c:extLst>
              <c:ext xmlns:c16="http://schemas.microsoft.com/office/drawing/2014/chart" uri="{C3380CC4-5D6E-409C-BE32-E72D297353CC}">
                <c16:uniqueId val="{0000001E-673C-444C-8C2E-98AE6D5EAB88}"/>
              </c:ext>
            </c:extLst>
          </c:dPt>
          <c:dPt>
            <c:idx val="19"/>
            <c:invertIfNegative val="0"/>
            <c:bubble3D val="0"/>
            <c:spPr>
              <a:solidFill>
                <a:schemeClr val="accent6"/>
              </a:solidFill>
            </c:spPr>
            <c:extLst>
              <c:ext xmlns:c16="http://schemas.microsoft.com/office/drawing/2014/chart" uri="{C3380CC4-5D6E-409C-BE32-E72D297353CC}">
                <c16:uniqueId val="{0000001F-673C-444C-8C2E-98AE6D5EAB88}"/>
              </c:ext>
            </c:extLst>
          </c:dPt>
          <c:dPt>
            <c:idx val="20"/>
            <c:invertIfNegative val="0"/>
            <c:bubble3D val="0"/>
            <c:spPr>
              <a:solidFill>
                <a:schemeClr val="accent6"/>
              </a:solidFill>
            </c:spPr>
            <c:extLst>
              <c:ext xmlns:c16="http://schemas.microsoft.com/office/drawing/2014/chart" uri="{C3380CC4-5D6E-409C-BE32-E72D297353CC}">
                <c16:uniqueId val="{00000020-673C-444C-8C2E-98AE6D5EAB88}"/>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dLbls>
            <c:dLbl>
              <c:idx val="0"/>
              <c:tx>
                <c:rich>
                  <a:bodyPr/>
                  <a:lstStyle/>
                  <a:p>
                    <a:fld id="{F3478492-72F0-45AF-8D07-966C98E0BB1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673C-444C-8C2E-98AE6D5EAB88}"/>
                </c:ext>
              </c:extLst>
            </c:dLbl>
            <c:dLbl>
              <c:idx val="1"/>
              <c:tx>
                <c:rich>
                  <a:bodyPr/>
                  <a:lstStyle/>
                  <a:p>
                    <a:fld id="{8134061D-A8ED-4DF4-97F1-85AE88DE9CE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673C-444C-8C2E-98AE6D5EAB88}"/>
                </c:ext>
              </c:extLst>
            </c:dLbl>
            <c:dLbl>
              <c:idx val="2"/>
              <c:tx>
                <c:rich>
                  <a:bodyPr/>
                  <a:lstStyle/>
                  <a:p>
                    <a:fld id="{49E6D3D8-EF81-467C-8693-DDF1F6A8C71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673C-444C-8C2E-98AE6D5EAB88}"/>
                </c:ext>
              </c:extLst>
            </c:dLbl>
            <c:dLbl>
              <c:idx val="3"/>
              <c:tx>
                <c:rich>
                  <a:bodyPr/>
                  <a:lstStyle/>
                  <a:p>
                    <a:fld id="{7127399D-6B76-44E2-A773-30A6F3B04F5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673C-444C-8C2E-98AE6D5EAB88}"/>
                </c:ext>
              </c:extLst>
            </c:dLbl>
            <c:dLbl>
              <c:idx val="4"/>
              <c:tx>
                <c:rich>
                  <a:bodyPr/>
                  <a:lstStyle/>
                  <a:p>
                    <a:fld id="{02785E89-42D0-4D28-B36B-6D7571F414E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673C-444C-8C2E-98AE6D5EAB88}"/>
                </c:ext>
              </c:extLst>
            </c:dLbl>
            <c:dLbl>
              <c:idx val="5"/>
              <c:tx>
                <c:rich>
                  <a:bodyPr/>
                  <a:lstStyle/>
                  <a:p>
                    <a:fld id="{5EB4CCAE-D5FC-489F-B38C-8F2EC5AA4B9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673C-444C-8C2E-98AE6D5EAB88}"/>
                </c:ext>
              </c:extLst>
            </c:dLbl>
            <c:dLbl>
              <c:idx val="6"/>
              <c:tx>
                <c:rich>
                  <a:bodyPr/>
                  <a:lstStyle/>
                  <a:p>
                    <a:fld id="{EDF37DE1-103C-4263-9C9F-BC84884EE000}"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673C-444C-8C2E-98AE6D5EAB88}"/>
                </c:ext>
              </c:extLst>
            </c:dLbl>
            <c:dLbl>
              <c:idx val="7"/>
              <c:tx>
                <c:rich>
                  <a:bodyPr/>
                  <a:lstStyle/>
                  <a:p>
                    <a:fld id="{8916A7F1-A4C8-47E8-86F9-06F36A6E435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673C-444C-8C2E-98AE6D5EAB88}"/>
                </c:ext>
              </c:extLst>
            </c:dLbl>
            <c:dLbl>
              <c:idx val="8"/>
              <c:tx>
                <c:rich>
                  <a:bodyPr/>
                  <a:lstStyle/>
                  <a:p>
                    <a:fld id="{5823E0A7-707E-4462-8861-77E80FB3EF5C}"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73C-444C-8C2E-98AE6D5EAB88}"/>
                </c:ext>
              </c:extLst>
            </c:dLbl>
            <c:dLbl>
              <c:idx val="9"/>
              <c:tx>
                <c:rich>
                  <a:bodyPr/>
                  <a:lstStyle/>
                  <a:p>
                    <a:fld id="{7D2C21A3-3979-4BB9-8F38-71F5AFEBFE7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ED2-4ACE-91AA-7F8713196E92}"/>
                </c:ext>
              </c:extLst>
            </c:dLbl>
            <c:dLbl>
              <c:idx val="10"/>
              <c:tx>
                <c:rich>
                  <a:bodyPr/>
                  <a:lstStyle/>
                  <a:p>
                    <a:fld id="{5139E21D-18FA-4309-9AE7-DF90D0B4D153}"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73C-444C-8C2E-98AE6D5EAB88}"/>
                </c:ext>
              </c:extLst>
            </c:dLbl>
            <c:dLbl>
              <c:idx val="11"/>
              <c:tx>
                <c:rich>
                  <a:bodyPr/>
                  <a:lstStyle/>
                  <a:p>
                    <a:fld id="{341EB277-FF94-45B4-9E53-653CEABABAD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ED2-4ACE-91AA-7F8713196E92}"/>
                </c:ext>
              </c:extLst>
            </c:dLbl>
            <c:dLbl>
              <c:idx val="12"/>
              <c:tx>
                <c:rich>
                  <a:bodyPr/>
                  <a:lstStyle/>
                  <a:p>
                    <a:endParaRPr lang="fr-F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673C-444C-8C2E-98AE6D5EAB88}"/>
                </c:ext>
              </c:extLst>
            </c:dLbl>
            <c:dLbl>
              <c:idx val="13"/>
              <c:tx>
                <c:rich>
                  <a:bodyPr/>
                  <a:lstStyle/>
                  <a:p>
                    <a:fld id="{8BF5E3A6-34C2-49DB-AE7D-C65F93C4825F}"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ED2-4ACE-91AA-7F8713196E92}"/>
                </c:ext>
              </c:extLst>
            </c:dLbl>
            <c:dLbl>
              <c:idx val="14"/>
              <c:tx>
                <c:rich>
                  <a:bodyPr/>
                  <a:lstStyle/>
                  <a:p>
                    <a:fld id="{155FB64D-2D83-47F9-983D-06091C651DCE}"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673C-444C-8C2E-98AE6D5EAB88}"/>
                </c:ext>
              </c:extLst>
            </c:dLbl>
            <c:dLbl>
              <c:idx val="15"/>
              <c:tx>
                <c:rich>
                  <a:bodyPr/>
                  <a:lstStyle/>
                  <a:p>
                    <a:fld id="{065BB474-964C-4895-881B-FAF3D66B967D}"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ED2-4ACE-91AA-7F8713196E92}"/>
                </c:ext>
              </c:extLst>
            </c:dLbl>
            <c:dLbl>
              <c:idx val="16"/>
              <c:tx>
                <c:rich>
                  <a:bodyPr/>
                  <a:lstStyle/>
                  <a:p>
                    <a:fld id="{F1584FF7-D421-49FD-9B39-22548F166DAA}"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673C-444C-8C2E-98AE6D5EAB88}"/>
                </c:ext>
              </c:extLst>
            </c:dLbl>
            <c:dLbl>
              <c:idx val="17"/>
              <c:tx>
                <c:rich>
                  <a:bodyPr/>
                  <a:lstStyle/>
                  <a:p>
                    <a:fld id="{283BD321-8F49-47CC-BE28-9D0FB30C2148}"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673C-444C-8C2E-98AE6D5EAB88}"/>
                </c:ext>
              </c:extLst>
            </c:dLbl>
            <c:dLbl>
              <c:idx val="18"/>
              <c:tx>
                <c:rich>
                  <a:bodyPr/>
                  <a:lstStyle/>
                  <a:p>
                    <a:fld id="{1CC8CB40-98CF-4A1E-85B7-A8BE6D697FB6}"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673C-444C-8C2E-98AE6D5EAB88}"/>
                </c:ext>
              </c:extLst>
            </c:dLbl>
            <c:dLbl>
              <c:idx val="19"/>
              <c:tx>
                <c:rich>
                  <a:bodyPr/>
                  <a:lstStyle/>
                  <a:p>
                    <a:fld id="{1DF71065-1804-4EEB-A15C-C0071FF7B247}"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73C-444C-8C2E-98AE6D5EAB88}"/>
                </c:ext>
              </c:extLst>
            </c:dLbl>
            <c:dLbl>
              <c:idx val="20"/>
              <c:tx>
                <c:rich>
                  <a:bodyPr/>
                  <a:lstStyle/>
                  <a:p>
                    <a:fld id="{E8EC78A6-FB1F-448C-895A-CDAC25259062}"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673C-444C-8C2E-98AE6D5EAB88}"/>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plus"/>
            <c:errValType val="cust"/>
            <c:noEndCap val="0"/>
            <c:plus>
              <c:numRef>
                <c:f>'R3'!$B$54:$V$54</c:f>
                <c:numCache>
                  <c:formatCode>General</c:formatCode>
                  <c:ptCount val="21"/>
                  <c:pt idx="0">
                    <c:v>1.4913248978461226E-2</c:v>
                  </c:pt>
                  <c:pt idx="1">
                    <c:v>3.4057685222132421E-2</c:v>
                  </c:pt>
                  <c:pt idx="2">
                    <c:v>3.4591988181783918E-2</c:v>
                  </c:pt>
                  <c:pt idx="3">
                    <c:v>3.7705819865469579E-2</c:v>
                  </c:pt>
                  <c:pt idx="4">
                    <c:v>0.17831668380674784</c:v>
                  </c:pt>
                  <c:pt idx="5">
                    <c:v>0.14254461574995209</c:v>
                  </c:pt>
                  <c:pt idx="6">
                    <c:v>0.1688680784671574</c:v>
                  </c:pt>
                  <c:pt idx="7">
                    <c:v>1.853722648729399E-2</c:v>
                  </c:pt>
                  <c:pt idx="8">
                    <c:v>3.3665289068125305E-2</c:v>
                  </c:pt>
                  <c:pt idx="9">
                    <c:v>1.5225090864924297E-2</c:v>
                  </c:pt>
                  <c:pt idx="10">
                    <c:v>1.975834035238758E-2</c:v>
                  </c:pt>
                  <c:pt idx="11">
                    <c:v>2.7664475325979238E-2</c:v>
                  </c:pt>
                  <c:pt idx="13">
                    <c:v>0.16749113240564589</c:v>
                  </c:pt>
                  <c:pt idx="14">
                    <c:v>0.22325737830044531</c:v>
                  </c:pt>
                  <c:pt idx="15">
                    <c:v>1.3924016906922207E-2</c:v>
                  </c:pt>
                  <c:pt idx="16">
                    <c:v>0.23596651372880736</c:v>
                  </c:pt>
                  <c:pt idx="17">
                    <c:v>0.19337836729549096</c:v>
                  </c:pt>
                  <c:pt idx="18">
                    <c:v>0.14125842272783704</c:v>
                  </c:pt>
                  <c:pt idx="19">
                    <c:v>0.20615241567751974</c:v>
                  </c:pt>
                  <c:pt idx="20">
                    <c:v>0.1633391089783118</c:v>
                  </c:pt>
                </c:numCache>
              </c:numRef>
            </c:plus>
            <c:minus>
              <c:numRef>
                <c:f>'R1'!$N$48:$V$48</c:f>
                <c:numCache>
                  <c:formatCode>General</c:formatCode>
                  <c:ptCount val="9"/>
                  <c:pt idx="0">
                    <c:v>0</c:v>
                  </c:pt>
                  <c:pt idx="1">
                    <c:v>0.1284906225431835</c:v>
                  </c:pt>
                  <c:pt idx="2">
                    <c:v>0.22193730006554158</c:v>
                  </c:pt>
                  <c:pt idx="3">
                    <c:v>2.4629496463258734E-2</c:v>
                  </c:pt>
                  <c:pt idx="4">
                    <c:v>0.18825016999692756</c:v>
                  </c:pt>
                  <c:pt idx="5">
                    <c:v>0.19174607874660585</c:v>
                  </c:pt>
                  <c:pt idx="6">
                    <c:v>0.24438197755513263</c:v>
                  </c:pt>
                  <c:pt idx="7">
                    <c:v>0.21036318252881422</c:v>
                  </c:pt>
                  <c:pt idx="8">
                    <c:v>0.3090266388775284</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FAD-10mg/L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'R3'!$B$53:$V$53</c:f>
              <c:numCache>
                <c:formatCode>0.0000</c:formatCode>
                <c:ptCount val="21"/>
                <c:pt idx="0">
                  <c:v>7.1629747364927929E-2</c:v>
                </c:pt>
                <c:pt idx="1">
                  <c:v>0.13571470880485323</c:v>
                </c:pt>
                <c:pt idx="2">
                  <c:v>0.14027904500835151</c:v>
                </c:pt>
                <c:pt idx="3">
                  <c:v>0.14164304068898242</c:v>
                </c:pt>
                <c:pt idx="4">
                  <c:v>0.39284253645538897</c:v>
                </c:pt>
                <c:pt idx="5">
                  <c:v>0.89277712183794034</c:v>
                </c:pt>
                <c:pt idx="6">
                  <c:v>1.9778978797744435</c:v>
                </c:pt>
                <c:pt idx="7">
                  <c:v>8.3708876413628674E-2</c:v>
                </c:pt>
                <c:pt idx="8">
                  <c:v>8.5323014448112328E-2</c:v>
                </c:pt>
                <c:pt idx="9">
                  <c:v>5.8335041753045186E-2</c:v>
                </c:pt>
                <c:pt idx="10">
                  <c:v>7.3965772293732676E-2</c:v>
                </c:pt>
                <c:pt idx="11">
                  <c:v>7.666182576746873E-2</c:v>
                </c:pt>
                <c:pt idx="13">
                  <c:v>1.0000000000000002</c:v>
                </c:pt>
                <c:pt idx="14">
                  <c:v>1.5872675939889653</c:v>
                </c:pt>
                <c:pt idx="15">
                  <c:v>8.2971730521456219E-2</c:v>
                </c:pt>
                <c:pt idx="16">
                  <c:v>0.60691372387430331</c:v>
                </c:pt>
                <c:pt idx="17">
                  <c:v>0.61523026370436495</c:v>
                </c:pt>
                <c:pt idx="18">
                  <c:v>0.60687152109120024</c:v>
                </c:pt>
                <c:pt idx="19">
                  <c:v>0.87754369798043186</c:v>
                </c:pt>
                <c:pt idx="20">
                  <c:v>0.63477761382966003</c:v>
                </c:pt>
              </c:numCache>
            </c:numRef>
          </c:val>
          <c:extLst>
            <c:ext xmlns:c15="http://schemas.microsoft.com/office/drawing/2012/chart" uri="{02D57815-91ED-43cb-92C2-25804820EDAC}">
              <c15:datalabelsRange>
                <c15:f>'R3'!$B$61:$V$61</c15:f>
                <c15:dlblRangeCache>
                  <c:ptCount val="21"/>
                  <c:pt idx="1">
                    <c:v>NS</c:v>
                  </c:pt>
                  <c:pt idx="2">
                    <c:v>NS</c:v>
                  </c:pt>
                  <c:pt idx="3">
                    <c:v>NS</c:v>
                  </c:pt>
                  <c:pt idx="4">
                    <c:v>#NOM?</c:v>
                  </c:pt>
                  <c:pt idx="5">
                    <c:v>***</c:v>
                  </c:pt>
                  <c:pt idx="6">
                    <c:v>***</c:v>
                  </c:pt>
                  <c:pt idx="7">
                    <c:v>NS</c:v>
                  </c:pt>
                  <c:pt idx="8">
                    <c:v>NS</c:v>
                  </c:pt>
                  <c:pt idx="9">
                    <c:v>NS</c:v>
                  </c:pt>
                  <c:pt idx="10">
                    <c:v>NS</c:v>
                  </c:pt>
                  <c:pt idx="11">
                    <c:v>NS</c:v>
                  </c:pt>
                  <c:pt idx="13">
                    <c:v>***</c:v>
                  </c:pt>
                  <c:pt idx="14">
                    <c:v>NS</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0"/>
            <c:invertIfNegative val="0"/>
            <c:bubble3D val="0"/>
            <c:spPr>
              <a:solidFill>
                <a:schemeClr val="tx1"/>
              </a:solidFill>
            </c:spPr>
            <c:extLst>
              <c:ext xmlns:c16="http://schemas.microsoft.com/office/drawing/2014/chart" uri="{C3380CC4-5D6E-409C-BE32-E72D297353CC}">
                <c16:uniqueId val="{0000002C-033C-4530-84A9-991A3866ABD4}"/>
              </c:ext>
            </c:extLst>
          </c:dPt>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accent2"/>
              </a:solidFill>
            </c:spPr>
            <c:extLst>
              <c:ext xmlns:c16="http://schemas.microsoft.com/office/drawing/2014/chart" uri="{C3380CC4-5D6E-409C-BE32-E72D297353CC}">
                <c16:uniqueId val="{00000003-033C-4530-84A9-991A3866ABD4}"/>
              </c:ext>
            </c:extLst>
          </c:dPt>
          <c:dPt>
            <c:idx val="3"/>
            <c:invertIfNegative val="0"/>
            <c:bubble3D val="0"/>
            <c:spPr>
              <a:solidFill>
                <a:schemeClr val="accent2"/>
              </a:solidFill>
            </c:spPr>
            <c:extLst>
              <c:ext xmlns:c16="http://schemas.microsoft.com/office/drawing/2014/chart" uri="{C3380CC4-5D6E-409C-BE32-E72D297353CC}">
                <c16:uniqueId val="{00000005-033C-4530-84A9-991A3866ABD4}"/>
              </c:ext>
            </c:extLst>
          </c:dPt>
          <c:dPt>
            <c:idx val="4"/>
            <c:invertIfNegative val="0"/>
            <c:bubble3D val="0"/>
            <c:spPr>
              <a:solidFill>
                <a:schemeClr val="accent2"/>
              </a:solidFill>
            </c:spPr>
            <c:extLst>
              <c:ext xmlns:c16="http://schemas.microsoft.com/office/drawing/2014/chart" uri="{C3380CC4-5D6E-409C-BE32-E72D297353CC}">
                <c16:uniqueId val="{00000007-033C-4530-84A9-991A3866ABD4}"/>
              </c:ext>
            </c:extLst>
          </c:dPt>
          <c:dPt>
            <c:idx val="5"/>
            <c:invertIfNegative val="0"/>
            <c:bubble3D val="0"/>
            <c:spPr>
              <a:solidFill>
                <a:schemeClr val="accent2"/>
              </a:solidFill>
            </c:spPr>
            <c:extLst>
              <c:ext xmlns:c16="http://schemas.microsoft.com/office/drawing/2014/chart" uri="{C3380CC4-5D6E-409C-BE32-E72D297353CC}">
                <c16:uniqueId val="{00000009-033C-4530-84A9-991A3866ABD4}"/>
              </c:ext>
            </c:extLst>
          </c:dPt>
          <c:dPt>
            <c:idx val="6"/>
            <c:invertIfNegative val="0"/>
            <c:bubble3D val="0"/>
            <c:spPr>
              <a:solidFill>
                <a:schemeClr val="accent2"/>
              </a:solidFill>
            </c:spPr>
            <c:extLst>
              <c:ext xmlns:c16="http://schemas.microsoft.com/office/drawing/2014/chart" uri="{C3380CC4-5D6E-409C-BE32-E72D297353CC}">
                <c16:uniqueId val="{0000000B-033C-4530-84A9-991A3866ABD4}"/>
              </c:ext>
            </c:extLst>
          </c:dPt>
          <c:dPt>
            <c:idx val="7"/>
            <c:invertIfNegative val="0"/>
            <c:bubble3D val="0"/>
            <c:spPr>
              <a:solidFill>
                <a:schemeClr val="accent6">
                  <a:lumMod val="20000"/>
                  <a:lumOff val="8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accent6">
                  <a:lumMod val="20000"/>
                  <a:lumOff val="80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accent6">
                  <a:lumMod val="20000"/>
                  <a:lumOff val="80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accent6">
                  <a:lumMod val="20000"/>
                  <a:lumOff val="80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accent6">
                  <a:lumMod val="20000"/>
                  <a:lumOff val="8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rgbClr val="92D050"/>
              </a:solidFill>
            </c:spPr>
            <c:extLst>
              <c:ext xmlns:c16="http://schemas.microsoft.com/office/drawing/2014/chart" uri="{C3380CC4-5D6E-409C-BE32-E72D297353CC}">
                <c16:uniqueId val="{00000019-033C-4530-84A9-991A3866ABD4}"/>
              </c:ext>
            </c:extLst>
          </c:dPt>
          <c:dPt>
            <c:idx val="14"/>
            <c:invertIfNegative val="0"/>
            <c:bubble3D val="0"/>
            <c:spPr>
              <a:solidFill>
                <a:srgbClr val="00B0F0"/>
              </a:solidFill>
            </c:spPr>
            <c:extLst>
              <c:ext xmlns:c16="http://schemas.microsoft.com/office/drawing/2014/chart" uri="{C3380CC4-5D6E-409C-BE32-E72D297353CC}">
                <c16:uniqueId val="{0000001B-033C-4530-84A9-991A3866ABD4}"/>
              </c:ext>
            </c:extLst>
          </c:dPt>
          <c:dPt>
            <c:idx val="15"/>
            <c:invertIfNegative val="0"/>
            <c:bubble3D val="0"/>
            <c:spPr>
              <a:solidFill>
                <a:srgbClr val="FF0000"/>
              </a:solidFill>
            </c:spPr>
            <c:extLst>
              <c:ext xmlns:c16="http://schemas.microsoft.com/office/drawing/2014/chart" uri="{C3380CC4-5D6E-409C-BE32-E72D297353CC}">
                <c16:uniqueId val="{0000001D-033C-4530-84A9-991A3866ABD4}"/>
              </c:ext>
            </c:extLst>
          </c:dPt>
          <c:dPt>
            <c:idx val="16"/>
            <c:invertIfNegative val="0"/>
            <c:bubble3D val="0"/>
            <c:spPr>
              <a:solidFill>
                <a:schemeClr val="accent6"/>
              </a:solidFill>
            </c:spPr>
            <c:extLst>
              <c:ext xmlns:c16="http://schemas.microsoft.com/office/drawing/2014/chart" uri="{C3380CC4-5D6E-409C-BE32-E72D297353CC}">
                <c16:uniqueId val="{0000001F-033C-4530-84A9-991A3866ABD4}"/>
              </c:ext>
            </c:extLst>
          </c:dPt>
          <c:dPt>
            <c:idx val="17"/>
            <c:invertIfNegative val="0"/>
            <c:bubble3D val="0"/>
            <c:spPr>
              <a:solidFill>
                <a:schemeClr val="accent6"/>
              </a:solidFill>
            </c:spPr>
            <c:extLst>
              <c:ext xmlns:c16="http://schemas.microsoft.com/office/drawing/2014/chart" uri="{C3380CC4-5D6E-409C-BE32-E72D297353CC}">
                <c16:uniqueId val="{00000021-033C-4530-84A9-991A3866ABD4}"/>
              </c:ext>
            </c:extLst>
          </c:dPt>
          <c:dPt>
            <c:idx val="18"/>
            <c:invertIfNegative val="0"/>
            <c:bubble3D val="0"/>
            <c:spPr>
              <a:solidFill>
                <a:schemeClr val="accent6"/>
              </a:solidFill>
            </c:spPr>
            <c:extLst>
              <c:ext xmlns:c16="http://schemas.microsoft.com/office/drawing/2014/chart" uri="{C3380CC4-5D6E-409C-BE32-E72D297353CC}">
                <c16:uniqueId val="{00000023-033C-4530-84A9-991A3866ABD4}"/>
              </c:ext>
            </c:extLst>
          </c:dPt>
          <c:dPt>
            <c:idx val="19"/>
            <c:invertIfNegative val="0"/>
            <c:bubble3D val="0"/>
            <c:spPr>
              <a:solidFill>
                <a:schemeClr val="accent6"/>
              </a:solidFill>
            </c:spPr>
            <c:extLst>
              <c:ext xmlns:c16="http://schemas.microsoft.com/office/drawing/2014/chart" uri="{C3380CC4-5D6E-409C-BE32-E72D297353CC}">
                <c16:uniqueId val="{00000025-033C-4530-84A9-991A3866ABD4}"/>
              </c:ext>
            </c:extLst>
          </c:dPt>
          <c:dPt>
            <c:idx val="20"/>
            <c:invertIfNegative val="0"/>
            <c:bubble3D val="0"/>
            <c:spPr>
              <a:solidFill>
                <a:schemeClr val="accent6"/>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7FAA9F22-CD35-4D7F-8CC4-82712C736186}"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E9763FC6-C89F-4A23-BEB3-82FDD692952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C7FCF245-1F56-4856-9DE4-0FE40F7AEE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3BA956F7-3340-4E74-A46C-BE389D677E9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EA84BEE2-326F-4FA7-939B-33C42ADF516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F6C50E43-3C5D-4AD2-A4B6-59F661CA17A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C9246CA0-5304-4EB5-A90E-74D7D1E321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D7920973-120B-473B-B935-96CDAC0F1B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45DB9874-CF03-4955-8B8E-3FD37E864B2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8DDF1FBE-020F-4150-BCBC-21959FCF185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DF6B2C8F-B6E3-485A-8E16-6993AD88F3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D160E03C-926D-4516-BF17-EC519C442D2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D18F3D84-DF9E-4FE0-A49F-18983BA8AA9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DC4AFF86-4A4F-44A0-9B9A-6517D1D4218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9252B471-F250-47CC-A13D-CE24DA46BA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1F9E06C7-EC44-4137-A05E-98E6DE2A6A9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641373C3-617A-46FF-A74B-8308B4CE5E1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5FCC984C-D86A-4682-8DF2-D642451E4B8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4A379386-AAAB-4BC6-B837-E1557AE193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4B602FEE-DA34-4BE2-BED5-66ABB55EE1F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1.230540078055155E-2</c:v>
                  </c:pt>
                  <c:pt idx="1">
                    <c:v>2.2930348305762922E-2</c:v>
                  </c:pt>
                  <c:pt idx="2">
                    <c:v>1.9961500444021684E-2</c:v>
                  </c:pt>
                  <c:pt idx="3">
                    <c:v>3.2885886709399938E-2</c:v>
                  </c:pt>
                  <c:pt idx="4">
                    <c:v>0.14723161098997486</c:v>
                  </c:pt>
                  <c:pt idx="5">
                    <c:v>9.8349413608371974E-2</c:v>
                  </c:pt>
                  <c:pt idx="6">
                    <c:v>0.14121706291991828</c:v>
                  </c:pt>
                  <c:pt idx="7">
                    <c:v>2.7983832747878534E-2</c:v>
                  </c:pt>
                  <c:pt idx="8">
                    <c:v>1.7765565226170333E-2</c:v>
                  </c:pt>
                  <c:pt idx="9">
                    <c:v>9.4448316513676932E-3</c:v>
                  </c:pt>
                  <c:pt idx="10">
                    <c:v>1.7372854077347136E-2</c:v>
                  </c:pt>
                  <c:pt idx="11">
                    <c:v>1.4445433433128889E-2</c:v>
                  </c:pt>
                  <c:pt idx="13">
                    <c:v>7.6093273669029154E-2</c:v>
                  </c:pt>
                  <c:pt idx="14">
                    <c:v>0.15120263839907772</c:v>
                  </c:pt>
                  <c:pt idx="15">
                    <c:v>1.6846331034885434E-2</c:v>
                  </c:pt>
                  <c:pt idx="16">
                    <c:v>0.11357796222682913</c:v>
                  </c:pt>
                  <c:pt idx="17">
                    <c:v>0.10834277808572593</c:v>
                  </c:pt>
                  <c:pt idx="18">
                    <c:v>0.11030253055208961</c:v>
                  </c:pt>
                  <c:pt idx="19">
                    <c:v>0.12475105389017468</c:v>
                  </c:pt>
                  <c:pt idx="20">
                    <c:v>0.13772881075432172</c:v>
                  </c:pt>
                </c:numCache>
              </c:numRef>
            </c:plus>
            <c:minus>
              <c:numRef>
                <c:f>'pooled normalised values'!$B$76:$V$76</c:f>
                <c:numCache>
                  <c:formatCode>General</c:formatCode>
                  <c:ptCount val="21"/>
                  <c:pt idx="0">
                    <c:v>1.230540078055155E-2</c:v>
                  </c:pt>
                  <c:pt idx="1">
                    <c:v>2.2930348305762922E-2</c:v>
                  </c:pt>
                  <c:pt idx="2">
                    <c:v>1.9961500444021684E-2</c:v>
                  </c:pt>
                  <c:pt idx="3">
                    <c:v>3.2885886709399938E-2</c:v>
                  </c:pt>
                  <c:pt idx="4">
                    <c:v>0.14723161098997486</c:v>
                  </c:pt>
                  <c:pt idx="5">
                    <c:v>9.8349413608371974E-2</c:v>
                  </c:pt>
                  <c:pt idx="6">
                    <c:v>0.14121706291991828</c:v>
                  </c:pt>
                  <c:pt idx="7">
                    <c:v>2.7983832747878534E-2</c:v>
                  </c:pt>
                  <c:pt idx="8">
                    <c:v>1.7765565226170333E-2</c:v>
                  </c:pt>
                  <c:pt idx="9">
                    <c:v>9.4448316513676932E-3</c:v>
                  </c:pt>
                  <c:pt idx="10">
                    <c:v>1.7372854077347136E-2</c:v>
                  </c:pt>
                  <c:pt idx="11">
                    <c:v>1.4445433433128889E-2</c:v>
                  </c:pt>
                  <c:pt idx="13">
                    <c:v>7.6093273669029154E-2</c:v>
                  </c:pt>
                  <c:pt idx="14">
                    <c:v>0.15120263839907772</c:v>
                  </c:pt>
                  <c:pt idx="15">
                    <c:v>1.6846331034885434E-2</c:v>
                  </c:pt>
                  <c:pt idx="16">
                    <c:v>0.11357796222682913</c:v>
                  </c:pt>
                  <c:pt idx="17">
                    <c:v>0.10834277808572593</c:v>
                  </c:pt>
                  <c:pt idx="18">
                    <c:v>0.11030253055208961</c:v>
                  </c:pt>
                  <c:pt idx="19">
                    <c:v>0.12475105389017468</c:v>
                  </c:pt>
                  <c:pt idx="20">
                    <c:v>0.13772881075432172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Saccharin-0,01mg/L</c:v>
                </c:pt>
                <c:pt idx="8">
                  <c:v>Saccharin-0,1mg/L</c:v>
                </c:pt>
                <c:pt idx="9">
                  <c:v>Saccharin-1mg/L</c:v>
                </c:pt>
                <c:pt idx="10">
                  <c:v>Saccharin-10mg/L</c:v>
                </c:pt>
                <c:pt idx="11">
                  <c:v>Saccharin-100mg/L</c:v>
                </c:pt>
                <c:pt idx="13">
                  <c:v>Testo -30µg/L</c:v>
                </c:pt>
                <c:pt idx="14">
                  <c:v>Testo 30µg/L + EE2 -64ng/L</c:v>
                </c:pt>
                <c:pt idx="15">
                  <c:v>Testo 30µg/L + FAD-10mg/L</c:v>
                </c:pt>
                <c:pt idx="16">
                  <c:v>Saccharin-0,01mg/L + Testostérone</c:v>
                </c:pt>
                <c:pt idx="17">
                  <c:v>Saccharin-0,1mg/L + Testostérone</c:v>
                </c:pt>
                <c:pt idx="18">
                  <c:v>Saccharin-1mg/L + Testostérone</c:v>
                </c:pt>
                <c:pt idx="19">
                  <c:v>Saccharin-10mg/L + Testostérone</c:v>
                </c:pt>
                <c:pt idx="20">
                  <c:v>Saccharin-100mg/L + Testostérone</c:v>
                </c:pt>
              </c:strCache>
            </c:strRef>
          </c:cat>
          <c:val>
            <c:numRef>
              <c:f>'pooled normalised values'!$B$75:$V$75</c:f>
              <c:numCache>
                <c:formatCode>0.0000</c:formatCode>
                <c:ptCount val="21"/>
                <c:pt idx="0">
                  <c:v>7.8676725833831646E-2</c:v>
                </c:pt>
                <c:pt idx="1">
                  <c:v>0.1413798760240256</c:v>
                </c:pt>
                <c:pt idx="2">
                  <c:v>0.11086803021402121</c:v>
                </c:pt>
                <c:pt idx="3">
                  <c:v>0.1859859834077707</c:v>
                </c:pt>
                <c:pt idx="4">
                  <c:v>0.76438584872948445</c:v>
                </c:pt>
                <c:pt idx="5">
                  <c:v>1.1782401016003241</c:v>
                </c:pt>
                <c:pt idx="6">
                  <c:v>2.4462431165074747</c:v>
                </c:pt>
                <c:pt idx="7">
                  <c:v>0.10124859397866527</c:v>
                </c:pt>
                <c:pt idx="8">
                  <c:v>8.3693471332277836E-2</c:v>
                </c:pt>
                <c:pt idx="9">
                  <c:v>5.8206615243981234E-2</c:v>
                </c:pt>
                <c:pt idx="10">
                  <c:v>8.2606671441497956E-2</c:v>
                </c:pt>
                <c:pt idx="11">
                  <c:v>6.6278836476519457E-2</c:v>
                </c:pt>
                <c:pt idx="13">
                  <c:v>0.99999999999999989</c:v>
                </c:pt>
                <c:pt idx="14">
                  <c:v>1.639209691448118</c:v>
                </c:pt>
                <c:pt idx="15">
                  <c:v>0.10408190609223912</c:v>
                </c:pt>
                <c:pt idx="16">
                  <c:v>0.82117452174919114</c:v>
                </c:pt>
                <c:pt idx="17">
                  <c:v>0.73940087657718034</c:v>
                </c:pt>
                <c:pt idx="18">
                  <c:v>0.73187028301857115</c:v>
                </c:pt>
                <c:pt idx="19">
                  <c:v>0.83586312370307081</c:v>
                </c:pt>
                <c:pt idx="20">
                  <c:v>0.76044074864725841</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c:v>
                  </c:pt>
                  <c:pt idx="14">
                    <c:v>***</c:v>
                  </c:pt>
                  <c:pt idx="15">
                    <c:v>***</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Saccharin-0,01mg/L : 0%</c:v>
                  </c:pt>
                  <c:pt idx="1">
                    <c:v>Saccharin-0,1mg/L : 0%</c:v>
                  </c:pt>
                  <c:pt idx="2">
                    <c:v>Saccharin-1mg/L : 0%</c:v>
                  </c:pt>
                  <c:pt idx="3">
                    <c:v>Saccharin-10mg/L : 0%</c:v>
                  </c:pt>
                  <c:pt idx="4">
                    <c:v>Saccharin-100mg/L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Saccharin-0,01mg/L : 0%</c:v>
                  </c:pt>
                  <c:pt idx="1">
                    <c:v>Saccharin-0,1mg/L : 0%</c:v>
                  </c:pt>
                  <c:pt idx="2">
                    <c:v>Saccharin-1mg/L : 0%</c:v>
                  </c:pt>
                  <c:pt idx="3">
                    <c:v>Saccharin-10mg/L : 0%</c:v>
                  </c:pt>
                  <c:pt idx="4">
                    <c:v>Saccharin-100mg/L : 0%</c:v>
                  </c:pt>
                  <c:pt idx="5">
                    <c:v>#REF!</c:v>
                  </c:pt>
                  <c:pt idx="6">
                    <c:v>#REF!</c:v>
                  </c:pt>
                  <c:pt idx="7">
                    <c:v>#REF!</c:v>
                  </c:pt>
                  <c:pt idx="8">
                    <c:v>#REF!</c:v>
                  </c:pt>
                  <c:pt idx="9">
                    <c:v>#REF!</c:v>
                  </c:pt>
                  <c:pt idx="10">
                    <c:v>#REF!</c:v>
                  </c:pt>
                  <c:pt idx="11">
                    <c:v>#REF!</c:v>
                  </c:pt>
                  <c:pt idx="12">
                    <c:v>#REF!</c:v>
                  </c:pt>
                  <c:pt idx="13">
                    <c:v>#REF!</c:v>
                  </c:pt>
                  <c:pt idx="14">
                    <c:v>#REF!</c:v>
                  </c:pt>
                  <c:pt idx="15">
                    <c:v>#REF!</c:v>
                  </c:pt>
                  <c:pt idx="16">
                    <c:v>#REF!</c:v>
                  </c:pt>
                  <c:pt idx="17">
                    <c:v>#REF!</c:v>
                  </c:pt>
                  <c:pt idx="18">
                    <c:v>#REF!</c:v>
                  </c:pt>
                  <c:pt idx="19">
                    <c:v>#REF!</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Saccharin-0,01mg/L : 0%</c:v>
                  </c:pt>
                  <c:pt idx="1">
                    <c:v>Saccharin-0,1mg/L : 0%</c:v>
                  </c:pt>
                  <c:pt idx="2">
                    <c:v>Saccharin-1mg/L : 0%</c:v>
                  </c:pt>
                  <c:pt idx="3">
                    <c:v>Saccharin-10mg/L : 0%</c:v>
                  </c:pt>
                  <c:pt idx="4">
                    <c:v>Saccharin-100mg/L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Saccharin-0,01mg/L : 0%</c:v>
                  </c:pt>
                  <c:pt idx="1">
                    <c:v>Saccharin-0,1mg/L : 0%</c:v>
                  </c:pt>
                  <c:pt idx="2">
                    <c:v>Saccharin-1mg/L : 0%</c:v>
                  </c:pt>
                  <c:pt idx="3">
                    <c:v>Saccharin-10mg/L : 0%</c:v>
                  </c:pt>
                  <c:pt idx="4">
                    <c:v>Saccharin-100mg/L : 0%</c:v>
                  </c:pt>
                  <c:pt idx="5">
                    <c:v>#REF!</c:v>
                  </c:pt>
                  <c:pt idx="6">
                    <c:v>#REF!</c:v>
                  </c:pt>
                  <c:pt idx="7">
                    <c:v>#REF!</c:v>
                  </c:pt>
                  <c:pt idx="8">
                    <c:v>#REF!</c:v>
                  </c:pt>
                  <c:pt idx="9">
                    <c:v>#REF!</c:v>
                  </c:pt>
                  <c:pt idx="10">
                    <c:v>#REF!</c:v>
                  </c:pt>
                  <c:pt idx="11">
                    <c:v>#REF!</c:v>
                  </c:pt>
                  <c:pt idx="12">
                    <c:v>#REF!</c:v>
                  </c:pt>
                  <c:pt idx="13">
                    <c:v>#REF!</c:v>
                  </c:pt>
                  <c:pt idx="14">
                    <c:v>#REF!</c:v>
                  </c:pt>
                  <c:pt idx="15">
                    <c:v>#REF!</c:v>
                  </c:pt>
                  <c:pt idx="16">
                    <c:v>#REF!</c:v>
                  </c:pt>
                  <c:pt idx="17">
                    <c:v>#REF!</c:v>
                  </c:pt>
                  <c:pt idx="18">
                    <c:v>#REF!</c:v>
                  </c:pt>
                  <c:pt idx="19">
                    <c:v>#REF!</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034E4EA5-15F1-4AE4-8E1A-72067A43F9A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D85D7C89-93B0-47E7-9E6A-7C2557F2006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AA57A36-17D5-473A-A008-43094E5325A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8E48D673-6A18-4574-B77E-C39400F020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BCF61668-D75E-4604-90D2-D4AF30F3B0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79962A5D-4F5B-44BE-AA98-5F7519E4F2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2215D072-65DB-4FDB-8D8D-3B9E0EF3641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5A248689-25FD-4743-BE7B-06EF338476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968E1E9F-237D-4E42-9E3A-BF19491641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24250604-5280-45FA-8E85-DF4CF47812E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7BBB605D-F564-4923-983D-2EC8EB0D4CA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43B51AD4-4EA3-4200-984E-96FD44956E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03CDFBFB-AF7F-429E-BF97-97CC1E667C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FDCCC161-7070-4244-9A2D-B7799BC46F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1.7765565226170333E-2</c:v>
                  </c:pt>
                  <c:pt idx="2">
                    <c:v>9.4448316513676932E-3</c:v>
                  </c:pt>
                  <c:pt idx="3">
                    <c:v>1.7372854077347136E-2</c:v>
                  </c:pt>
                  <c:pt idx="4">
                    <c:v>1.4445433433128889E-2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1.7765565226170333E-2</c:v>
                  </c:pt>
                  <c:pt idx="2">
                    <c:v>9.4448316513676932E-3</c:v>
                  </c:pt>
                  <c:pt idx="3">
                    <c:v>1.7372854077347136E-2</c:v>
                  </c:pt>
                  <c:pt idx="4">
                    <c:v>1.4445433433128889E-2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8.3693471332277836E-2</c:v>
                </c:pt>
                <c:pt idx="2">
                  <c:v>5.8206615243981234E-2</c:v>
                </c:pt>
                <c:pt idx="3">
                  <c:v>8.2606671441497956E-2</c:v>
                </c:pt>
                <c:pt idx="4">
                  <c:v>6.6278836476519457E-2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7.8676725833831646E-2</c:v>
                </c:pt>
                <c:pt idx="1">
                  <c:v>7.8676725833831646E-2</c:v>
                </c:pt>
                <c:pt idx="2">
                  <c:v>7.8676725833831646E-2</c:v>
                </c:pt>
                <c:pt idx="3">
                  <c:v>7.8676725833831646E-2</c:v>
                </c:pt>
                <c:pt idx="4">
                  <c:v>7.8676725833831646E-2</c:v>
                </c:pt>
                <c:pt idx="5">
                  <c:v>7.8676725833831646E-2</c:v>
                </c:pt>
                <c:pt idx="6">
                  <c:v>7.8676725833831646E-2</c:v>
                </c:pt>
                <c:pt idx="7">
                  <c:v>7.8676725833831646E-2</c:v>
                </c:pt>
                <c:pt idx="8">
                  <c:v>7.8676725833831646E-2</c:v>
                </c:pt>
                <c:pt idx="9">
                  <c:v>7.8676725833831646E-2</c:v>
                </c:pt>
                <c:pt idx="10">
                  <c:v>7.8676725833831646E-2</c:v>
                </c:pt>
                <c:pt idx="11">
                  <c:v>7.8676725833831646E-2</c:v>
                </c:pt>
                <c:pt idx="12">
                  <c:v>7.8676725833831646E-2</c:v>
                </c:pt>
                <c:pt idx="13">
                  <c:v>7.8676725833831646E-2</c:v>
                </c:pt>
                <c:pt idx="14">
                  <c:v>7.8676725833831646E-2</c:v>
                </c:pt>
                <c:pt idx="15">
                  <c:v>7.8676725833831646E-2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0.10408190609223912</c:v>
                </c:pt>
                <c:pt idx="1">
                  <c:v>0.10408190609223912</c:v>
                </c:pt>
                <c:pt idx="2">
                  <c:v>0.10408190609223912</c:v>
                </c:pt>
                <c:pt idx="3">
                  <c:v>0.10408190609223912</c:v>
                </c:pt>
                <c:pt idx="4">
                  <c:v>0.10408190609223912</c:v>
                </c:pt>
                <c:pt idx="5">
                  <c:v>0.10408190609223912</c:v>
                </c:pt>
                <c:pt idx="6">
                  <c:v>0.10408190609223912</c:v>
                </c:pt>
                <c:pt idx="7">
                  <c:v>0.10408190609223912</c:v>
                </c:pt>
                <c:pt idx="8">
                  <c:v>0.10408190609223912</c:v>
                </c:pt>
                <c:pt idx="9">
                  <c:v>0.10408190609223912</c:v>
                </c:pt>
                <c:pt idx="10">
                  <c:v>0.10408190609223912</c:v>
                </c:pt>
                <c:pt idx="11">
                  <c:v>0.10408190609223912</c:v>
                </c:pt>
                <c:pt idx="12">
                  <c:v>0.10408190609223912</c:v>
                </c:pt>
                <c:pt idx="13">
                  <c:v>0.10408190609223912</c:v>
                </c:pt>
                <c:pt idx="14">
                  <c:v>0.10408190609223912</c:v>
                </c:pt>
                <c:pt idx="15">
                  <c:v>0.10408190609223912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1.5351277853558789</c:v>
                </c:pt>
                <c:pt idx="1">
                  <c:v>1.5351277853558789</c:v>
                </c:pt>
                <c:pt idx="2">
                  <c:v>1.5351277853558789</c:v>
                </c:pt>
                <c:pt idx="3">
                  <c:v>1.5351277853558789</c:v>
                </c:pt>
                <c:pt idx="4">
                  <c:v>1.5351277853558789</c:v>
                </c:pt>
                <c:pt idx="5">
                  <c:v>1.5351277853558789</c:v>
                </c:pt>
                <c:pt idx="6">
                  <c:v>1.5351277853558789</c:v>
                </c:pt>
                <c:pt idx="7">
                  <c:v>1.5351277853558789</c:v>
                </c:pt>
                <c:pt idx="8">
                  <c:v>1.5351277853558789</c:v>
                </c:pt>
                <c:pt idx="9">
                  <c:v>1.5351277853558789</c:v>
                </c:pt>
                <c:pt idx="10">
                  <c:v>1.5351277853558789</c:v>
                </c:pt>
                <c:pt idx="11">
                  <c:v>1.5351277853558789</c:v>
                </c:pt>
                <c:pt idx="12">
                  <c:v>1.5351277853558789</c:v>
                </c:pt>
                <c:pt idx="13">
                  <c:v>1.5351277853558789</c:v>
                </c:pt>
                <c:pt idx="14">
                  <c:v>1.5351277853558789</c:v>
                </c:pt>
                <c:pt idx="15">
                  <c:v>1.5351277853558789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0.9648722146441211</c:v>
                </c:pt>
                <c:pt idx="1">
                  <c:v>0.9648722146441211</c:v>
                </c:pt>
                <c:pt idx="2">
                  <c:v>0.9648722146441211</c:v>
                </c:pt>
                <c:pt idx="3">
                  <c:v>0.9648722146441211</c:v>
                </c:pt>
                <c:pt idx="4">
                  <c:v>0.9648722146441211</c:v>
                </c:pt>
                <c:pt idx="5">
                  <c:v>0.9648722146441211</c:v>
                </c:pt>
                <c:pt idx="6">
                  <c:v>0.9648722146441211</c:v>
                </c:pt>
                <c:pt idx="7">
                  <c:v>0.9648722146441211</c:v>
                </c:pt>
                <c:pt idx="8">
                  <c:v>0.9648722146441211</c:v>
                </c:pt>
                <c:pt idx="9">
                  <c:v>0.9648722146441211</c:v>
                </c:pt>
                <c:pt idx="10">
                  <c:v>0.9648722146441211</c:v>
                </c:pt>
                <c:pt idx="11">
                  <c:v>0.9648722146441211</c:v>
                </c:pt>
                <c:pt idx="12">
                  <c:v>0.9648722146441211</c:v>
                </c:pt>
                <c:pt idx="13">
                  <c:v>0.9648722146441211</c:v>
                </c:pt>
                <c:pt idx="14">
                  <c:v>0.9648722146441211</c:v>
                </c:pt>
                <c:pt idx="15">
                  <c:v>0.9648722146441211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3D683077-AA30-4AC0-AA7F-E23EFF3113A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201AD01E-39B8-4361-A97B-EBA160A2A31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5BC84C3A-2980-4A71-8A26-615357AB825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00122A4C-28A2-495C-97F7-60162EBAEC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8E554E39-E4E9-416D-B41E-5CFAE59E123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5B02AB80-C8FF-4AD2-8AB8-70C14FA27A9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3682F729-0D7C-4C20-9A0D-39E04AE1FC1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ADA4C348-3ACD-49EC-BFEC-149979705C9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2A2CD2A7-2F54-4A1A-ABAB-F1231547F8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DDC11AE2-846F-405C-9859-4FFCDF7F13E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8FEBDF5B-1C61-43CC-BFE9-EE074DDF363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ABF70936-5747-4BF6-9288-71FC6AA41FF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156531BF-D3B1-4D62-A263-D2334331432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5554D58E-F5CB-4383-A968-60B03C6139C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0.11357796222682913</c:v>
                  </c:pt>
                  <c:pt idx="2">
                    <c:v>0.10834277808572593</c:v>
                  </c:pt>
                  <c:pt idx="3">
                    <c:v>0.11030253055208961</c:v>
                  </c:pt>
                  <c:pt idx="4">
                    <c:v>0.12475105389017468</c:v>
                  </c:pt>
                  <c:pt idx="5">
                    <c:v>0.13772881075432172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0.11357796222682913</c:v>
                  </c:pt>
                  <c:pt idx="2">
                    <c:v>0.10834277808572593</c:v>
                  </c:pt>
                  <c:pt idx="3">
                    <c:v>0.11030253055208961</c:v>
                  </c:pt>
                  <c:pt idx="4">
                    <c:v>0.12475105389017468</c:v>
                  </c:pt>
                  <c:pt idx="5">
                    <c:v>0.13772881075432172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0.82117452174919114</c:v>
                </c:pt>
                <c:pt idx="2">
                  <c:v>0.73940087657718034</c:v>
                </c:pt>
                <c:pt idx="3">
                  <c:v>0.73187028301857115</c:v>
                </c:pt>
                <c:pt idx="4">
                  <c:v>0.83586312370307081</c:v>
                </c:pt>
                <c:pt idx="5">
                  <c:v>0.76044074864725841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4D81C184-9635-4DCD-84E9-06E0A75E33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DA11438B-BFD7-4E07-82BE-D974F74EC9B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FB814123-EBA1-4C34-9524-09282F12E8A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0FBFF644-60BE-4F6E-B666-33D9DA15DA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339BBB7F-73F8-44C1-AA67-76B68DB218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DDFD9F78-1F4A-4C71-A9FD-C977ABB6250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8C1577EF-8B67-49DA-AEA8-E8F2713A422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2BB2E3BE-1FAF-43ED-BDCF-7C691D7039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2C2703E9-7C45-4515-BF2F-E5CAB435796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9715A914-BF6E-46DC-8069-26F756D8E4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34D3D9C7-CE53-489A-B94D-0A3DC7BB3D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BEC26E1F-D33E-458A-81D2-928266D4E64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9374F2F0-89FD-4400-9791-71671329A18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16058CF3-8E63-46EE-B05A-74515E5934F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1.7765565226170333E-2</c:v>
                  </c:pt>
                  <c:pt idx="2">
                    <c:v>9.4448316513676932E-3</c:v>
                  </c:pt>
                  <c:pt idx="3">
                    <c:v>1.7372854077347136E-2</c:v>
                  </c:pt>
                  <c:pt idx="4">
                    <c:v>1.4445433433128889E-2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1.7765565226170333E-2</c:v>
                  </c:pt>
                  <c:pt idx="2">
                    <c:v>9.4448316513676932E-3</c:v>
                  </c:pt>
                  <c:pt idx="3">
                    <c:v>1.7372854077347136E-2</c:v>
                  </c:pt>
                  <c:pt idx="4">
                    <c:v>1.4445433433128889E-2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Saccharin-0,1mg/L</c:v>
                </c:pt>
                <c:pt idx="2">
                  <c:v>Saccharin-1mg/L</c:v>
                </c:pt>
                <c:pt idx="3">
                  <c:v>Saccharin-10mg/L</c:v>
                </c:pt>
                <c:pt idx="4">
                  <c:v>Saccharin-100mg/L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8.3693471332277836E-2</c:v>
                </c:pt>
                <c:pt idx="2">
                  <c:v>5.8206615243981234E-2</c:v>
                </c:pt>
                <c:pt idx="3">
                  <c:v>8.2606671441497956E-2</c:v>
                </c:pt>
                <c:pt idx="4">
                  <c:v>6.6278836476519457E-2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7.8676725833831646E-2</c:v>
                </c:pt>
                <c:pt idx="1">
                  <c:v>7.8676725833831646E-2</c:v>
                </c:pt>
                <c:pt idx="2">
                  <c:v>7.8676725833831646E-2</c:v>
                </c:pt>
                <c:pt idx="3">
                  <c:v>7.8676725833831646E-2</c:v>
                </c:pt>
                <c:pt idx="4">
                  <c:v>7.8676725833831646E-2</c:v>
                </c:pt>
                <c:pt idx="5">
                  <c:v>7.8676725833831646E-2</c:v>
                </c:pt>
                <c:pt idx="6">
                  <c:v>7.8676725833831646E-2</c:v>
                </c:pt>
                <c:pt idx="7">
                  <c:v>7.8676725833831646E-2</c:v>
                </c:pt>
                <c:pt idx="8">
                  <c:v>7.8676725833831646E-2</c:v>
                </c:pt>
                <c:pt idx="9">
                  <c:v>7.8676725833831646E-2</c:v>
                </c:pt>
                <c:pt idx="10">
                  <c:v>7.8676725833831646E-2</c:v>
                </c:pt>
                <c:pt idx="11">
                  <c:v>7.8676725833831646E-2</c:v>
                </c:pt>
                <c:pt idx="12">
                  <c:v>7.8676725833831646E-2</c:v>
                </c:pt>
                <c:pt idx="13">
                  <c:v>7.8676725833831646E-2</c:v>
                </c:pt>
                <c:pt idx="14">
                  <c:v>7.8676725833831646E-2</c:v>
                </c:pt>
                <c:pt idx="15">
                  <c:v>7.8676725833831646E-2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0.10408190609223912</c:v>
                </c:pt>
                <c:pt idx="1">
                  <c:v>0.10408190609223912</c:v>
                </c:pt>
                <c:pt idx="2">
                  <c:v>0.10408190609223912</c:v>
                </c:pt>
                <c:pt idx="3">
                  <c:v>0.10408190609223912</c:v>
                </c:pt>
                <c:pt idx="4">
                  <c:v>0.10408190609223912</c:v>
                </c:pt>
                <c:pt idx="5">
                  <c:v>0.10408190609223912</c:v>
                </c:pt>
                <c:pt idx="6">
                  <c:v>0.10408190609223912</c:v>
                </c:pt>
                <c:pt idx="7">
                  <c:v>0.10408190609223912</c:v>
                </c:pt>
                <c:pt idx="8">
                  <c:v>0.10408190609223912</c:v>
                </c:pt>
                <c:pt idx="9">
                  <c:v>0.10408190609223912</c:v>
                </c:pt>
                <c:pt idx="10">
                  <c:v>0.10408190609223912</c:v>
                </c:pt>
                <c:pt idx="11">
                  <c:v>0.10408190609223912</c:v>
                </c:pt>
                <c:pt idx="12">
                  <c:v>0.10408190609223912</c:v>
                </c:pt>
                <c:pt idx="13">
                  <c:v>0.10408190609223912</c:v>
                </c:pt>
                <c:pt idx="14">
                  <c:v>0.10408190609223912</c:v>
                </c:pt>
                <c:pt idx="15">
                  <c:v>0.10408190609223912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1.5351277853558789</c:v>
                </c:pt>
                <c:pt idx="1">
                  <c:v>1.5351277853558789</c:v>
                </c:pt>
                <c:pt idx="2">
                  <c:v>1.5351277853558789</c:v>
                </c:pt>
                <c:pt idx="3">
                  <c:v>1.5351277853558789</c:v>
                </c:pt>
                <c:pt idx="4">
                  <c:v>1.5351277853558789</c:v>
                </c:pt>
                <c:pt idx="5">
                  <c:v>1.5351277853558789</c:v>
                </c:pt>
                <c:pt idx="6">
                  <c:v>1.5351277853558789</c:v>
                </c:pt>
                <c:pt idx="7">
                  <c:v>1.5351277853558789</c:v>
                </c:pt>
                <c:pt idx="8">
                  <c:v>1.5351277853558789</c:v>
                </c:pt>
                <c:pt idx="9">
                  <c:v>1.5351277853558789</c:v>
                </c:pt>
                <c:pt idx="10">
                  <c:v>1.5351277853558789</c:v>
                </c:pt>
                <c:pt idx="11">
                  <c:v>1.5351277853558789</c:v>
                </c:pt>
                <c:pt idx="12">
                  <c:v>1.5351277853558789</c:v>
                </c:pt>
                <c:pt idx="13">
                  <c:v>1.5351277853558789</c:v>
                </c:pt>
                <c:pt idx="14">
                  <c:v>1.5351277853558789</c:v>
                </c:pt>
                <c:pt idx="15">
                  <c:v>1.5351277853558789</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0.9648722146441211</c:v>
                </c:pt>
                <c:pt idx="1">
                  <c:v>0.9648722146441211</c:v>
                </c:pt>
                <c:pt idx="2">
                  <c:v>0.9648722146441211</c:v>
                </c:pt>
                <c:pt idx="3">
                  <c:v>0.9648722146441211</c:v>
                </c:pt>
                <c:pt idx="4">
                  <c:v>0.9648722146441211</c:v>
                </c:pt>
                <c:pt idx="5">
                  <c:v>0.9648722146441211</c:v>
                </c:pt>
                <c:pt idx="6">
                  <c:v>0.9648722146441211</c:v>
                </c:pt>
                <c:pt idx="7">
                  <c:v>0.9648722146441211</c:v>
                </c:pt>
                <c:pt idx="8">
                  <c:v>0.9648722146441211</c:v>
                </c:pt>
                <c:pt idx="9">
                  <c:v>0.9648722146441211</c:v>
                </c:pt>
                <c:pt idx="10">
                  <c:v>0.9648722146441211</c:v>
                </c:pt>
                <c:pt idx="11">
                  <c:v>0.9648722146441211</c:v>
                </c:pt>
                <c:pt idx="12">
                  <c:v>0.9648722146441211</c:v>
                </c:pt>
                <c:pt idx="13">
                  <c:v>0.9648722146441211</c:v>
                </c:pt>
                <c:pt idx="14">
                  <c:v>0.9648722146441211</c:v>
                </c:pt>
                <c:pt idx="15">
                  <c:v>0.9648722146441211</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4BB5A490-E062-41C6-B1EE-A9265BE60A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FDD863FC-AE1A-4050-A895-6CB18840075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9AD4C02B-B8DE-426C-BCB4-B7D49F3F1A2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EB827BE2-8BA8-409D-A184-076C4D59BFC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13C759AC-97DE-414A-A098-9E5A3639DCD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72874625-6FEA-40F5-A840-70A0007A7C8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F1CAAD81-61F4-4D58-A62E-082ADE2F21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C8BA12F3-532D-4E3D-95A9-CA7AB17EBC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FD4BF078-8024-4508-A768-5B4E0E8D883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34018393-DD28-4A37-9280-D0C64D58781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DFF493B5-C9CF-424A-ADB5-661E000D9A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1A4E8D87-2D4C-4FC9-98FB-C8DBF61F962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1DD30056-8AE5-4EED-93B2-6F3049DEAA4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553D2705-B93B-40A0-ADD9-012BAC6309C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0.11357796222682913</c:v>
                  </c:pt>
                  <c:pt idx="2">
                    <c:v>0.10834277808572593</c:v>
                  </c:pt>
                  <c:pt idx="3">
                    <c:v>0.11030253055208961</c:v>
                  </c:pt>
                  <c:pt idx="4">
                    <c:v>0.12475105389017468</c:v>
                  </c:pt>
                  <c:pt idx="5">
                    <c:v>0.13772881075432172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0.11357796222682913</c:v>
                  </c:pt>
                  <c:pt idx="2">
                    <c:v>0.10834277808572593</c:v>
                  </c:pt>
                  <c:pt idx="3">
                    <c:v>0.11030253055208961</c:v>
                  </c:pt>
                  <c:pt idx="4">
                    <c:v>0.12475105389017468</c:v>
                  </c:pt>
                  <c:pt idx="5">
                    <c:v>0.13772881075432172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0.82117452174919114</c:v>
                </c:pt>
                <c:pt idx="2">
                  <c:v>0.73940087657718034</c:v>
                </c:pt>
                <c:pt idx="3">
                  <c:v>0.73187028301857115</c:v>
                </c:pt>
                <c:pt idx="4">
                  <c:v>0.83586312370307081</c:v>
                </c:pt>
                <c:pt idx="5">
                  <c:v>0.76044074864725841</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Saccharin-0,01mg/L + Testostérone</c:v>
                </c:pt>
                <c:pt idx="2">
                  <c:v>Saccharin-0,1mg/L + Testostérone</c:v>
                </c:pt>
                <c:pt idx="3">
                  <c:v>Saccharin-1mg/L + Testostérone</c:v>
                </c:pt>
                <c:pt idx="4">
                  <c:v>Saccharin-10mg/L + Testostérone</c:v>
                </c:pt>
                <c:pt idx="5">
                  <c:v>Saccharin-100mg/L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0.99999999999999989</c:v>
                </c:pt>
                <c:pt idx="1">
                  <c:v>0.99999999999999989</c:v>
                </c:pt>
                <c:pt idx="2">
                  <c:v>0.99999999999999989</c:v>
                </c:pt>
                <c:pt idx="3">
                  <c:v>0.99999999999999989</c:v>
                </c:pt>
                <c:pt idx="4">
                  <c:v>0.99999999999999989</c:v>
                </c:pt>
                <c:pt idx="5">
                  <c:v>0.99999999999999989</c:v>
                </c:pt>
                <c:pt idx="6">
                  <c:v>0.99999999999999989</c:v>
                </c:pt>
                <c:pt idx="7">
                  <c:v>0.99999999999999989</c:v>
                </c:pt>
                <c:pt idx="8">
                  <c:v>0.99999999999999989</c:v>
                </c:pt>
                <c:pt idx="9">
                  <c:v>0.99999999999999989</c:v>
                </c:pt>
                <c:pt idx="10">
                  <c:v>0.99999999999999989</c:v>
                </c:pt>
                <c:pt idx="11">
                  <c:v>0.99999999999999989</c:v>
                </c:pt>
                <c:pt idx="12">
                  <c:v>0.99999999999999989</c:v>
                </c:pt>
                <c:pt idx="13">
                  <c:v>0.99999999999999989</c:v>
                </c:pt>
                <c:pt idx="14">
                  <c:v>0.99999999999999989</c:v>
                </c:pt>
                <c:pt idx="15">
                  <c:v>0.99999999999999989</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Saccharin-0,1mg/L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EBCC5008-63B1-4D12-A752-6D302F3A046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3302D814-F9F7-4A82-B4AA-5FC7DA976F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1.7765565226170333E-2</c:v>
                  </c:pt>
                </c:numCache>
              </c:numRef>
            </c:plus>
            <c:minus>
              <c:numRef>
                <c:f>'Graph format rapport CHG 1éch'!$E$4:$G$4</c:f>
                <c:numCache>
                  <c:formatCode>General</c:formatCode>
                  <c:ptCount val="3"/>
                  <c:pt idx="1">
                    <c:v>1.7765565226170333E-2</c:v>
                  </c:pt>
                </c:numCache>
              </c:numRef>
            </c:minus>
          </c:errBars>
          <c:cat>
            <c:strRef>
              <c:f>'Graph format rapport CHG 1éch'!$E$2:$G$2</c:f>
              <c:strCache>
                <c:ptCount val="2"/>
                <c:pt idx="1">
                  <c:v>Saccharin-0,1mg/L</c:v>
                </c:pt>
              </c:strCache>
            </c:strRef>
          </c:cat>
          <c:val>
            <c:numRef>
              <c:f>'Graph format rapport CHG 1éch'!$E$3:$G$3</c:f>
              <c:numCache>
                <c:formatCode>General</c:formatCode>
                <c:ptCount val="3"/>
                <c:pt idx="1">
                  <c:v>8.3693471332277836E-2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7.8676725833831646E-2</c:v>
                </c:pt>
                <c:pt idx="1">
                  <c:v>7.8676725833831646E-2</c:v>
                </c:pt>
                <c:pt idx="2">
                  <c:v>7.8676725833831646E-2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1éch'!$H$8:$J$8</c:f>
              <c:numCache>
                <c:formatCode>General</c:formatCode>
                <c:ptCount val="3"/>
                <c:pt idx="0">
                  <c:v>0.10408190609223912</c:v>
                </c:pt>
                <c:pt idx="1">
                  <c:v>0.10408190609223912</c:v>
                </c:pt>
                <c:pt idx="2">
                  <c:v>0.10408190609223912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Saccharin-0,01mg/L + Testostérone</c:v>
                </c:pt>
              </c:strCache>
            </c:strRef>
          </c:cat>
          <c:val>
            <c:numRef>
              <c:f>'Graph format rapport CHG 1éch'!$H$9:$J$9</c:f>
              <c:numCache>
                <c:formatCode>General</c:formatCode>
                <c:ptCount val="3"/>
                <c:pt idx="0">
                  <c:v>1.5351277853558789</c:v>
                </c:pt>
                <c:pt idx="1">
                  <c:v>1.5351277853558789</c:v>
                </c:pt>
                <c:pt idx="2">
                  <c:v>1.5351277853558789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1éch'!$H$10:$J$10</c:f>
              <c:numCache>
                <c:formatCode>General</c:formatCode>
                <c:ptCount val="3"/>
                <c:pt idx="0">
                  <c:v>0.9648722146441211</c:v>
                </c:pt>
                <c:pt idx="1">
                  <c:v>0.9648722146441211</c:v>
                </c:pt>
                <c:pt idx="2">
                  <c:v>0.9648722146441211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DBCE6CE1-6D1F-4407-BD36-A95CB6F4F25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BAD04508-CED4-40C6-88AD-369FAE3F32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0.11357796222682913</c:v>
                  </c:pt>
                </c:numCache>
              </c:numRef>
            </c:plus>
            <c:minus>
              <c:numRef>
                <c:f>'Graph format rapport CHG 1éch'!$H$4:$J$4</c:f>
                <c:numCache>
                  <c:formatCode>General</c:formatCode>
                  <c:ptCount val="3"/>
                  <c:pt idx="1">
                    <c:v>0.11357796222682913</c:v>
                  </c:pt>
                </c:numCache>
              </c:numRef>
            </c:minus>
          </c:errBars>
          <c:cat>
            <c:strRef>
              <c:f>'Graph format rapport CHG 1éch'!$H$2:$J$2</c:f>
              <c:strCache>
                <c:ptCount val="2"/>
                <c:pt idx="1">
                  <c:v>Saccharin-0,01mg/L + Testostérone</c:v>
                </c:pt>
              </c:strCache>
            </c:strRef>
          </c:cat>
          <c:val>
            <c:numRef>
              <c:f>'Graph format rapport CHG 1éch'!$H$3:$J$3</c:f>
              <c:numCache>
                <c:formatCode>General</c:formatCode>
                <c:ptCount val="3"/>
                <c:pt idx="1">
                  <c:v>0.82117452174919114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Saccharin-0,01mg/L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Saccharin-0,1mg/L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Saccharin-0,1mg/L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FCBB5270-97AE-458C-BE1E-8FE96863837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ABF3F61D-1069-472B-AACB-B198CE5CC4B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1.7765565226170333E-2</c:v>
                  </c:pt>
                </c:numCache>
              </c:numRef>
            </c:plus>
            <c:minus>
              <c:numRef>
                <c:f>'Graph format rapport CHG 1éch'!$E$4:$G$4</c:f>
                <c:numCache>
                  <c:formatCode>General</c:formatCode>
                  <c:ptCount val="3"/>
                  <c:pt idx="1">
                    <c:v>1.7765565226170333E-2</c:v>
                  </c:pt>
                </c:numCache>
              </c:numRef>
            </c:minus>
          </c:errBars>
          <c:cat>
            <c:strRef>
              <c:f>'Graph format rapport CHG 1éch'!$E$2:$G$2</c:f>
              <c:strCache>
                <c:ptCount val="2"/>
                <c:pt idx="1">
                  <c:v>Saccharin-0,1mg/L</c:v>
                </c:pt>
              </c:strCache>
            </c:strRef>
          </c:cat>
          <c:val>
            <c:numRef>
              <c:f>'Graph format rapport CHG 1éch'!$E$3:$G$3</c:f>
              <c:numCache>
                <c:formatCode>General</c:formatCode>
                <c:ptCount val="3"/>
                <c:pt idx="1">
                  <c:v>8.3693471332277836E-2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7.8676725833831646E-2</c:v>
                </c:pt>
                <c:pt idx="1">
                  <c:v>7.8676725833831646E-2</c:v>
                </c:pt>
                <c:pt idx="2">
                  <c:v>7.8676725833831646E-2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1éch'!$H$8:$J$8</c:f>
              <c:numCache>
                <c:formatCode>General</c:formatCode>
                <c:ptCount val="3"/>
                <c:pt idx="0">
                  <c:v>0.10408190609223912</c:v>
                </c:pt>
                <c:pt idx="1">
                  <c:v>0.10408190609223912</c:v>
                </c:pt>
                <c:pt idx="2">
                  <c:v>0.10408190609223912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Saccharin-0,01mg/L + Testostérone</c:v>
                </c:pt>
              </c:strCache>
            </c:strRef>
          </c:cat>
          <c:val>
            <c:numRef>
              <c:f>'Graph format rapport CHG 1éch'!$H$9:$J$9</c:f>
              <c:numCache>
                <c:formatCode>General</c:formatCode>
                <c:ptCount val="3"/>
                <c:pt idx="0">
                  <c:v>1.5351277853558789</c:v>
                </c:pt>
                <c:pt idx="1">
                  <c:v>1.5351277853558789</c:v>
                </c:pt>
                <c:pt idx="2">
                  <c:v>1.5351277853558789</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Saccharin-0,01mg/L + Testostérone</c:v>
                </c:pt>
              </c:strCache>
            </c:strRef>
          </c:cat>
          <c:val>
            <c:numRef>
              <c:f>'Graph format rapport CHG 1éch'!$H$10:$J$10</c:f>
              <c:numCache>
                <c:formatCode>General</c:formatCode>
                <c:ptCount val="3"/>
                <c:pt idx="0">
                  <c:v>0.9648722146441211</c:v>
                </c:pt>
                <c:pt idx="1">
                  <c:v>0.9648722146441211</c:v>
                </c:pt>
                <c:pt idx="2">
                  <c:v>0.9648722146441211</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6AF4E99C-A9D1-4309-9E74-2FDCF3D1E9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A7EF0AD5-F55C-49BB-9125-9585A11F34C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0.11357796222682913</c:v>
                  </c:pt>
                </c:numCache>
              </c:numRef>
            </c:plus>
            <c:minus>
              <c:numRef>
                <c:f>'Graph format rapport CHG 1éch'!$H$4:$J$4</c:f>
                <c:numCache>
                  <c:formatCode>General</c:formatCode>
                  <c:ptCount val="3"/>
                  <c:pt idx="1">
                    <c:v>0.11357796222682913</c:v>
                  </c:pt>
                </c:numCache>
              </c:numRef>
            </c:minus>
          </c:errBars>
          <c:cat>
            <c:strRef>
              <c:f>'Graph format rapport CHG 1éch'!$H$2:$J$2</c:f>
              <c:strCache>
                <c:ptCount val="2"/>
                <c:pt idx="1">
                  <c:v>Saccharin-0,01mg/L + Testostérone</c:v>
                </c:pt>
              </c:strCache>
            </c:strRef>
          </c:cat>
          <c:val>
            <c:numRef>
              <c:f>'Graph format rapport CHG 1éch'!$H$3:$J$3</c:f>
              <c:numCache>
                <c:formatCode>General</c:formatCode>
                <c:ptCount val="3"/>
                <c:pt idx="1">
                  <c:v>0.82117452174919114</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Saccharin-0,01mg/L + Testostérone</c:v>
                </c:pt>
              </c:strCache>
            </c:strRef>
          </c:cat>
          <c:val>
            <c:numRef>
              <c:f>'Graph format rapport CHG 1éch'!$H$7:$J$7</c:f>
              <c:numCache>
                <c:formatCode>General</c:formatCode>
                <c:ptCount val="3"/>
                <c:pt idx="0">
                  <c:v>0.99999999999999989</c:v>
                </c:pt>
                <c:pt idx="1">
                  <c:v>0.99999999999999989</c:v>
                </c:pt>
                <c:pt idx="2">
                  <c:v>0.99999999999999989</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30" workbookViewId="0"/>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30" workbookViewId="0"/>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45" workbookViewId="0"/>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workbookViewId="0"/>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3212" cy="6044712"/>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0.10475</cdr:y>
    </cdr:to>
    <cdr:sp macro="" textlink="">
      <cdr:nvSpPr>
        <cdr:cNvPr id="2" name="ZoneTexte 1"/>
        <cdr:cNvSpPr txBox="1"/>
      </cdr:nvSpPr>
      <cdr:spPr>
        <a:xfrm xmlns:a="http://schemas.openxmlformats.org/drawingml/2006/main">
          <a:off x="3944808" y="102518"/>
          <a:ext cx="1554938"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2020-CHG-CZA-Saccharin-1</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3212" cy="6044712"/>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0.10274</cdr:y>
    </cdr:to>
    <cdr:sp macro="" textlink="">
      <cdr:nvSpPr>
        <cdr:cNvPr id="2" name="ZoneTexte 1"/>
        <cdr:cNvSpPr txBox="1"/>
      </cdr:nvSpPr>
      <cdr:spPr>
        <a:xfrm xmlns:a="http://schemas.openxmlformats.org/drawingml/2006/main">
          <a:off x="3483485" y="91003"/>
          <a:ext cx="1696124"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2020-CHG-CZA-Saccharin-2</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5086" cy="6056586"/>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0.08723</cdr:y>
    </cdr:to>
    <cdr:sp macro="" textlink="">
      <cdr:nvSpPr>
        <cdr:cNvPr id="2" name="ZoneTexte 1"/>
        <cdr:cNvSpPr txBox="1"/>
      </cdr:nvSpPr>
      <cdr:spPr>
        <a:xfrm xmlns:a="http://schemas.openxmlformats.org/drawingml/2006/main">
          <a:off x="3483485" y="91003"/>
          <a:ext cx="1696124" cy="436786"/>
        </a:xfrm>
        <a:prstGeom xmlns:a="http://schemas.openxmlformats.org/drawingml/2006/main" prst="rect">
          <a:avLst/>
        </a:prstGeom>
      </cdr:spPr>
      <cdr:txBody>
        <a:bodyPr xmlns:a="http://schemas.openxmlformats.org/drawingml/2006/main" vertOverflow="clip" horzOverflow="clip" wrap="square" rtlCol="0" anchor="ctr">
          <a:spAutoFit/>
        </a:bodyPr>
        <a:lstStyle xmlns:a="http://schemas.openxmlformats.org/drawingml/2006/main"/>
        <a:p xmlns:a="http://schemas.openxmlformats.org/drawingml/2006/main">
          <a:pPr algn="ctr"/>
          <a:r>
            <a:rPr lang="fr-FR" sz="1100" b="1">
              <a:effectLst/>
              <a:latin typeface="+mn-lt"/>
              <a:ea typeface="+mn-ea"/>
              <a:cs typeface="+mn-cs"/>
            </a:rPr>
            <a:t>2020-CHG-CZA-Saccharin-3</a:t>
          </a:r>
          <a:endParaRPr lang="fr-FR" sz="1400">
            <a:effectLst/>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6875" cy="6048375"/>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382676" y="10062696"/>
          <a:ext cx="8425736" cy="1074705"/>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546152" y="3836226"/>
          <a:ext cx="8425736" cy="1070169"/>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754287" y="10062696"/>
          <a:ext cx="8425736" cy="1074705"/>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917763" y="3836226"/>
          <a:ext cx="8425736" cy="1070169"/>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39.495776967589" createdVersion="6" refreshedVersion="7" minRefreshableVersion="3" recordCount="36" xr:uid="{8DEF666A-6C7D-4C16-AD6D-82242760D5D9}">
  <cacheSource type="worksheet">
    <worksheetSource name="liste_groupe"/>
  </cacheSource>
  <cacheFields count="6">
    <cacheField name="Nom sur le graphique" numFmtId="0">
      <sharedItems count="23">
        <s v="Témoin solvant"/>
        <s v="EE2-33,8ng/L"/>
        <s v="EE2-50,6ng/L"/>
        <s v="EE2-76ng/L"/>
        <s v="EE2-114ng/L"/>
        <s v="EE2-170,9ng/L"/>
        <s v="EE2-488ng/L"/>
        <s v="Saccharin-0,01mg/L"/>
        <s v="Saccharin-0,1mg/L"/>
        <s v="Saccharin-1mg/L"/>
        <s v="Saccharin-10mg/L"/>
        <s v="Saccharin-100mg/L"/>
        <s v=" "/>
        <s v="Testo -30µg/L"/>
        <s v="Testo 30µg/L + EE2 -64ng/L"/>
        <s v="Testo 30µg/L + FAD-10mg/L"/>
        <s v="Saccharin-0,01mg/L + Testostérone"/>
        <s v="Saccharin-0,1mg/L + Testostérone"/>
        <s v="Saccharin-1mg/L + Testostérone"/>
        <s v="Saccharin-10mg/L + Testostérone"/>
        <s v="Saccharin-100mg/L + Testostérone"/>
        <s v="0-00 + Testostérone" u="1"/>
        <s v="EE2-22,5ng/L" u="1"/>
      </sharedItems>
    </cacheField>
    <cacheField name="Code WF" numFmtId="0">
      <sharedItems containsBlank="1" containsMixedTypes="1" containsNumber="1" containsInteger="1" minValue="0" maxValue="0" count="8">
        <s v="Témoin"/>
        <s v="WF-194-20"/>
        <s v="WF-194-21"/>
        <s v="WF-194-22"/>
        <s v="WF-194-23"/>
        <s v="WF-194-24"/>
        <m/>
        <n v="0" u="1"/>
      </sharedItems>
    </cacheField>
    <cacheField name="Concentration" numFmtId="0">
      <sharedItems containsString="0" containsBlank="1" containsNumber="1" minValue="0.01" maxValue="488"/>
    </cacheField>
    <cacheField name="Unité" numFmtId="0">
      <sharedItems containsBlank="1"/>
    </cacheField>
    <cacheField name="Nom de l'échantillon donné par le client" numFmtId="0">
      <sharedItems containsBlank="1"/>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39.495777546297" createdVersion="5" refreshedVersion="7" minRefreshableVersion="3" recordCount="1556" xr:uid="{00000000-000A-0000-FFFF-FFFF0C000000}">
  <cacheSource type="worksheet">
    <worksheetSource name="Tableau4"/>
  </cacheSource>
  <cacheFields count="9">
    <cacheField name="Nom groupe" numFmtId="0">
      <sharedItems containsBlank="1" count="23">
        <s v="01 TS"/>
        <s v=""/>
        <s v="02 EE2 34"/>
        <s v="03 EE2 51"/>
        <s v="04 EE2 76"/>
        <s v="05 EE2 114"/>
        <s v="06 EE2 171"/>
        <s v="07 EE2 488"/>
        <s v="08 Saccharin 0,01"/>
        <s v="09  Saccharin 0,1"/>
        <s v="10  Saccharin 1"/>
        <s v="11  Saccharin 10"/>
        <s v="12  Saccharin 100"/>
        <s v="13 Testo 30"/>
        <s v="14 Testo 30"/>
        <s v="15 Testo + EE2"/>
        <s v="16 Testo + FAD"/>
        <s v="17 Testo +  Saccharin 0,01"/>
        <s v="18  Testo +  Saccharin 0,1"/>
        <s v="19 Testo +  Saccharin 1"/>
        <s v="20 Testo +  Saccharin 10"/>
        <s v="21 Testo +   Saccharin 100"/>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72"/>
    </cacheField>
    <cacheField name=" " numFmtId="0">
      <sharedItems containsBlank="1" count="24">
        <s v=" "/>
        <m/>
        <s v=" SD mean fluo "/>
        <s v=" 3.4531 "/>
        <s v=" 3.618 "/>
        <s v=" 6.5097 "/>
        <s v=" 4.4587 "/>
        <s v=" 6.8111 "/>
        <s v=" 4.0542 "/>
        <s v=" 7.7995 "/>
        <s v=" 1.47 "/>
        <s v=" 3.573 "/>
        <s v=" 6.1955 "/>
        <s v=" 3.8895 "/>
        <s v=" 5.1591 "/>
        <s v=" 3.8024 "/>
        <s v=" 4.6653 "/>
        <s v=" 5.3122 "/>
        <s v=" 2.9421 "/>
        <s v=" 3.9945 "/>
        <s v=" 4.0775 "/>
        <s v=" 4.2524 "/>
        <s v=" 2.4268 "/>
        <s v=" 5.4578 "/>
      </sharedItems>
    </cacheField>
    <cacheField name=" total fluorescence" numFmtId="0">
      <sharedItems containsBlank="1" containsMixedTypes="1" containsNumber="1" containsInteger="1" minValue="5472" maxValue="6817721"/>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39.495777777774" createdVersion="5" refreshedVersion="7" minRefreshableVersion="3" recordCount="1530" xr:uid="{00000000-000A-0000-FFFF-FFFF10000000}">
  <cacheSource type="worksheet">
    <worksheetSource name="Tableau46"/>
  </cacheSource>
  <cacheFields count="9">
    <cacheField name="Nom groupe" numFmtId="0">
      <sharedItems count="29">
        <s v=""/>
        <s v="01 TS"/>
        <s v="02 EE2 34"/>
        <s v="03 EE2 51"/>
        <s v="04 EE2 76"/>
        <s v="05 EE2 114"/>
        <s v="06 EE2 171"/>
        <s v="07 EE2 488"/>
        <s v="08 Saccharin 0.01"/>
        <s v="09 Saccharin 0.1"/>
        <s v="10 Saccharin 1"/>
        <s v="11 Saccharin 10"/>
        <s v="12 Saccharin 100"/>
        <s v="13 TESTO 30"/>
        <s v="14 TESTO 30"/>
        <s v="15 TESTO + EE2"/>
        <s v="16 TESTO + FAD"/>
        <s v="17 Saccharin 0.01 + Testo"/>
        <s v="18 Saccharin 0.1 + Testo"/>
        <s v="19 Testo +  Saccharin 1"/>
        <s v="20 Testo +  Saccharin 10"/>
        <s v="21 Testo +   Saccharin 100"/>
        <s v="09  Saccharin 0,1" u="1"/>
        <s v="12  Saccharin 100" u="1"/>
        <s v="18  Testo +  Saccharin 0,1" u="1"/>
        <s v="08 Saccharin 0,01" u="1"/>
        <s v="17 Testo +  Saccharin 0,01" u="1"/>
        <s v="10  Saccharin 1" u="1"/>
        <s v="11  Saccharin 10" u="1"/>
      </sharedItems>
    </cacheField>
    <cacheField name="N° de valeur" numFmtId="0">
      <sharedItems count="10">
        <e v="#VALUE!"/>
        <s v="A"/>
        <s v="B"/>
        <s v="C"/>
        <s v="D"/>
        <s v="E"/>
        <s v="F"/>
        <s v="G"/>
        <s v="H"/>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67"/>
    </cacheField>
    <cacheField name=" " numFmtId="0">
      <sharedItems containsBlank="1" count="42">
        <s v=" "/>
        <m/>
        <s v=" SD mean fluo "/>
        <s v=" 3.3328 "/>
        <s v=" 7.0831 "/>
        <s v=" 1.9551 "/>
        <s v=" 2.051 "/>
        <s v=" 3.9562 "/>
        <s v=" 3.3233 "/>
        <s v=" 6.7404 "/>
        <s v=" 9.3729 "/>
        <s v=" 2.666 "/>
        <s v=" 2.489 "/>
        <s v=" 8.7479 "/>
        <s v=" 1.8254 "/>
        <s v=" 2.7421 "/>
        <s v=" 5.0789 "/>
        <s v=" 5.5612 "/>
        <s v=" 6.2165 "/>
        <s v=" 3.6143 "/>
        <s v=" 3.2068 "/>
        <s v=" 4.3981 "/>
        <s v=" 4.2616 "/>
        <s v=" 3.8488 "/>
        <s v=" 4.1241 " u="1"/>
        <s v=" 7.452 " u="1"/>
        <s v=" 4.1391 " u="1"/>
        <s v=" 6.0548 " u="1"/>
        <s v=" 4.1261 " u="1"/>
        <s v=" 5.0063 " u="1"/>
        <s v=" 1.8502 " u="1"/>
        <s v=" 4.2511 " u="1"/>
        <s v=" 6.182 " u="1"/>
        <s v=" 5.1323 " u="1"/>
        <s v=" 1.9547 " u="1"/>
        <s v=" 4.5473 " u="1"/>
        <s v=" 1.7048 " u="1"/>
        <s v=" 3.2283 " u="1"/>
        <s v=" 3.5066 " u="1"/>
        <s v=" 10.8351 " u="1"/>
        <s v=" 5.3184 " u="1"/>
        <s v=" 2.45 " u="1"/>
      </sharedItems>
    </cacheField>
    <cacheField name=" total fluorescence" numFmtId="0">
      <sharedItems containsBlank="1" containsMixedTypes="1" containsNumber="1" containsInteger="1" minValue="7113" maxValue="8853169"/>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539.49577789352" createdVersion="5" refreshedVersion="7" minRefreshableVersion="3" recordCount="1710" xr:uid="{00000000-000A-0000-FFFF-FFFF14000000}">
  <cacheSource type="worksheet">
    <worksheetSource name="Tableau467"/>
  </cacheSource>
  <cacheFields count="9">
    <cacheField name="Nom groupe" numFmtId="0">
      <sharedItems count="22">
        <s v="01 TS"/>
        <s v=""/>
        <s v="02 EE2 34"/>
        <s v="03 EE2 51"/>
        <s v="04 EE2 76"/>
        <s v="05 EE2 114"/>
        <s v="06 EE2 171"/>
        <s v="07 EE2 488"/>
        <s v="08 Saccharin 0,01"/>
        <s v="09 Saccharin 0,1"/>
        <s v="10  Saccharin 1"/>
        <s v="11 Saccharin 10"/>
        <s v="12  Saccharin 100"/>
        <s v="13 Testo 30"/>
        <s v="14 Testo 30"/>
        <s v="15 Testo + EE2"/>
        <s v="16 Testo + FAD"/>
        <s v="17 Testo +  Saccharin 0,01"/>
        <s v="18  Testo +  Saccharin 0,1"/>
        <s v="19 Testo +  Saccharin 1"/>
        <s v="20 Testo +  Saccharin 10"/>
        <s v="21 Testo +   Saccharin 10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67"/>
    </cacheField>
    <cacheField name=" " numFmtId="0">
      <sharedItems containsBlank="1" count="24">
        <s v=" "/>
        <m/>
        <s v=" SD mean fluo "/>
        <s v=" 2.4037 "/>
        <s v=" 5.1924 "/>
        <s v=" 7.2208 "/>
        <s v=" 3.8511 "/>
        <s v=" 5.2543 "/>
        <s v=" 3.9749 "/>
        <s v=" 5.2 "/>
        <s v=" 2.9506 "/>
        <s v=" 4.4338 "/>
        <s v=" 3.4473 "/>
        <s v=" 5.144 "/>
        <s v=" 4.3373 "/>
        <s v=" 3.9319 "/>
        <s v=" 3.4268 "/>
        <s v=" 6.1872 "/>
        <s v=" 2.2261 "/>
        <s v=" 5.212 "/>
        <s v=" 5.2346 "/>
        <s v=" 3.0497 "/>
        <s v=" 4.3646 "/>
        <s v=" 4.3837 "/>
      </sharedItems>
    </cacheField>
    <cacheField name=" total fluorescence" numFmtId="0">
      <sharedItems containsBlank="1" containsMixedTypes="1" containsNumber="1" containsInteger="1" minValue="2704" maxValue="7897832"/>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m/>
    <m/>
    <s v="Témoin solvant"/>
    <x v="0"/>
  </r>
  <r>
    <x v="1"/>
    <x v="0"/>
    <n v="33.799999999999997"/>
    <s v="ng/L"/>
    <s v="EE2"/>
    <x v="0"/>
  </r>
  <r>
    <x v="2"/>
    <x v="0"/>
    <n v="50.6"/>
    <s v="ng/L"/>
    <s v="EE2"/>
    <x v="0"/>
  </r>
  <r>
    <x v="3"/>
    <x v="0"/>
    <n v="76"/>
    <s v="ng/L"/>
    <s v="EE2"/>
    <x v="0"/>
  </r>
  <r>
    <x v="4"/>
    <x v="0"/>
    <n v="114"/>
    <s v="ng/L"/>
    <s v="EE2"/>
    <x v="0"/>
  </r>
  <r>
    <x v="5"/>
    <x v="0"/>
    <n v="170.9"/>
    <s v="ng/L"/>
    <s v="EE2"/>
    <x v="0"/>
  </r>
  <r>
    <x v="6"/>
    <x v="0"/>
    <n v="488"/>
    <s v="ng/L"/>
    <s v="EE2"/>
    <x v="0"/>
  </r>
  <r>
    <x v="7"/>
    <x v="1"/>
    <n v="0.01"/>
    <s v="mg/L"/>
    <s v="Saccharin"/>
    <x v="0"/>
  </r>
  <r>
    <x v="8"/>
    <x v="2"/>
    <n v="0.1"/>
    <s v="mg/L"/>
    <s v="Saccharin"/>
    <x v="0"/>
  </r>
  <r>
    <x v="9"/>
    <x v="3"/>
    <n v="1"/>
    <s v="mg/L"/>
    <s v="Saccharin"/>
    <x v="0"/>
  </r>
  <r>
    <x v="10"/>
    <x v="4"/>
    <n v="10"/>
    <s v="mg/L"/>
    <s v="Saccharin"/>
    <x v="0"/>
  </r>
  <r>
    <x v="11"/>
    <x v="5"/>
    <n v="100"/>
    <s v="mg/L"/>
    <s v="Saccharin"/>
    <x v="0"/>
  </r>
  <r>
    <x v="12"/>
    <x v="6"/>
    <m/>
    <m/>
    <m/>
    <x v="0"/>
  </r>
  <r>
    <x v="12"/>
    <x v="6"/>
    <m/>
    <m/>
    <m/>
    <x v="0"/>
  </r>
  <r>
    <x v="12"/>
    <x v="6"/>
    <m/>
    <m/>
    <m/>
    <x v="0"/>
  </r>
  <r>
    <x v="12"/>
    <x v="6"/>
    <m/>
    <m/>
    <m/>
    <x v="0"/>
  </r>
  <r>
    <x v="12"/>
    <x v="6"/>
    <m/>
    <m/>
    <m/>
    <x v="0"/>
  </r>
  <r>
    <x v="12"/>
    <x v="6"/>
    <m/>
    <m/>
    <m/>
    <x v="0"/>
  </r>
  <r>
    <x v="12"/>
    <x v="6"/>
    <m/>
    <m/>
    <m/>
    <x v="0"/>
  </r>
  <r>
    <x v="12"/>
    <x v="6"/>
    <m/>
    <m/>
    <m/>
    <x v="0"/>
  </r>
  <r>
    <x v="12"/>
    <x v="6"/>
    <m/>
    <m/>
    <m/>
    <x v="0"/>
  </r>
  <r>
    <x v="12"/>
    <x v="6"/>
    <m/>
    <m/>
    <m/>
    <x v="0"/>
  </r>
  <r>
    <x v="12"/>
    <x v="6"/>
    <m/>
    <m/>
    <m/>
    <x v="0"/>
  </r>
  <r>
    <x v="12"/>
    <x v="6"/>
    <m/>
    <m/>
    <m/>
    <x v="0"/>
  </r>
  <r>
    <x v="12"/>
    <x v="6"/>
    <m/>
    <m/>
    <m/>
    <x v="0"/>
  </r>
  <r>
    <x v="12"/>
    <x v="6"/>
    <m/>
    <m/>
    <m/>
    <x v="0"/>
  </r>
  <r>
    <x v="12"/>
    <x v="6"/>
    <m/>
    <m/>
    <m/>
    <x v="0"/>
  </r>
  <r>
    <x v="12"/>
    <x v="6"/>
    <m/>
    <m/>
    <m/>
    <x v="0"/>
  </r>
  <r>
    <x v="13"/>
    <x v="0"/>
    <n v="30"/>
    <s v="µg/L"/>
    <s v="Testo "/>
    <x v="0"/>
  </r>
  <r>
    <x v="14"/>
    <x v="0"/>
    <n v="64"/>
    <s v="ng/L"/>
    <s v="Testo 30µg/L + EE2 "/>
    <x v="0"/>
  </r>
  <r>
    <x v="15"/>
    <x v="0"/>
    <n v="10"/>
    <s v="mg/L"/>
    <s v="Testo 30µg/L + FAD"/>
    <x v="0"/>
  </r>
  <r>
    <x v="16"/>
    <x v="1"/>
    <n v="0.01"/>
    <s v="mg/L"/>
    <s v="Saccharin"/>
    <x v="1"/>
  </r>
  <r>
    <x v="17"/>
    <x v="2"/>
    <n v="0.1"/>
    <s v="mg/L"/>
    <s v="Saccharin"/>
    <x v="1"/>
  </r>
  <r>
    <x v="18"/>
    <x v="3"/>
    <n v="1"/>
    <s v="mg/L"/>
    <s v="Saccharin"/>
    <x v="1"/>
  </r>
  <r>
    <x v="19"/>
    <x v="4"/>
    <n v="10"/>
    <s v="mg/L"/>
    <s v="Saccharin"/>
    <x v="1"/>
  </r>
  <r>
    <x v="20"/>
    <x v="5"/>
    <n v="100"/>
    <s v="mg/L"/>
    <s v="Saccharin"/>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Données chgh\2020-CHG-CZA-Saccharin-1\plaque 1/@01 TS/A1_01.tif "/>
    <s v=" 3547.3027 "/>
    <s v=" 64.1646 "/>
    <x v="0"/>
    <n v="227611"/>
    <m/>
    <m/>
  </r>
  <r>
    <x v="0"/>
    <x v="0"/>
    <s v="F:\Données chgh\2020-CHG-CZA-Saccharin-1\plaque 1/@01 TS/A1_02.tif "/>
    <s v=" 605.637 "/>
    <s v=" 63.3571 "/>
    <x v="0"/>
    <n v="38371"/>
    <m/>
    <m/>
  </r>
  <r>
    <x v="0"/>
    <x v="0"/>
    <s v="F:\Données chgh\2020-CHG-CZA-Saccharin-1\plaque 1/@01 TS/A1_03.tif "/>
    <s v=" 3006.5554 "/>
    <s v=" 64.1367 "/>
    <x v="0"/>
    <n v="192831"/>
    <m/>
    <m/>
  </r>
  <r>
    <x v="0"/>
    <x v="1"/>
    <s v="F:\Données chgh\2020-CHG-CZA-Saccharin-1\plaque 1/@01 TS/B1_01.tif "/>
    <s v=" 2898.4059 "/>
    <s v=" 65.4701 "/>
    <x v="0"/>
    <n v="189759"/>
    <m/>
    <m/>
  </r>
  <r>
    <x v="0"/>
    <x v="1"/>
    <s v="F:\Données chgh\2020-CHG-CZA-Saccharin-1\plaque 1/@01 TS/B1_02.tif "/>
    <s v=" 4542.2779 "/>
    <s v=" 69.2857 "/>
    <x v="0"/>
    <n v="314715"/>
    <m/>
    <m/>
  </r>
  <r>
    <x v="0"/>
    <x v="1"/>
    <s v="F:\Données chgh\2020-CHG-CZA-Saccharin-1\plaque 1/@01 TS/B1_03.tif "/>
    <s v=" 757.0463 "/>
    <s v=" 62.8 "/>
    <x v="0"/>
    <n v="47543"/>
    <m/>
    <m/>
  </r>
  <r>
    <x v="0"/>
    <x v="2"/>
    <s v="F:\Données chgh\2020-CHG-CZA-Saccharin-1\plaque 1/@01 TS/C1_01.tif "/>
    <s v=" 973.3453 "/>
    <s v=" 64.3778 "/>
    <x v="0"/>
    <n v="62662"/>
    <m/>
    <m/>
  </r>
  <r>
    <x v="0"/>
    <x v="2"/>
    <s v="F:\Données chgh\2020-CHG-CZA-Saccharin-1\plaque 1/@01 TS/C1_02.tif "/>
    <s v=" 10987.9865 "/>
    <s v=" 76.8504 "/>
    <x v="0"/>
    <n v="844431"/>
    <m/>
    <m/>
  </r>
  <r>
    <x v="0"/>
    <x v="2"/>
    <s v="F:\Données chgh\2020-CHG-CZA-Saccharin-1\plaque 1/@01 TS/C1_03.tif "/>
    <s v=" 5710.2922 "/>
    <s v=" 71.7311 "/>
    <x v="0"/>
    <n v="409605"/>
    <m/>
    <m/>
  </r>
  <r>
    <x v="0"/>
    <x v="3"/>
    <s v="F:\Données chgh\2020-CHG-CZA-Saccharin-1\plaque 1/@01 TS/D1_01.tif "/>
    <s v=" 6488.9684 "/>
    <s v=" 68.14 "/>
    <x v="0"/>
    <n v="442158"/>
    <m/>
    <m/>
  </r>
  <r>
    <x v="0"/>
    <x v="3"/>
    <s v="F:\Données chgh\2020-CHG-CZA-Saccharin-1\plaque 1/@01 TS/D1_02.tif "/>
    <s v=" 4131.3099 "/>
    <s v=" 65.9267 "/>
    <x v="0"/>
    <n v="272364"/>
    <m/>
    <m/>
  </r>
  <r>
    <x v="0"/>
    <x v="3"/>
    <s v="F:\Données chgh\2020-CHG-CZA-Saccharin-1\plaque 1/@01 TS/D1_03.tif "/>
    <s v=" 4390.8686 "/>
    <s v=" 65.9655 "/>
    <x v="0"/>
    <n v="289646"/>
    <m/>
    <m/>
  </r>
  <r>
    <x v="0"/>
    <x v="4"/>
    <s v="F:\Données chgh\2020-CHG-CZA-Saccharin-1\plaque 1/@01 TS/E1_01- exclu.tif"/>
    <m/>
    <m/>
    <x v="1"/>
    <m/>
    <m/>
    <m/>
  </r>
  <r>
    <x v="0"/>
    <x v="4"/>
    <s v="F:\Données chgh\2020-CHG-CZA-Saccharin-1\plaque 1/@01 TS/E1_02.tif "/>
    <s v=" 1449.2029 "/>
    <s v=" 64.3284 "/>
    <x v="0"/>
    <n v="93225"/>
    <m/>
    <m/>
  </r>
  <r>
    <x v="0"/>
    <x v="4"/>
    <s v="F:\Données chgh\2020-CHG-CZA-Saccharin-1\plaque 1/@01 TS/E1_03- exclu.tif"/>
    <m/>
    <m/>
    <x v="1"/>
    <m/>
    <m/>
    <m/>
  </r>
  <r>
    <x v="0"/>
    <x v="5"/>
    <s v="F:\Données chgh\2020-CHG-CZA-Saccharin-1\plaque 1/@01 TS/F1_01.tif "/>
    <s v=" 648.8968 "/>
    <s v=" 62.5667 "/>
    <x v="0"/>
    <n v="40599"/>
    <m/>
    <m/>
  </r>
  <r>
    <x v="0"/>
    <x v="5"/>
    <s v="F:\Données chgh\2020-CHG-CZA-Saccharin-1\plaque 1/@01 TS/F1_02.tif "/>
    <s v=" 497.4876 "/>
    <s v=" 61.5652 "/>
    <x v="0"/>
    <n v="30628"/>
    <m/>
    <m/>
  </r>
  <r>
    <x v="0"/>
    <x v="5"/>
    <s v="F:\Données chgh\2020-CHG-CZA-Saccharin-1\plaque 1/@01 TS/F1_03.tif "/>
    <s v=" 259.5587 "/>
    <s v=" 63.5833 "/>
    <x v="0"/>
    <n v="16504"/>
    <m/>
    <m/>
  </r>
  <r>
    <x v="0"/>
    <x v="6"/>
    <s v="F:\Données chgh\2020-CHG-CZA-Saccharin-1\plaque 1/@01 TS/G1_01.tif "/>
    <s v=" 1600.6122 "/>
    <s v=" 64.3243 "/>
    <x v="0"/>
    <n v="102958"/>
    <m/>
    <m/>
  </r>
  <r>
    <x v="0"/>
    <x v="6"/>
    <s v="F:\Données chgh\2020-CHG-CZA-Saccharin-1\plaque 1/@01 TS/G1_02- exclu.tif"/>
    <m/>
    <m/>
    <x v="1"/>
    <m/>
    <m/>
    <m/>
  </r>
  <r>
    <x v="0"/>
    <x v="6"/>
    <s v="F:\Données chgh\2020-CHG-CZA-Saccharin-1\plaque 1/@01 TS/G1_03.tif "/>
    <s v=" 1146.3844 "/>
    <s v=" 63.6792 "/>
    <x v="0"/>
    <n v="73001"/>
    <m/>
    <m/>
  </r>
  <r>
    <x v="0"/>
    <x v="7"/>
    <s v="F:\Données chgh\2020-CHG-CZA-Saccharin-1\plaque 1/@01 TS/H1_01.tif "/>
    <s v=" 1665.5019 "/>
    <s v=" 66.1948 "/>
    <x v="0"/>
    <n v="110248"/>
    <m/>
    <m/>
  </r>
  <r>
    <x v="0"/>
    <x v="7"/>
    <s v="F:\Données chgh\2020-CHG-CZA-Saccharin-1\plaque 1/@01 TS/H1_02.tif "/>
    <s v=" 1146.3844 "/>
    <s v=" 69.6981 "/>
    <x v="0"/>
    <n v="79901"/>
    <m/>
    <m/>
  </r>
  <r>
    <x v="0"/>
    <x v="7"/>
    <s v="F:\Données chgh\2020-CHG-CZA-Saccharin-1\plaque 1/@01 TS/H1_03.tif "/>
    <s v=" 1730.3916 "/>
    <s v=" 68.4375 "/>
    <x v="0"/>
    <n v="118424"/>
    <m/>
    <m/>
  </r>
  <r>
    <x v="1"/>
    <x v="8"/>
    <s v=" "/>
    <m/>
    <m/>
    <x v="1"/>
    <m/>
    <m/>
    <m/>
  </r>
  <r>
    <x v="1"/>
    <x v="8"/>
    <s v="group "/>
    <s v=" "/>
    <s v=" mean of mean fluo "/>
    <x v="2"/>
    <s v=" mean of total fluo "/>
    <s v=" SD total fluo "/>
    <s v=" n fluorescent "/>
  </r>
  <r>
    <x v="0"/>
    <x v="9"/>
    <s v="F:\Données chgh\2020-CHG-CZA-Saccharin-1\plaque 1/@01 TS/ "/>
    <s v=" "/>
    <s v=" 65.8177 "/>
    <x v="3"/>
    <s v=" 173123.958 "/>
    <s v=" 188617.59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Saccharin-1\plaque 1/@02 EE2 34/A2_01.tif "/>
    <s v=" 1578.9823 "/>
    <s v=" 63.2877 "/>
    <x v="0"/>
    <n v="99930"/>
    <m/>
    <m/>
  </r>
  <r>
    <x v="2"/>
    <x v="0"/>
    <s v="F:\Données chgh\2020-CHG-CZA-Saccharin-1\plaque 1/@02 EE2 34/A2_02.tif "/>
    <s v=" 6791.7869 "/>
    <s v=" 68.1465 "/>
    <x v="0"/>
    <n v="462836"/>
    <m/>
    <m/>
  </r>
  <r>
    <x v="2"/>
    <x v="0"/>
    <s v="F:\Données chgh\2020-CHG-CZA-Saccharin-1\plaque 1/@02 EE2 34/A2_03.tif "/>
    <s v=" 5256.0644 "/>
    <s v=" 68.1852 "/>
    <x v="0"/>
    <n v="358386"/>
    <m/>
    <m/>
  </r>
  <r>
    <x v="2"/>
    <x v="1"/>
    <s v="F:\Données chgh\2020-CHG-CZA-Saccharin-1\plaque 1/@02 EE2 34/B2_01.tif "/>
    <s v=" 7938.1713 "/>
    <s v=" 73.3733 "/>
    <x v="0"/>
    <n v="582450"/>
    <m/>
    <m/>
  </r>
  <r>
    <x v="2"/>
    <x v="1"/>
    <s v="F:\Données chgh\2020-CHG-CZA-Saccharin-1\plaque 1/@02 EE2 34/B2_02.tif "/>
    <s v=" 8392.3991 "/>
    <s v=" 74.8093 "/>
    <x v="0"/>
    <n v="627829"/>
    <m/>
    <m/>
  </r>
  <r>
    <x v="2"/>
    <x v="1"/>
    <s v="F:\Données chgh\2020-CHG-CZA-Saccharin-1\plaque 1/@02 EE2 34/B2_03.tif "/>
    <s v=" 8176.1002 "/>
    <s v=" 71.9418 "/>
    <x v="0"/>
    <n v="588203"/>
    <m/>
    <m/>
  </r>
  <r>
    <x v="2"/>
    <x v="2"/>
    <s v="F:\Données chgh\2020-CHG-CZA-Saccharin-1\plaque 1/@02 EE2 34/C2_01.tif "/>
    <s v=" 324.4484 "/>
    <s v=" 64.2 "/>
    <x v="0"/>
    <n v="20830"/>
    <m/>
    <m/>
  </r>
  <r>
    <x v="2"/>
    <x v="2"/>
    <s v="F:\Données chgh\2020-CHG-CZA-Saccharin-1\plaque 1/@02 EE2 34/C2_02.tif "/>
    <s v=" 2768.6265 "/>
    <s v=" 64.1953 "/>
    <x v="0"/>
    <n v="177733"/>
    <m/>
    <m/>
  </r>
  <r>
    <x v="2"/>
    <x v="2"/>
    <s v="F:\Données chgh\2020-CHG-CZA-Saccharin-1\plaque 1/@02 EE2 34/C2_03.tif "/>
    <s v=" 1600.6122 "/>
    <s v=" 64.8919 "/>
    <x v="0"/>
    <n v="103867"/>
    <m/>
    <m/>
  </r>
  <r>
    <x v="2"/>
    <x v="3"/>
    <s v="F:\Données chgh\2020-CHG-CZA-Saccharin-1\plaque 1/@02 EE2 34/D2_01.tif "/>
    <s v=" 757.0463 "/>
    <s v=" 62.6571 "/>
    <x v="0"/>
    <n v="47434"/>
    <m/>
    <m/>
  </r>
  <r>
    <x v="2"/>
    <x v="3"/>
    <s v="F:\Données chgh\2020-CHG-CZA-Saccharin-1\plaque 1/@02 EE2 34/D2_02.tif "/>
    <s v=" 410.968 "/>
    <s v=" 63.4737 "/>
    <x v="0"/>
    <n v="26086"/>
    <m/>
    <m/>
  </r>
  <r>
    <x v="2"/>
    <x v="3"/>
    <s v="F:\Données chgh\2020-CHG-CZA-Saccharin-1\plaque 1/@02 EE2 34/D2_03.tif "/>
    <s v=" 194.6691 "/>
    <s v=" 61.1111 "/>
    <x v="0"/>
    <n v="11896"/>
    <m/>
    <m/>
  </r>
  <r>
    <x v="2"/>
    <x v="4"/>
    <s v="F:\Données chgh\2020-CHG-CZA-Saccharin-1\plaque 1/@02 EE2 34/E2_01.tif "/>
    <s v=" 865.1958 "/>
    <s v=" 62.85 "/>
    <x v="0"/>
    <n v="54378"/>
    <m/>
    <m/>
  </r>
  <r>
    <x v="2"/>
    <x v="4"/>
    <s v="F:\Données chgh\2020-CHG-CZA-Saccharin-1\plaque 1/@02 EE2 34/E2_02.tif "/>
    <s v=" 410.968 "/>
    <s v=" 64.7368 "/>
    <x v="0"/>
    <n v="26605"/>
    <m/>
    <m/>
  </r>
  <r>
    <x v="2"/>
    <x v="4"/>
    <s v="F:\Données chgh\2020-CHG-CZA-Saccharin-1\plaque 1/@02 EE2 34/E2_03.tif "/>
    <s v=" 2400.9183 "/>
    <s v=" 64.2973 "/>
    <x v="0"/>
    <n v="154373"/>
    <m/>
    <m/>
  </r>
  <r>
    <x v="2"/>
    <x v="5"/>
    <s v="F:\Données chgh\2020-CHG-CZA-Saccharin-1\plaque 1/@02 EE2 34/F2_01.tif "/>
    <s v=" 2379.2884 "/>
    <s v=" 64.6818 "/>
    <x v="0"/>
    <n v="153897"/>
    <m/>
    <m/>
  </r>
  <r>
    <x v="2"/>
    <x v="5"/>
    <s v="F:\Données chgh\2020-CHG-CZA-Saccharin-1\plaque 1/@02 EE2 34/F2_02.tif "/>
    <s v=" 605.637 "/>
    <s v=" 62.8571 "/>
    <x v="0"/>
    <n v="38069"/>
    <m/>
    <m/>
  </r>
  <r>
    <x v="2"/>
    <x v="5"/>
    <s v="F:\Données chgh\2020-CHG-CZA-Saccharin-1\plaque 1/@02 EE2 34/F2_03.tif "/>
    <s v=" 670.5267 "/>
    <s v=" 62.7742 "/>
    <x v="0"/>
    <n v="42092"/>
    <m/>
    <m/>
  </r>
  <r>
    <x v="2"/>
    <x v="6"/>
    <s v="F:\Données chgh\2020-CHG-CZA-Saccharin-1\plaque 1/@02 EE2 34/G2_01.tif "/>
    <s v=" 540.7474 "/>
    <s v=" 62.4 "/>
    <x v="0"/>
    <n v="33743"/>
    <m/>
    <m/>
  </r>
  <r>
    <x v="2"/>
    <x v="6"/>
    <s v="F:\Données chgh\2020-CHG-CZA-Saccharin-1\plaque 1/@02 EE2 34/G2_02.tif "/>
    <s v=" 670.5267 "/>
    <s v=" 63.0645 "/>
    <x v="0"/>
    <n v="42286"/>
    <m/>
    <m/>
  </r>
  <r>
    <x v="2"/>
    <x v="6"/>
    <s v="F:\Données chgh\2020-CHG-CZA-Saccharin-1\plaque 1/@02 EE2 34/G2_03.tif "/>
    <s v=" 1168.0143 "/>
    <s v=" 63.6852 "/>
    <x v="0"/>
    <n v="74385"/>
    <m/>
    <m/>
  </r>
  <r>
    <x v="2"/>
    <x v="7"/>
    <s v="F:\Données chgh\2020-CHG-CZA-Saccharin-1\plaque 1/@02 EE2 34/H2_01.tif "/>
    <s v=" 8933.1465 "/>
    <s v=" 69.0557 "/>
    <x v="0"/>
    <n v="616885"/>
    <m/>
    <m/>
  </r>
  <r>
    <x v="2"/>
    <x v="7"/>
    <s v="F:\Données chgh\2020-CHG-CZA-Saccharin-1\plaque 1/@02 EE2 34/H2_02.tif "/>
    <s v=" 1903.4307 "/>
    <s v=" 64.5341 "/>
    <x v="0"/>
    <n v="122836"/>
    <m/>
    <m/>
  </r>
  <r>
    <x v="2"/>
    <x v="7"/>
    <s v="F:\Données chgh\2020-CHG-CZA-Saccharin-1\plaque 1/@02 EE2 34/H2_03.tif "/>
    <s v=" 5926.5911 "/>
    <s v=" 65.8139 "/>
    <x v="0"/>
    <n v="390052"/>
    <m/>
    <m/>
  </r>
  <r>
    <x v="1"/>
    <x v="8"/>
    <s v=" "/>
    <m/>
    <m/>
    <x v="1"/>
    <m/>
    <m/>
    <m/>
  </r>
  <r>
    <x v="1"/>
    <x v="8"/>
    <s v="group "/>
    <s v=" "/>
    <s v=" mean of mean fluo "/>
    <x v="2"/>
    <s v=" mean of total fluo "/>
    <s v=" SD total fluo "/>
    <s v=" n fluorescent "/>
  </r>
  <r>
    <x v="2"/>
    <x v="9"/>
    <s v="F:\Données chgh\2020-CHG-CZA-Saccharin-1\plaque 1/@02 EE2 34/ "/>
    <s v=" "/>
    <s v=" 65.4593 "/>
    <x v="4"/>
    <s v=" 202378.375 "/>
    <s v=" 219247.33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Saccharin-1\plaque 1/@03 EE2 51/A3_01.tif "/>
    <s v=" 627.2669 "/>
    <s v=" 66.4828 "/>
    <x v="0"/>
    <n v="41702"/>
    <m/>
    <m/>
  </r>
  <r>
    <x v="3"/>
    <x v="0"/>
    <s v="F:\Données chgh\2020-CHG-CZA-Saccharin-1\plaque 1/@03 EE2 51/A3_02.tif "/>
    <s v=" 3331.0038 "/>
    <s v=" 68.7857 "/>
    <x v="0"/>
    <n v="229125"/>
    <m/>
    <m/>
  </r>
  <r>
    <x v="3"/>
    <x v="0"/>
    <s v="F:\Données chgh\2020-CHG-CZA-Saccharin-1\plaque 1/@03 EE2 51/A3_03.tif "/>
    <s v=" 410.968 "/>
    <s v=" 65.4211 "/>
    <x v="0"/>
    <n v="26886"/>
    <m/>
    <m/>
  </r>
  <r>
    <x v="3"/>
    <x v="1"/>
    <s v="F:\Données chgh\2020-CHG-CZA-Saccharin-1\plaque 1/@03 EE2 51/B3_01.tif "/>
    <s v=" 908.4556 "/>
    <s v=" 63.2619 "/>
    <x v="0"/>
    <n v="57471"/>
    <m/>
    <m/>
  </r>
  <r>
    <x v="3"/>
    <x v="1"/>
    <s v="F:\Données chgh\2020-CHG-CZA-Saccharin-1\plaque 1/@03 EE2 51/B3_02.tif "/>
    <s v=" 627.2669 "/>
    <s v=" 63.3103 "/>
    <x v="0"/>
    <n v="39712"/>
    <m/>
    <m/>
  </r>
  <r>
    <x v="3"/>
    <x v="1"/>
    <s v="F:\Données chgh\2020-CHG-CZA-Saccharin-1\plaque 1/@03 EE2 51/B3_03- exclu.tif"/>
    <m/>
    <m/>
    <x v="1"/>
    <m/>
    <m/>
    <m/>
  </r>
  <r>
    <x v="3"/>
    <x v="2"/>
    <s v="F:\Données chgh\2020-CHG-CZA-Saccharin-1\plaque 1/@03 EE2 51/C3_01.tif "/>
    <s v=" 670.5267 "/>
    <s v=" 62.5806 "/>
    <x v="0"/>
    <n v="41962"/>
    <m/>
    <m/>
  </r>
  <r>
    <x v="3"/>
    <x v="2"/>
    <s v="F:\Données chgh\2020-CHG-CZA-Saccharin-1\plaque 1/@03 EE2 51/C3_02.tif "/>
    <s v=" 584.0072 "/>
    <s v=" 63.5185 "/>
    <x v="0"/>
    <n v="37095"/>
    <m/>
    <m/>
  </r>
  <r>
    <x v="3"/>
    <x v="2"/>
    <s v="F:\Données chgh\2020-CHG-CZA-Saccharin-1\plaque 1/@03 EE2 51/C3_03.tif "/>
    <s v=" 2227.8791 "/>
    <s v=" 64.7282 "/>
    <x v="0"/>
    <n v="144207"/>
    <m/>
    <m/>
  </r>
  <r>
    <x v="3"/>
    <x v="3"/>
    <s v="F:\Données chgh\2020-CHG-CZA-Saccharin-1\plaque 1/@03 EE2 51/D3_01.tif "/>
    <s v=" 1860.1709 "/>
    <s v=" 64.9767 "/>
    <x v="0"/>
    <n v="120868"/>
    <m/>
    <m/>
  </r>
  <r>
    <x v="3"/>
    <x v="3"/>
    <s v="F:\Données chgh\2020-CHG-CZA-Saccharin-1\plaque 1/@03 EE2 51/D3_02.tif "/>
    <s v=" 1795.2813 "/>
    <s v=" 64.8675 "/>
    <x v="0"/>
    <n v="116455"/>
    <m/>
    <m/>
  </r>
  <r>
    <x v="3"/>
    <x v="3"/>
    <s v="F:\Données chgh\2020-CHG-CZA-Saccharin-1\plaque 1/@03 EE2 51/D3_03.tif "/>
    <s v=" 324.4484 "/>
    <s v=" 62.6667 "/>
    <x v="0"/>
    <n v="20332"/>
    <m/>
    <m/>
  </r>
  <r>
    <x v="3"/>
    <x v="4"/>
    <s v="F:\Données chgh\2020-CHG-CZA-Saccharin-1\plaque 1/@03 EE2 51/E3_01.tif "/>
    <s v=" 1254.5339 "/>
    <s v=" 62.8103 "/>
    <x v="0"/>
    <n v="78798"/>
    <m/>
    <m/>
  </r>
  <r>
    <x v="3"/>
    <x v="4"/>
    <s v="F:\Données chgh\2020-CHG-CZA-Saccharin-1\plaque 1/@03 EE2 51/E3_02.tif "/>
    <s v=" 800.3061 "/>
    <s v=" 64.4054 "/>
    <x v="0"/>
    <n v="51544"/>
    <m/>
    <m/>
  </r>
  <r>
    <x v="3"/>
    <x v="4"/>
    <s v="F:\Données chgh\2020-CHG-CZA-Saccharin-1\plaque 1/@03 EE2 51/E3_03- exclu.tif"/>
    <m/>
    <m/>
    <x v="1"/>
    <m/>
    <m/>
    <m/>
  </r>
  <r>
    <x v="3"/>
    <x v="5"/>
    <s v="F:\Données chgh\2020-CHG-CZA-Saccharin-1\plaque 1/@03 EE2 51/F3_01.tif "/>
    <s v=" 2465.808 "/>
    <s v=" 65.2895 "/>
    <x v="0"/>
    <n v="160991"/>
    <m/>
    <m/>
  </r>
  <r>
    <x v="3"/>
    <x v="5"/>
    <s v="F:\Données chgh\2020-CHG-CZA-Saccharin-1\plaque 1/@03 EE2 51/F3_02.tif "/>
    <s v=" 6835.0467 "/>
    <s v=" 74.4715 "/>
    <x v="0"/>
    <n v="509016"/>
    <m/>
    <m/>
  </r>
  <r>
    <x v="3"/>
    <x v="5"/>
    <s v="F:\Données chgh\2020-CHG-CZA-Saccharin-1\plaque 1/@03 EE2 51/F3_03.tif "/>
    <s v=" 3590.5625 "/>
    <s v=" 65.2711 "/>
    <x v="0"/>
    <n v="234360"/>
    <m/>
    <m/>
  </r>
  <r>
    <x v="3"/>
    <x v="6"/>
    <s v="F:\Données chgh\2020-CHG-CZA-Saccharin-1\plaque 1/@03 EE2 51/G3_01.tif "/>
    <s v=" 432.5979 "/>
    <s v=" 62.6 "/>
    <x v="0"/>
    <n v="27081"/>
    <m/>
    <m/>
  </r>
  <r>
    <x v="3"/>
    <x v="6"/>
    <s v="F:\Données chgh\2020-CHG-CZA-Saccharin-1\plaque 1/@03 EE2 51/G3_02.tif "/>
    <s v=" 5558.8829 "/>
    <s v=" 66.9377 "/>
    <x v="0"/>
    <n v="372099"/>
    <m/>
    <m/>
  </r>
  <r>
    <x v="3"/>
    <x v="6"/>
    <s v="F:\Données chgh\2020-CHG-CZA-Saccharin-1\plaque 1/@03 EE2 51/G3_03.tif "/>
    <s v=" 2638.8471 "/>
    <s v=" 64.9262 "/>
    <x v="0"/>
    <n v="171330"/>
    <m/>
    <m/>
  </r>
  <r>
    <x v="3"/>
    <x v="7"/>
    <s v="F:\Données chgh\2020-CHG-CZA-Saccharin-1\plaque 1/@03 EE2 51/H3_01- exclu.tif"/>
    <m/>
    <m/>
    <x v="1"/>
    <m/>
    <m/>
    <m/>
  </r>
  <r>
    <x v="3"/>
    <x v="7"/>
    <s v="F:\Données chgh\2020-CHG-CZA-Saccharin-1\plaque 1/@03 EE2 51/H3_02- exclu.tif"/>
    <m/>
    <m/>
    <x v="1"/>
    <m/>
    <m/>
    <m/>
  </r>
  <r>
    <x v="3"/>
    <x v="7"/>
    <s v="F:\Données chgh\2020-CHG-CZA-Saccharin-1\plaque 1/@03 EE2 51/H3_03.tif "/>
    <s v=" 8716.8475 "/>
    <s v=" 75.5658 "/>
    <x v="0"/>
    <n v="658695"/>
    <m/>
    <m/>
  </r>
  <r>
    <x v="1"/>
    <x v="8"/>
    <s v=" "/>
    <m/>
    <m/>
    <x v="1"/>
    <m/>
    <m/>
    <m/>
  </r>
  <r>
    <x v="1"/>
    <x v="8"/>
    <s v="group "/>
    <s v=" "/>
    <s v=" mean of mean fluo "/>
    <x v="2"/>
    <s v=" mean of total fluo "/>
    <s v=" SD total fluo "/>
    <s v=" n fluorescent "/>
  </r>
  <r>
    <x v="3"/>
    <x v="9"/>
    <s v="F:\Données chgh\2020-CHG-CZA-Saccharin-1\plaque 1/@03 EE2 51/ "/>
    <s v=" "/>
    <s v=" 67.104 "/>
    <x v="5"/>
    <s v=" 231137.042 "/>
    <s v=" 336704.10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Saccharin-1\plaque 1/@04 EE2 76/A4_01.tif "/>
    <s v=" 5126.285 "/>
    <s v=" 64.8059 "/>
    <x v="0"/>
    <n v="332214"/>
    <m/>
    <m/>
  </r>
  <r>
    <x v="4"/>
    <x v="0"/>
    <s v="F:\Données chgh\2020-CHG-CZA-Saccharin-1\plaque 1/@04 EE2 76/A4_02.tif "/>
    <s v=" 8911.5166 "/>
    <s v=" 68.2743 "/>
    <x v="0"/>
    <n v="608427"/>
    <m/>
    <m/>
  </r>
  <r>
    <x v="4"/>
    <x v="0"/>
    <s v="F:\Données chgh\2020-CHG-CZA-Saccharin-1\plaque 1/@04 EE2 76/A4_03- exclu.tif"/>
    <m/>
    <m/>
    <x v="1"/>
    <m/>
    <m/>
    <m/>
  </r>
  <r>
    <x v="4"/>
    <x v="1"/>
    <s v="F:\Données chgh\2020-CHG-CZA-Saccharin-1\plaque 1/@04 EE2 76/B4_01.tif "/>
    <s v=" 20851.2184 "/>
    <s v=" 66.0052 "/>
    <x v="0"/>
    <n v="1376289"/>
    <m/>
    <m/>
  </r>
  <r>
    <x v="4"/>
    <x v="1"/>
    <s v="F:\Données chgh\2020-CHG-CZA-Saccharin-1\plaque 1/@04 EE2 76/B4_02.tif "/>
    <s v=" 21456.8555 "/>
    <s v=" 66.4355 "/>
    <x v="0"/>
    <n v="1425497"/>
    <m/>
    <m/>
  </r>
  <r>
    <x v="4"/>
    <x v="1"/>
    <s v="F:\Données chgh\2020-CHG-CZA-Saccharin-1\plaque 1/@04 EE2 76/B4_03.tif "/>
    <s v=" 19769.7237 "/>
    <s v=" 66.3282 "/>
    <x v="0"/>
    <n v="1311291"/>
    <m/>
    <m/>
  </r>
  <r>
    <x v="4"/>
    <x v="2"/>
    <s v="F:\Données chgh\2020-CHG-CZA-Saccharin-1\plaque 1/@04 EE2 76/C4_01.tif "/>
    <s v=" 1189.6442 "/>
    <s v=" 63.4182 "/>
    <x v="0"/>
    <n v="75445"/>
    <m/>
    <m/>
  </r>
  <r>
    <x v="4"/>
    <x v="2"/>
    <s v="F:\Données chgh\2020-CHG-CZA-Saccharin-1\plaque 1/@04 EE2 76/C4_02.tif "/>
    <s v=" 2271.1389 "/>
    <s v=" 64.6381 "/>
    <x v="0"/>
    <n v="146802"/>
    <m/>
    <m/>
  </r>
  <r>
    <x v="4"/>
    <x v="2"/>
    <s v="F:\Données chgh\2020-CHG-CZA-Saccharin-1\plaque 1/@04 EE2 76/C4_03.tif "/>
    <s v=" 1492.4627 "/>
    <s v=" 63.7971 "/>
    <x v="0"/>
    <n v="95215"/>
    <m/>
    <m/>
  </r>
  <r>
    <x v="4"/>
    <x v="3"/>
    <s v="F:\Données chgh\2020-CHG-CZA-Saccharin-1\plaque 1/@04 EE2 76/D4_01.tif "/>
    <s v=" 6986.456 "/>
    <s v=" 67.6563 "/>
    <x v="0"/>
    <n v="472678"/>
    <m/>
    <m/>
  </r>
  <r>
    <x v="4"/>
    <x v="3"/>
    <s v="F:\Données chgh\2020-CHG-CZA-Saccharin-1\plaque 1/@04 EE2 76/D4_02.tif "/>
    <s v=" 6099.6303 "/>
    <s v=" 72.3191 "/>
    <x v="0"/>
    <n v="441120"/>
    <m/>
    <m/>
  </r>
  <r>
    <x v="4"/>
    <x v="3"/>
    <s v="F:\Données chgh\2020-CHG-CZA-Saccharin-1\plaque 1/@04 EE2 76/D4_03.tif "/>
    <s v=" 6856.6766 "/>
    <s v=" 73.0631 "/>
    <x v="0"/>
    <n v="500970"/>
    <m/>
    <m/>
  </r>
  <r>
    <x v="4"/>
    <x v="4"/>
    <s v="F:\Données chgh\2020-CHG-CZA-Saccharin-1\plaque 1/@04 EE2 76/E4_01.tif "/>
    <s v=" 4520.648 "/>
    <s v=" 63.8182 "/>
    <x v="0"/>
    <n v="288500"/>
    <m/>
    <m/>
  </r>
  <r>
    <x v="4"/>
    <x v="4"/>
    <s v="F:\Données chgh\2020-CHG-CZA-Saccharin-1\plaque 1/@04 EE2 76/E4_02.tif "/>
    <s v=" 5147.9149 "/>
    <s v=" 67.2227 "/>
    <x v="0"/>
    <n v="346057"/>
    <m/>
    <m/>
  </r>
  <r>
    <x v="4"/>
    <x v="4"/>
    <s v="F:\Données chgh\2020-CHG-CZA-Saccharin-1\plaque 1/@04 EE2 76/E4_03.tif "/>
    <s v=" 2790.2564 "/>
    <s v=" 64.3178 "/>
    <x v="0"/>
    <n v="179463"/>
    <m/>
    <m/>
  </r>
  <r>
    <x v="4"/>
    <x v="5"/>
    <s v="F:\Données chgh\2020-CHG-CZA-Saccharin-1\plaque 1/@04 EE2 76/F4_01.tif "/>
    <s v=" 3655.4522 "/>
    <s v=" 63.2604 "/>
    <x v="0"/>
    <n v="231245"/>
    <m/>
    <m/>
  </r>
  <r>
    <x v="4"/>
    <x v="5"/>
    <s v="F:\Données chgh\2020-CHG-CZA-Saccharin-1\plaque 1/@04 EE2 76/F4_02.tif "/>
    <s v=" 7094.6054 "/>
    <s v=" 67.2835 "/>
    <x v="0"/>
    <n v="477350"/>
    <m/>
    <m/>
  </r>
  <r>
    <x v="4"/>
    <x v="5"/>
    <s v="F:\Données chgh\2020-CHG-CZA-Saccharin-1\plaque 1/@04 EE2 76/F4_03.tif "/>
    <s v=" 4520.648 "/>
    <s v=" 63.9234 "/>
    <x v="0"/>
    <n v="288975"/>
    <m/>
    <m/>
  </r>
  <r>
    <x v="4"/>
    <x v="6"/>
    <s v="F:\Données chgh\2020-CHG-CZA-Saccharin-1\plaque 1/@04 EE2 76/G4_01.tif "/>
    <s v=" 5537.253 "/>
    <s v=" 64.3008 "/>
    <x v="0"/>
    <n v="356050"/>
    <m/>
    <m/>
  </r>
  <r>
    <x v="4"/>
    <x v="6"/>
    <s v="F:\Données chgh\2020-CHG-CZA-Saccharin-1\plaque 1/@04 EE2 76/G4_02.tif "/>
    <s v=" 4909.9861 "/>
    <s v=" 64.6696 "/>
    <x v="0"/>
    <n v="317527"/>
    <m/>
    <m/>
  </r>
  <r>
    <x v="4"/>
    <x v="6"/>
    <s v="F:\Données chgh\2020-CHG-CZA-Saccharin-1\plaque 1/@04 EE2 76/G4_03.tif "/>
    <s v=" 2941.6657 "/>
    <s v=" 64.8897 "/>
    <x v="0"/>
    <n v="190884"/>
    <m/>
    <m/>
  </r>
  <r>
    <x v="4"/>
    <x v="7"/>
    <s v="F:\Données chgh\2020-CHG-CZA-Saccharin-1\plaque 1/@04 EE2 76/H4_01.tif "/>
    <s v=" 8132.8404 "/>
    <s v=" 73.2314 "/>
    <x v="0"/>
    <n v="595579"/>
    <m/>
    <m/>
  </r>
  <r>
    <x v="4"/>
    <x v="7"/>
    <s v="F:\Données chgh\2020-CHG-CZA-Saccharin-1\plaque 1/@04 EE2 76/H4_02.tif "/>
    <s v=" 6597.1179 "/>
    <s v=" 68.141 "/>
    <x v="0"/>
    <n v="449534"/>
    <m/>
    <m/>
  </r>
  <r>
    <x v="4"/>
    <x v="7"/>
    <s v="F:\Données chgh\2020-CHG-CZA-Saccharin-1\plaque 1/@04 EE2 76/H4_03.tif "/>
    <s v=" 8738.4774 "/>
    <s v=" 72.4604 "/>
    <x v="0"/>
    <n v="633194"/>
    <m/>
    <m/>
  </r>
  <r>
    <x v="1"/>
    <x v="8"/>
    <s v=" "/>
    <m/>
    <m/>
    <x v="1"/>
    <m/>
    <m/>
    <m/>
  </r>
  <r>
    <x v="1"/>
    <x v="8"/>
    <s v="group "/>
    <s v=" "/>
    <s v=" mean of mean fluo "/>
    <x v="2"/>
    <s v=" mean of total fluo "/>
    <s v=" SD total fluo "/>
    <s v=" n fluorescent "/>
  </r>
  <r>
    <x v="4"/>
    <x v="9"/>
    <s v="F:\Données chgh\2020-CHG-CZA-Saccharin-1\plaque 1/@04 EE2 76/ "/>
    <s v=" "/>
    <s v=" 67.3508 "/>
    <x v="6"/>
    <s v=" 511273.125 "/>
    <s v=" 398758.69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Saccharin-1\plaque 1/@05 EE2 114/A5_01.tif "/>
    <s v=" 11485.474 "/>
    <s v=" 65.467 "/>
    <x v="0"/>
    <n v="751920"/>
    <m/>
    <m/>
  </r>
  <r>
    <x v="5"/>
    <x v="0"/>
    <s v="F:\Données chgh\2020-CHG-CZA-Saccharin-1\plaque 1/@05 EE2 114/A5_02.tif "/>
    <s v=" 2920.0358 "/>
    <s v=" 62.8815 "/>
    <x v="0"/>
    <n v="183616"/>
    <m/>
    <m/>
  </r>
  <r>
    <x v="5"/>
    <x v="0"/>
    <s v="F:\Données chgh\2020-CHG-CZA-Saccharin-1\plaque 1/@05 EE2 114/A5_03.tif "/>
    <s v=" 3201.2244 "/>
    <s v=" 63.4595 "/>
    <x v="0"/>
    <n v="203148"/>
    <m/>
    <m/>
  </r>
  <r>
    <x v="5"/>
    <x v="1"/>
    <s v="F:\Données chgh\2020-CHG-CZA-Saccharin-1\plaque 1/@05 EE2 114/B5_01.tif "/>
    <s v=" 4131.3099 "/>
    <s v=" 64.8691 "/>
    <x v="0"/>
    <n v="267994"/>
    <m/>
    <m/>
  </r>
  <r>
    <x v="5"/>
    <x v="1"/>
    <s v="F:\Données chgh\2020-CHG-CZA-Saccharin-1\plaque 1/@05 EE2 114/B5_02.tif "/>
    <s v=" 7159.4951 "/>
    <s v=" 64.3233 "/>
    <x v="0"/>
    <n v="460522"/>
    <m/>
    <m/>
  </r>
  <r>
    <x v="5"/>
    <x v="1"/>
    <s v="F:\Données chgh\2020-CHG-CZA-Saccharin-1\plaque 1/@05 EE2 114/B5_03.tif "/>
    <s v=" 5450.7334 "/>
    <s v=" 64.7738 "/>
    <x v="0"/>
    <n v="353065"/>
    <m/>
    <m/>
  </r>
  <r>
    <x v="5"/>
    <x v="2"/>
    <s v="F:\Données chgh\2020-CHG-CZA-Saccharin-1\plaque 1/@05 EE2 114/C5_01.tif "/>
    <s v=" 1276.1638 "/>
    <s v=" 64.339 "/>
    <x v="0"/>
    <n v="82107"/>
    <m/>
    <m/>
  </r>
  <r>
    <x v="5"/>
    <x v="2"/>
    <s v="F:\Données chgh\2020-CHG-CZA-Saccharin-1\plaque 1/@05 EE2 114/C5_02.tif "/>
    <s v=" 1752.0215 "/>
    <s v=" 63.8025 "/>
    <x v="0"/>
    <n v="111783"/>
    <m/>
    <m/>
  </r>
  <r>
    <x v="5"/>
    <x v="2"/>
    <s v="F:\Données chgh\2020-CHG-CZA-Saccharin-1\plaque 1/@05 EE2 114/C5_03.tif "/>
    <s v=" 1341.0535 "/>
    <s v=" 63.0806 "/>
    <x v="0"/>
    <n v="84595"/>
    <m/>
    <m/>
  </r>
  <r>
    <x v="5"/>
    <x v="3"/>
    <s v="F:\Données chgh\2020-CHG-CZA-Saccharin-1\plaque 1/@05 EE2 114/D5_01.tif "/>
    <s v=" 5515.6231 "/>
    <s v=" 65.1569 "/>
    <x v="0"/>
    <n v="359381"/>
    <m/>
    <m/>
  </r>
  <r>
    <x v="5"/>
    <x v="3"/>
    <s v="F:\Données chgh\2020-CHG-CZA-Saccharin-1\plaque 1/@05 EE2 114/D5_02.tif "/>
    <s v=" 7375.7941 "/>
    <s v=" 64.261 "/>
    <x v="0"/>
    <n v="473976"/>
    <m/>
    <m/>
  </r>
  <r>
    <x v="5"/>
    <x v="3"/>
    <s v="F:\Données chgh\2020-CHG-CZA-Saccharin-1\plaque 1/@05 EE2 114/D5_03.tif "/>
    <s v=" 8478.9187 "/>
    <s v=" 65.2653 "/>
    <x v="0"/>
    <n v="553379"/>
    <m/>
    <m/>
  </r>
  <r>
    <x v="5"/>
    <x v="4"/>
    <s v="F:\Données chgh\2020-CHG-CZA-Saccharin-1\plaque 1/@05 EE2 114/E5_01.tif "/>
    <s v=" 17282.2858 "/>
    <s v=" 64.577 "/>
    <x v="0"/>
    <n v="1116038"/>
    <m/>
    <m/>
  </r>
  <r>
    <x v="5"/>
    <x v="4"/>
    <s v="F:\Données chgh\2020-CHG-CZA-Saccharin-1\plaque 1/@05 EE2 114/E5_02.tif "/>
    <s v=" 21543.3751 "/>
    <s v=" 70.8755 "/>
    <x v="0"/>
    <n v="1526898"/>
    <m/>
    <m/>
  </r>
  <r>
    <x v="5"/>
    <x v="4"/>
    <s v="F:\Données chgh\2020-CHG-CZA-Saccharin-1\plaque 1/@05 EE2 114/E5_03.tif "/>
    <s v=" 6467.3385 "/>
    <s v=" 63.8829 "/>
    <x v="0"/>
    <n v="413153"/>
    <m/>
    <m/>
  </r>
  <r>
    <x v="5"/>
    <x v="5"/>
    <s v="F:\Données chgh\2020-CHG-CZA-Saccharin-1\plaque 1/@05 EE2 114/F5_01- exclu.tif"/>
    <m/>
    <m/>
    <x v="1"/>
    <m/>
    <m/>
    <m/>
  </r>
  <r>
    <x v="5"/>
    <x v="5"/>
    <s v="F:\Données chgh\2020-CHG-CZA-Saccharin-1\plaque 1/@05 EE2 114/F5_02.tif "/>
    <s v=" 1600.6122 "/>
    <s v=" 63.7432 "/>
    <x v="0"/>
    <n v="102028"/>
    <m/>
    <m/>
  </r>
  <r>
    <x v="5"/>
    <x v="5"/>
    <s v="F:\Données chgh\2020-CHG-CZA-Saccharin-1\plaque 1/@05 EE2 114/F5_03.tif "/>
    <s v=" 2184.6194 "/>
    <s v=" 66.0198 "/>
    <x v="0"/>
    <n v="144228"/>
    <m/>
    <m/>
  </r>
  <r>
    <x v="5"/>
    <x v="6"/>
    <s v="F:\Données chgh\2020-CHG-CZA-Saccharin-1\plaque 1/@05 EE2 114/G5_01.tif "/>
    <s v=" 50484.1741 "/>
    <s v=" 89.3209 "/>
    <x v="0"/>
    <n v="4509292"/>
    <m/>
    <m/>
  </r>
  <r>
    <x v="5"/>
    <x v="6"/>
    <s v="F:\Données chgh\2020-CHG-CZA-Saccharin-1\plaque 1/@05 EE2 114/G5_02- exclu.tif"/>
    <m/>
    <m/>
    <x v="1"/>
    <m/>
    <m/>
    <m/>
  </r>
  <r>
    <x v="5"/>
    <x v="6"/>
    <s v="F:\Données chgh\2020-CHG-CZA-Saccharin-1\plaque 1/@05 EE2 114/G5_03.tif "/>
    <s v=" 57968.1176 "/>
    <s v=" 82.5019 "/>
    <x v="0"/>
    <n v="4782478"/>
    <m/>
    <m/>
  </r>
  <r>
    <x v="5"/>
    <x v="7"/>
    <s v="F:\Données chgh\2020-CHG-CZA-Saccharin-1\plaque 1/@05 EE2 114/H5_01.tif "/>
    <s v=" 25112.3077 "/>
    <s v=" 68.2283 "/>
    <x v="0"/>
    <n v="1713369"/>
    <m/>
    <m/>
  </r>
  <r>
    <x v="5"/>
    <x v="7"/>
    <s v="F:\Données chgh\2020-CHG-CZA-Saccharin-1\plaque 1/@05 EE2 114/H5_02.tif "/>
    <s v=" 27296.927 "/>
    <s v=" 67.5436 "/>
    <x v="0"/>
    <n v="1843732"/>
    <m/>
    <m/>
  </r>
  <r>
    <x v="5"/>
    <x v="7"/>
    <s v="F:\Données chgh\2020-CHG-CZA-Saccharin-1\plaque 1/@05 EE2 114/H5_03.tif "/>
    <s v=" 28486.5712 "/>
    <s v=" 67.3979 "/>
    <x v="0"/>
    <n v="1919934"/>
    <m/>
    <m/>
  </r>
  <r>
    <x v="1"/>
    <x v="8"/>
    <s v=" "/>
    <m/>
    <m/>
    <x v="1"/>
    <m/>
    <m/>
    <m/>
  </r>
  <r>
    <x v="1"/>
    <x v="8"/>
    <s v="group "/>
    <s v=" "/>
    <s v=" mean of mean fluo "/>
    <x v="2"/>
    <s v=" mean of total fluo "/>
    <s v=" SD total fluo "/>
    <s v=" n fluorescent "/>
  </r>
  <r>
    <x v="5"/>
    <x v="9"/>
    <s v="F:\Données chgh\2020-CHG-CZA-Saccharin-1\plaque 1/@05 EE2 114/ "/>
    <s v=" "/>
    <s v=" 67.4227 "/>
    <x v="7"/>
    <s v=" 1050662.25 "/>
    <s v=" 1364284.0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Saccharin-1\plaque 1/@06 EE2 171/A6_01.tif "/>
    <s v=" 40577.6823 "/>
    <s v=" 74.2793 "/>
    <x v="0"/>
    <n v="3014083"/>
    <m/>
    <m/>
  </r>
  <r>
    <x v="6"/>
    <x v="0"/>
    <s v="F:\Données chgh\2020-CHG-CZA-Saccharin-1\plaque 1/@06 EE2 171/A6_02.tif "/>
    <s v=" 38263.2836 "/>
    <s v=" 73.8836 "/>
    <x v="0"/>
    <n v="2827027"/>
    <m/>
    <m/>
  </r>
  <r>
    <x v="6"/>
    <x v="0"/>
    <s v="F:\Données chgh\2020-CHG-CZA-Saccharin-1\plaque 1/@06 EE2 171/A6_03.tif "/>
    <s v=" 36186.8137 "/>
    <s v=" 73.2403 "/>
    <x v="0"/>
    <n v="2650333"/>
    <m/>
    <m/>
  </r>
  <r>
    <x v="6"/>
    <x v="1"/>
    <s v="F:\Données chgh\2020-CHG-CZA-Saccharin-1\plaque 1/@06 EE2 171/B6_01.tif "/>
    <s v=" 39214.999 "/>
    <s v=" 75.1859 "/>
    <x v="0"/>
    <n v="2948414"/>
    <m/>
    <m/>
  </r>
  <r>
    <x v="6"/>
    <x v="1"/>
    <s v="F:\Données chgh\2020-CHG-CZA-Saccharin-1\plaque 1/@06 EE2 171/B6_02.tif "/>
    <s v=" 39085.2196 "/>
    <s v=" 79.8035 "/>
    <x v="0"/>
    <n v="3119139"/>
    <m/>
    <m/>
  </r>
  <r>
    <x v="6"/>
    <x v="1"/>
    <s v="F:\Données chgh\2020-CHG-CZA-Saccharin-1\plaque 1/@06 EE2 171/B6_03.tif "/>
    <s v=" 38457.9527 "/>
    <s v=" 75.0191 "/>
    <x v="0"/>
    <n v="2885082"/>
    <m/>
    <m/>
  </r>
  <r>
    <x v="6"/>
    <x v="2"/>
    <s v="F:\Données chgh\2020-CHG-CZA-Saccharin-1\plaque 1/@06 EE2 171/C6_01.tif "/>
    <s v=" 48148.1454 "/>
    <s v=" 73.0395 "/>
    <x v="0"/>
    <n v="3516718"/>
    <m/>
    <m/>
  </r>
  <r>
    <x v="6"/>
    <x v="2"/>
    <s v="F:\Données chgh\2020-CHG-CZA-Saccharin-1\plaque 1/@06 EE2 171/C6_02.tif "/>
    <s v=" 28811.0196 "/>
    <s v=" 69.6419 "/>
    <x v="0"/>
    <n v="2006454"/>
    <m/>
    <m/>
  </r>
  <r>
    <x v="6"/>
    <x v="2"/>
    <s v="F:\Données chgh\2020-CHG-CZA-Saccharin-1\plaque 1/@06 EE2 171/C6_03.tif "/>
    <s v=" 32834.18 "/>
    <s v=" 70.1877 "/>
    <x v="0"/>
    <n v="2304557"/>
    <m/>
    <m/>
  </r>
  <r>
    <x v="6"/>
    <x v="3"/>
    <s v="F:\Données chgh\2020-CHG-CZA-Saccharin-1\plaque 1/@06 EE2 171/D6_01.tif "/>
    <s v=" 35927.255 "/>
    <s v=" 77.0939 "/>
    <x v="0"/>
    <n v="2769773"/>
    <m/>
    <m/>
  </r>
  <r>
    <x v="6"/>
    <x v="3"/>
    <s v="F:\Données chgh\2020-CHG-CZA-Saccharin-1\plaque 1/@06 EE2 171/D6_02.tif "/>
    <s v=" 39755.7463 "/>
    <s v=" 73.9924 "/>
    <x v="0"/>
    <n v="2941622"/>
    <m/>
    <m/>
  </r>
  <r>
    <x v="6"/>
    <x v="3"/>
    <s v="F:\Données chgh\2020-CHG-CZA-Saccharin-1\plaque 1/@06 EE2 171/D6_03.tif "/>
    <s v=" 40750.7215 "/>
    <s v=" 76.9618 "/>
    <x v="0"/>
    <n v="3136248"/>
    <m/>
    <m/>
  </r>
  <r>
    <x v="6"/>
    <x v="4"/>
    <s v="F:\Données chgh\2020-CHG-CZA-Saccharin-1\plaque 1/@06 EE2 171/E6_01.tif "/>
    <s v=" 31298.4575 "/>
    <s v=" 69.8196 "/>
    <x v="0"/>
    <n v="2185247"/>
    <m/>
    <m/>
  </r>
  <r>
    <x v="6"/>
    <x v="4"/>
    <s v="F:\Données chgh\2020-CHG-CZA-Saccharin-1\plaque 1/@06 EE2 171/E6_02.tif "/>
    <s v=" 47131.5404 "/>
    <s v=" 79.7972 "/>
    <x v="0"/>
    <n v="3760963"/>
    <m/>
    <m/>
  </r>
  <r>
    <x v="6"/>
    <x v="4"/>
    <s v="F:\Données chgh\2020-CHG-CZA-Saccharin-1\plaque 1/@06 EE2 171/E6_03.tif "/>
    <s v=" 50311.1349 "/>
    <s v=" 78.2163 "/>
    <x v="0"/>
    <n v="3935148"/>
    <m/>
    <m/>
  </r>
  <r>
    <x v="6"/>
    <x v="5"/>
    <s v="F:\Données chgh\2020-CHG-CZA-Saccharin-1\plaque 1/@06 EE2 171/F6_01.tif "/>
    <s v=" 17758.1435 "/>
    <s v=" 71.0536 "/>
    <x v="0"/>
    <n v="1261780"/>
    <m/>
    <m/>
  </r>
  <r>
    <x v="6"/>
    <x v="5"/>
    <s v="F:\Données chgh\2020-CHG-CZA-Saccharin-1\plaque 1/@06 EE2 171/F6_02.tif "/>
    <s v=" 18515.1898 "/>
    <s v=" 73.7103 "/>
    <x v="0"/>
    <n v="1364760"/>
    <m/>
    <m/>
  </r>
  <r>
    <x v="6"/>
    <x v="5"/>
    <s v="F:\Données chgh\2020-CHG-CZA-Saccharin-1\plaque 1/@06 EE2 171/F6_03.tif "/>
    <s v=" 19077.5671 "/>
    <s v=" 72.8265 "/>
    <x v="0"/>
    <n v="1389353"/>
    <m/>
    <m/>
  </r>
  <r>
    <x v="6"/>
    <x v="6"/>
    <s v="F:\Données chgh\2020-CHG-CZA-Saccharin-1\plaque 1/@06 EE2 171/G6_01.tif "/>
    <s v=" 30800.97 "/>
    <s v=" 70.1426 "/>
    <x v="0"/>
    <n v="2160459"/>
    <m/>
    <m/>
  </r>
  <r>
    <x v="6"/>
    <x v="6"/>
    <s v="F:\Données chgh\2020-CHG-CZA-Saccharin-1\plaque 1/@06 EE2 171/G6_02.tif "/>
    <s v=" 35537.9169 "/>
    <s v=" 71.0596 "/>
    <x v="0"/>
    <n v="2525312"/>
    <m/>
    <m/>
  </r>
  <r>
    <x v="6"/>
    <x v="6"/>
    <s v="F:\Données chgh\2020-CHG-CZA-Saccharin-1\plaque 1/@06 EE2 171/G6_03.tif "/>
    <s v=" 22992.578 "/>
    <s v=" 65.8777 "/>
    <x v="0"/>
    <n v="1514698"/>
    <m/>
    <m/>
  </r>
  <r>
    <x v="6"/>
    <x v="7"/>
    <s v="F:\Données chgh\2020-CHG-CZA-Saccharin-1\plaque 1/@06 EE2 171/H6_01.tif "/>
    <s v=" 5083.0252 "/>
    <s v=" 63.7574 "/>
    <x v="0"/>
    <n v="324081"/>
    <m/>
    <m/>
  </r>
  <r>
    <x v="6"/>
    <x v="7"/>
    <s v="F:\Données chgh\2020-CHG-CZA-Saccharin-1\plaque 1/@06 EE2 171/H6_02.tif "/>
    <s v=" 11009.6164 "/>
    <s v=" 67.778 "/>
    <x v="0"/>
    <n v="746210"/>
    <m/>
    <m/>
  </r>
  <r>
    <x v="6"/>
    <x v="7"/>
    <s v="F:\Données chgh\2020-CHG-CZA-Saccharin-1\plaque 1/@06 EE2 171/H6_03.tif "/>
    <s v=" 11225.9153 "/>
    <s v=" 70.6243 "/>
    <x v="0"/>
    <n v="792822"/>
    <m/>
    <m/>
  </r>
  <r>
    <x v="1"/>
    <x v="8"/>
    <s v=" "/>
    <m/>
    <m/>
    <x v="1"/>
    <m/>
    <m/>
    <m/>
  </r>
  <r>
    <x v="1"/>
    <x v="8"/>
    <s v="group "/>
    <s v=" "/>
    <s v=" mean of mean fluo "/>
    <x v="2"/>
    <s v=" mean of total fluo "/>
    <s v=" SD total fluo "/>
    <s v=" n fluorescent "/>
  </r>
  <r>
    <x v="6"/>
    <x v="9"/>
    <s v="F:\Données chgh\2020-CHG-CZA-Saccharin-1\plaque 1/@06 EE2 171/ "/>
    <s v=" "/>
    <s v=" 72.7913 "/>
    <x v="8"/>
    <s v=" 2336678.46 "/>
    <s v=" 980024.86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Saccharin-1\plaque 1/@07 EE2 488/A7_01.tif "/>
    <s v=" 64435.4561 "/>
    <s v=" 82.8295 "/>
    <x v="0"/>
    <n v="5337155"/>
    <m/>
    <m/>
  </r>
  <r>
    <x v="7"/>
    <x v="0"/>
    <s v="F:\Données chgh\2020-CHG-CZA-Saccharin-1\plaque 1/@07 EE2 488/A7_02.tif "/>
    <s v=" 44168.2448 "/>
    <s v=" 87.1601 "/>
    <x v="0"/>
    <n v="3849710"/>
    <m/>
    <m/>
  </r>
  <r>
    <x v="7"/>
    <x v="0"/>
    <s v="F:\Données chgh\2020-CHG-CZA-Saccharin-1\plaque 1/@07 EE2 488/A7_03.tif "/>
    <s v=" 53382.5799 "/>
    <s v=" 86.9992 "/>
    <x v="0"/>
    <n v="4644241"/>
    <m/>
    <m/>
  </r>
  <r>
    <x v="7"/>
    <x v="1"/>
    <s v="F:\Données chgh\2020-CHG-CZA-Saccharin-1\plaque 1/@07 EE2 488/B7_01.tif "/>
    <s v=" 31103.7885 "/>
    <s v=" 106.0737 "/>
    <x v="0"/>
    <n v="3299294"/>
    <m/>
    <m/>
  </r>
  <r>
    <x v="7"/>
    <x v="1"/>
    <s v="F:\Données chgh\2020-CHG-CZA-Saccharin-1\plaque 1/@07 EE2 488/B7_02.tif "/>
    <s v=" 24722.9696 "/>
    <s v=" 101.9624 "/>
    <x v="0"/>
    <n v="2520813"/>
    <m/>
    <m/>
  </r>
  <r>
    <x v="7"/>
    <x v="1"/>
    <s v="F:\Données chgh\2020-CHG-CZA-Saccharin-1\plaque 1/@07 EE2 488/B7_03.tif "/>
    <s v=" 33007.2192 "/>
    <s v=" 98.9279 "/>
    <x v="0"/>
    <n v="3265335"/>
    <m/>
    <m/>
  </r>
  <r>
    <x v="7"/>
    <x v="2"/>
    <s v="F:\Données chgh\2020-CHG-CZA-Saccharin-1\plaque 1/@07 EE2 488/C7_01.tif "/>
    <s v=" 75877.6704 "/>
    <s v=" 83.2298 "/>
    <x v="0"/>
    <n v="6315280"/>
    <m/>
    <m/>
  </r>
  <r>
    <x v="7"/>
    <x v="2"/>
    <s v="F:\Données chgh\2020-CHG-CZA-Saccharin-1\plaque 1/@07 EE2 488/C7_02.tif "/>
    <s v=" 69518.4813 "/>
    <s v=" 82.3068 "/>
    <x v="0"/>
    <n v="5721843"/>
    <m/>
    <m/>
  </r>
  <r>
    <x v="7"/>
    <x v="2"/>
    <s v="F:\Données chgh\2020-CHG-CZA-Saccharin-1\plaque 1/@07 EE2 488/C7_03.tif "/>
    <s v=" 74709.656 "/>
    <s v=" 81.8833 "/>
    <x v="0"/>
    <n v="6117475"/>
    <m/>
    <m/>
  </r>
  <r>
    <x v="7"/>
    <x v="3"/>
    <s v="F:\Données chgh\2020-CHG-CZA-Saccharin-1\plaque 1/@07 EE2 488/D7_01.tif "/>
    <s v=" 49013.3412 "/>
    <s v=" 92.763 "/>
    <x v="0"/>
    <n v="4546625"/>
    <m/>
    <m/>
  </r>
  <r>
    <x v="7"/>
    <x v="3"/>
    <s v="F:\Données chgh\2020-CHG-CZA-Saccharin-1\plaque 1/@07 EE2 488/D7_02.tif "/>
    <s v=" 44103.3551 "/>
    <s v=" 96.8882 "/>
    <x v="0"/>
    <n v="4273094"/>
    <m/>
    <m/>
  </r>
  <r>
    <x v="7"/>
    <x v="3"/>
    <s v="F:\Données chgh\2020-CHG-CZA-Saccharin-1\plaque 1/@07 EE2 488/D7_03.tif "/>
    <s v=" 43865.4263 "/>
    <s v=" 93.8713 "/>
    <x v="0"/>
    <n v="4117705"/>
    <m/>
    <m/>
  </r>
  <r>
    <x v="7"/>
    <x v="4"/>
    <s v="F:\Données chgh\2020-CHG-CZA-Saccharin-1\plaque 1/@07 EE2 488/E7_01.tif "/>
    <s v=" 74385.2076 "/>
    <s v=" 90.1704 "/>
    <x v="0"/>
    <n v="6707344"/>
    <m/>
    <m/>
  </r>
  <r>
    <x v="7"/>
    <x v="4"/>
    <s v="F:\Données chgh\2020-CHG-CZA-Saccharin-1\plaque 1/@07 EE2 488/E7_02.tif "/>
    <s v=" 68415.3567 "/>
    <s v=" 99.6519 "/>
    <x v="0"/>
    <n v="6817721"/>
    <m/>
    <m/>
  </r>
  <r>
    <x v="7"/>
    <x v="4"/>
    <s v="F:\Données chgh\2020-CHG-CZA-Saccharin-1\plaque 1/@07 EE2 488/E7_03.tif "/>
    <s v=" 64024.4881 "/>
    <s v=" 99.6436 "/>
    <x v="0"/>
    <n v="6379629"/>
    <m/>
    <m/>
  </r>
  <r>
    <x v="7"/>
    <x v="5"/>
    <s v="F:\Données chgh\2020-CHG-CZA-Saccharin-1\plaque 1/@07 EE2 488/F7_01.tif "/>
    <s v=" 33526.3367 "/>
    <s v=" 82.9781 "/>
    <x v="0"/>
    <n v="2781951"/>
    <m/>
    <m/>
  </r>
  <r>
    <x v="7"/>
    <x v="5"/>
    <s v="F:\Données chgh\2020-CHG-CZA-Saccharin-1\plaque 1/@07 EE2 488/F7_02.tif "/>
    <s v=" 36727.5611 "/>
    <s v=" 76.8333 "/>
    <x v="0"/>
    <n v="2821901"/>
    <m/>
    <m/>
  </r>
  <r>
    <x v="7"/>
    <x v="5"/>
    <s v="F:\Données chgh\2020-CHG-CZA-Saccharin-1\plaque 1/@07 EE2 488/F7_03.tif "/>
    <s v=" 32899.0697 "/>
    <s v=" 91.092 "/>
    <x v="0"/>
    <n v="2996844"/>
    <m/>
    <m/>
  </r>
  <r>
    <x v="7"/>
    <x v="6"/>
    <s v="F:\Données chgh\2020-CHG-CZA-Saccharin-1\plaque 1/@07 EE2 488/G7_01.tif "/>
    <s v=" 56864.993 "/>
    <s v=" 91.3465 "/>
    <x v="0"/>
    <n v="5194419"/>
    <m/>
    <m/>
  </r>
  <r>
    <x v="7"/>
    <x v="6"/>
    <s v="F:\Données chgh\2020-CHG-CZA-Saccharin-1\plaque 1/@07 EE2 488/G7_02.tif "/>
    <s v=" 50029.9463 "/>
    <s v=" 97.2062 "/>
    <x v="0"/>
    <n v="4863222"/>
    <m/>
    <m/>
  </r>
  <r>
    <x v="7"/>
    <x v="6"/>
    <s v="F:\Données chgh\2020-CHG-CZA-Saccharin-1\plaque 1/@07 EE2 488/G7_03.tif "/>
    <s v=" 45033.4406 "/>
    <s v=" 101.6297 "/>
    <x v="0"/>
    <n v="4576734"/>
    <m/>
    <m/>
  </r>
  <r>
    <x v="7"/>
    <x v="7"/>
    <s v="F:\Données chgh\2020-CHG-CZA-Saccharin-1\plaque 1/@07 EE2 488/H7_01.tif "/>
    <s v=" 39150.1093 "/>
    <s v=" 98.3337 "/>
    <x v="0"/>
    <n v="3849775"/>
    <m/>
    <m/>
  </r>
  <r>
    <x v="7"/>
    <x v="7"/>
    <s v="F:\Données chgh\2020-CHG-CZA-Saccharin-1\plaque 1/@07 EE2 488/H7_02.tif "/>
    <s v=" 40750.7215 "/>
    <s v=" 97.1736 "/>
    <x v="0"/>
    <n v="3959893"/>
    <m/>
    <m/>
  </r>
  <r>
    <x v="7"/>
    <x v="7"/>
    <s v="F:\Données chgh\2020-CHG-CZA-Saccharin-1\plaque 1/@07 EE2 488/H7_03.tif "/>
    <s v=" 43173.2697 "/>
    <s v=" 90.981 "/>
    <x v="0"/>
    <n v="3927946"/>
    <m/>
    <m/>
  </r>
  <r>
    <x v="1"/>
    <x v="8"/>
    <s v=" "/>
    <m/>
    <m/>
    <x v="1"/>
    <m/>
    <m/>
    <m/>
  </r>
  <r>
    <x v="1"/>
    <x v="8"/>
    <s v="group "/>
    <s v=" "/>
    <s v=" mean of mean fluo "/>
    <x v="2"/>
    <s v=" mean of total fluo "/>
    <s v=" SD total fluo "/>
    <s v=" n fluorescent "/>
  </r>
  <r>
    <x v="7"/>
    <x v="9"/>
    <s v="F:\Données chgh\2020-CHG-CZA-Saccharin-1\plaque 1/@07 EE2 488/ "/>
    <s v=" "/>
    <s v=" 92.164 "/>
    <x v="9"/>
    <s v=" 4536914.54 "/>
    <s v=" 1303264.0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Saccharin-1\plaque 1/@08 Saccharin 0,01/A8_01.tif "/>
    <s v=" 432.5979 "/>
    <s v=" 62.85 "/>
    <x v="0"/>
    <n v="27189"/>
    <m/>
    <m/>
  </r>
  <r>
    <x v="8"/>
    <x v="0"/>
    <s v="F:\Données chgh\2020-CHG-CZA-Saccharin-1\plaque 1/@08 Saccharin 0,01/A8_02.tif "/>
    <s v=" 367.7082 "/>
    <s v=" 65.2353 "/>
    <x v="0"/>
    <n v="23988"/>
    <m/>
    <m/>
  </r>
  <r>
    <x v="8"/>
    <x v="0"/>
    <s v="F:\Données chgh\2020-CHG-CZA-Saccharin-1\plaque 1/@08 Saccharin 0,01/A8_03- exclu.tif"/>
    <m/>
    <m/>
    <x v="1"/>
    <m/>
    <m/>
    <m/>
  </r>
  <r>
    <x v="8"/>
    <x v="1"/>
    <s v="F:\Données chgh\2020-CHG-CZA-Saccharin-1\plaque 1/@08 Saccharin 0,01/B8_01- exclu.tif"/>
    <m/>
    <m/>
    <x v="1"/>
    <m/>
    <m/>
    <m/>
  </r>
  <r>
    <x v="8"/>
    <x v="1"/>
    <s v="F:\Données chgh\2020-CHG-CZA-Saccharin-1\plaque 1/@08 Saccharin 0,01/B8_02.tif "/>
    <s v=" 129.7794 "/>
    <s v=" 63.8333 "/>
    <x v="0"/>
    <n v="8284"/>
    <m/>
    <m/>
  </r>
  <r>
    <x v="8"/>
    <x v="1"/>
    <s v="F:\Données chgh\2020-CHG-CZA-Saccharin-1\plaque 1/@08 Saccharin 0,01/B8_03.tif "/>
    <s v=" 194.6691 "/>
    <s v=" 62.4444 "/>
    <x v="0"/>
    <n v="12156"/>
    <m/>
    <m/>
  </r>
  <r>
    <x v="8"/>
    <x v="2"/>
    <s v="F:\Données chgh\2020-CHG-CZA-Saccharin-1\plaque 1/@08 Saccharin 0,01/C8_01.tif "/>
    <s v=" 324.4484 "/>
    <s v=" 63.8 "/>
    <x v="0"/>
    <n v="20700"/>
    <m/>
    <m/>
  </r>
  <r>
    <x v="8"/>
    <x v="2"/>
    <s v="F:\Données chgh\2020-CHG-CZA-Saccharin-1\plaque 1/@08 Saccharin 0,01/C8_02.tif "/>
    <s v=" 432.5979 "/>
    <s v=" 64.85 "/>
    <x v="0"/>
    <n v="28054"/>
    <m/>
    <m/>
  </r>
  <r>
    <x v="8"/>
    <x v="2"/>
    <s v="F:\Données chgh\2020-CHG-CZA-Saccharin-1\plaque 1/@08 Saccharin 0,01/C8_03.tif "/>
    <s v=" 519.1175 "/>
    <s v=" 61.1667 "/>
    <x v="0"/>
    <n v="31753"/>
    <m/>
    <m/>
  </r>
  <r>
    <x v="8"/>
    <x v="3"/>
    <s v="F:\Données chgh\2020-CHG-CZA-Saccharin-1\plaque 1/@08 Saccharin 0,01/D8_01.tif "/>
    <s v=" 2206.2493 "/>
    <s v=" 66.1471 "/>
    <x v="0"/>
    <n v="145937"/>
    <m/>
    <m/>
  </r>
  <r>
    <x v="8"/>
    <x v="3"/>
    <s v="F:\Données chgh\2020-CHG-CZA-Saccharin-1\plaque 1/@08 Saccharin 0,01/D8_02.tif "/>
    <s v=" 930.0855 "/>
    <s v=" 67.5814 "/>
    <x v="0"/>
    <n v="62856"/>
    <m/>
    <m/>
  </r>
  <r>
    <x v="8"/>
    <x v="3"/>
    <s v="F:\Données chgh\2020-CHG-CZA-Saccharin-1\plaque 1/@08 Saccharin 0,01/D8_03.tif "/>
    <s v=" 1384.3133 "/>
    <s v=" 63.0781 "/>
    <x v="0"/>
    <n v="87320"/>
    <m/>
    <m/>
  </r>
  <r>
    <x v="8"/>
    <x v="4"/>
    <s v="F:\Données chgh\2020-CHG-CZA-Saccharin-1\plaque 1/@08 Saccharin 0,01/E8_01.tif "/>
    <s v=" 151.4093 "/>
    <n v="64"/>
    <x v="0"/>
    <n v="9690"/>
    <m/>
    <m/>
  </r>
  <r>
    <x v="8"/>
    <x v="4"/>
    <s v="F:\Données chgh\2020-CHG-CZA-Saccharin-1\plaque 1/@08 Saccharin 0,01/E8_02.tif "/>
    <s v=" 86.5196 "/>
    <s v=" 63.25 "/>
    <x v="0"/>
    <n v="5472"/>
    <m/>
    <m/>
  </r>
  <r>
    <x v="8"/>
    <x v="4"/>
    <s v="F:\Données chgh\2020-CHG-CZA-Saccharin-1\plaque 1/@08 Saccharin 0,01/E8_03.tif "/>
    <s v=" 173.0392 "/>
    <s v=" 62.375 "/>
    <x v="0"/>
    <n v="10793"/>
    <m/>
    <m/>
  </r>
  <r>
    <x v="8"/>
    <x v="5"/>
    <s v="F:\Données chgh\2020-CHG-CZA-Saccharin-1\plaque 1/@08 Saccharin 0,01/F8_01.tif "/>
    <s v=" 562.3773 "/>
    <s v=" 64.1538 "/>
    <x v="0"/>
    <n v="36079"/>
    <m/>
    <m/>
  </r>
  <r>
    <x v="8"/>
    <x v="5"/>
    <s v="F:\Données chgh\2020-CHG-CZA-Saccharin-1\plaque 1/@08 Saccharin 0,01/F8_02.tif "/>
    <s v=" 5450.7334 "/>
    <s v=" 66.7857 "/>
    <x v="0"/>
    <n v="364031"/>
    <m/>
    <m/>
  </r>
  <r>
    <x v="8"/>
    <x v="5"/>
    <s v="F:\Données chgh\2020-CHG-CZA-Saccharin-1\plaque 1/@08 Saccharin 0,01/F8_03.tif "/>
    <s v=" 237.9288 "/>
    <s v=" 64.4545 "/>
    <x v="0"/>
    <n v="15336"/>
    <m/>
    <m/>
  </r>
  <r>
    <x v="8"/>
    <x v="6"/>
    <s v="F:\Données chgh\2020-CHG-CZA-Saccharin-1\plaque 1/@08 Saccharin 0,01/G8_01.tif "/>
    <s v=" 627.2669 "/>
    <s v=" 62.5517 "/>
    <x v="0"/>
    <n v="39237"/>
    <m/>
    <m/>
  </r>
  <r>
    <x v="8"/>
    <x v="6"/>
    <s v="F:\Données chgh\2020-CHG-CZA-Saccharin-1\plaque 1/@08 Saccharin 0,01/G8_02.tif "/>
    <s v=" 324.4484 "/>
    <s v=" 63.5333 "/>
    <x v="0"/>
    <n v="20613"/>
    <m/>
    <m/>
  </r>
  <r>
    <x v="8"/>
    <x v="6"/>
    <s v="F:\Données chgh\2020-CHG-CZA-Saccharin-1\plaque 1/@08 Saccharin 0,01/G8_03.tif "/>
    <s v=" 519.1175 "/>
    <s v=" 62.8333 "/>
    <x v="0"/>
    <n v="32618"/>
    <m/>
    <m/>
  </r>
  <r>
    <x v="8"/>
    <x v="7"/>
    <s v="F:\Données chgh\2020-CHG-CZA-Saccharin-1\plaque 1/@08 Saccharin 0,01/H8_01.tif "/>
    <s v=" 86.5196 "/>
    <s v=" 64.25 "/>
    <x v="0"/>
    <n v="5559"/>
    <m/>
    <m/>
  </r>
  <r>
    <x v="8"/>
    <x v="7"/>
    <s v="F:\Données chgh\2020-CHG-CZA-Saccharin-1\plaque 1/@08 Saccharin 0,01/H8_02.tif "/>
    <s v=" 173.0392 "/>
    <s v=" 63.625 "/>
    <x v="0"/>
    <n v="11010"/>
    <m/>
    <m/>
  </r>
  <r>
    <x v="8"/>
    <x v="7"/>
    <s v="F:\Données chgh\2020-CHG-CZA-Saccharin-1\plaque 1/@08 Saccharin 0,01/H8_03.tif "/>
    <s v=" 108.1495 "/>
    <n v="64"/>
    <x v="0"/>
    <n v="6922"/>
    <m/>
    <m/>
  </r>
  <r>
    <x v="1"/>
    <x v="8"/>
    <s v=" "/>
    <m/>
    <m/>
    <x v="1"/>
    <m/>
    <m/>
    <m/>
  </r>
  <r>
    <x v="1"/>
    <x v="8"/>
    <s v="group "/>
    <s v=" "/>
    <s v=" mean of mean fluo "/>
    <x v="2"/>
    <s v=" mean of total fluo "/>
    <s v=" SD total fluo "/>
    <s v=" n fluorescent "/>
  </r>
  <r>
    <x v="8"/>
    <x v="9"/>
    <s v="F:\Données chgh\2020-CHG-CZA-Saccharin-1\plaque 1/@08 Saccharin 0,01/ "/>
    <s v=" "/>
    <s v=" 63.8527 "/>
    <x v="10"/>
    <s v=" 43031.8333 "/>
    <s v=" 75208.109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Saccharin-1\plaque 1/@09  Saccharin 0,1/A9_01.tif "/>
    <s v=" 2638.8471 "/>
    <s v=" 65.2295 "/>
    <x v="0"/>
    <n v="172131"/>
    <m/>
    <m/>
  </r>
  <r>
    <x v="9"/>
    <x v="0"/>
    <s v="F:\Données chgh\2020-CHG-CZA-Saccharin-1\plaque 1/@09  Saccharin 0,1/A9_02.tif "/>
    <s v=" 2746.9966 "/>
    <s v=" 66.4094 "/>
    <x v="0"/>
    <n v="182427"/>
    <m/>
    <m/>
  </r>
  <r>
    <x v="9"/>
    <x v="0"/>
    <s v="F:\Données chgh\2020-CHG-CZA-Saccharin-1\plaque 1/@09  Saccharin 0,1/A9_03.tif "/>
    <s v=" 129.7794 "/>
    <s v=" 65.1667 "/>
    <x v="0"/>
    <n v="8457"/>
    <m/>
    <m/>
  </r>
  <r>
    <x v="9"/>
    <x v="1"/>
    <s v="F:\Données chgh\2020-CHG-CZA-Saccharin-1\plaque 1/@09  Saccharin 0,1/B9_01.tif "/>
    <s v=" 194.6691 "/>
    <n v="62"/>
    <x v="0"/>
    <n v="12069"/>
    <m/>
    <m/>
  </r>
  <r>
    <x v="9"/>
    <x v="1"/>
    <s v="F:\Données chgh\2020-CHG-CZA-Saccharin-1\plaque 1/@09  Saccharin 0,1/B9_02.tif "/>
    <s v=" 519.1175 "/>
    <s v=" 63.125 "/>
    <x v="0"/>
    <n v="32769"/>
    <m/>
    <m/>
  </r>
  <r>
    <x v="9"/>
    <x v="1"/>
    <s v="F:\Données chgh\2020-CHG-CZA-Saccharin-1\plaque 1/@09  Saccharin 0,1/B9_03.tif "/>
    <s v=" 584.0072 "/>
    <s v=" 64.1481 "/>
    <x v="0"/>
    <n v="37463"/>
    <m/>
    <m/>
  </r>
  <r>
    <x v="9"/>
    <x v="2"/>
    <s v="F:\Données chgh\2020-CHG-CZA-Saccharin-1\plaque 1/@09  Saccharin 0,1/C9_01.tif "/>
    <s v=" 6532.2282 "/>
    <s v=" 71.5927 "/>
    <x v="0"/>
    <n v="467660"/>
    <m/>
    <m/>
  </r>
  <r>
    <x v="9"/>
    <x v="2"/>
    <s v="F:\Données chgh\2020-CHG-CZA-Saccharin-1\plaque 1/@09  Saccharin 0,1/C9_02.tif "/>
    <s v=" 7656.9827 "/>
    <s v=" 70.3955 "/>
    <x v="0"/>
    <n v="539017"/>
    <m/>
    <m/>
  </r>
  <r>
    <x v="9"/>
    <x v="2"/>
    <s v="F:\Données chgh\2020-CHG-CZA-Saccharin-1\plaque 1/@09  Saccharin 0,1/C9_03.tif "/>
    <s v=" 1535.7225 "/>
    <s v=" 62.6479 "/>
    <x v="0"/>
    <n v="96210"/>
    <m/>
    <m/>
  </r>
  <r>
    <x v="9"/>
    <x v="3"/>
    <s v="F:\Données chgh\2020-CHG-CZA-Saccharin-1\plaque 1/@09  Saccharin 0,1/D9_01.tif "/>
    <s v=" 237.9288 "/>
    <s v=" 63.5455 "/>
    <x v="0"/>
    <n v="15119"/>
    <m/>
    <m/>
  </r>
  <r>
    <x v="9"/>
    <x v="3"/>
    <s v="F:\Données chgh\2020-CHG-CZA-Saccharin-1\plaque 1/@09  Saccharin 0,1/D9_02.tif "/>
    <s v=" 281.1886 "/>
    <s v=" 64.6154 "/>
    <x v="0"/>
    <n v="18169"/>
    <m/>
    <m/>
  </r>
  <r>
    <x v="9"/>
    <x v="3"/>
    <s v="F:\Données chgh\2020-CHG-CZA-Saccharin-1\plaque 1/@09  Saccharin 0,1/D9_03.tif "/>
    <s v=" 194.6691 "/>
    <s v=" 63.2222 "/>
    <x v="0"/>
    <n v="12307"/>
    <m/>
    <m/>
  </r>
  <r>
    <x v="9"/>
    <x v="4"/>
    <s v="F:\Données chgh\2020-CHG-CZA-Saccharin-1\plaque 1/@09  Saccharin 0,1/E9_01.tif "/>
    <s v=" 259.5587 "/>
    <s v=" 62.5 "/>
    <x v="0"/>
    <n v="16222"/>
    <m/>
    <m/>
  </r>
  <r>
    <x v="9"/>
    <x v="4"/>
    <s v="F:\Données chgh\2020-CHG-CZA-Saccharin-1\plaque 1/@09  Saccharin 0,1/E9_02.tif "/>
    <s v=" 800.3061 "/>
    <n v="64"/>
    <x v="0"/>
    <n v="51220"/>
    <m/>
    <m/>
  </r>
  <r>
    <x v="9"/>
    <x v="4"/>
    <s v="F:\Données chgh\2020-CHG-CZA-Saccharin-1\plaque 1/@09  Saccharin 0,1/E9_03.tif "/>
    <s v=" 757.0463 "/>
    <s v=" 63.6571 "/>
    <x v="0"/>
    <n v="48191"/>
    <m/>
    <m/>
  </r>
  <r>
    <x v="9"/>
    <x v="5"/>
    <s v="F:\Données chgh\2020-CHG-CZA-Saccharin-1\plaque 1/@09  Saccharin 0,1/F9_01.tif "/>
    <s v=" 86.5196 "/>
    <s v=" 63.25 "/>
    <x v="0"/>
    <n v="5472"/>
    <m/>
    <m/>
  </r>
  <r>
    <x v="9"/>
    <x v="5"/>
    <s v="F:\Données chgh\2020-CHG-CZA-Saccharin-1\plaque 1/@09  Saccharin 0,1/F9_02.tif "/>
    <s v=" 237.9288 "/>
    <n v="65"/>
    <x v="0"/>
    <n v="15465"/>
    <m/>
    <m/>
  </r>
  <r>
    <x v="9"/>
    <x v="5"/>
    <s v="F:\Données chgh\2020-CHG-CZA-Saccharin-1\plaque 1/@09  Saccharin 0,1/F9_03.tif "/>
    <s v=" 108.1495 "/>
    <s v=" 62.8 "/>
    <x v="0"/>
    <n v="6792"/>
    <m/>
    <m/>
  </r>
  <r>
    <x v="9"/>
    <x v="6"/>
    <s v="F:\Données chgh\2020-CHG-CZA-Saccharin-1\plaque 1/@09  Saccharin 0,1/G9_01.tif "/>
    <s v=" 540.7474 "/>
    <s v=" 63.72 "/>
    <x v="0"/>
    <n v="34456"/>
    <m/>
    <m/>
  </r>
  <r>
    <x v="9"/>
    <x v="6"/>
    <s v="F:\Données chgh\2020-CHG-CZA-Saccharin-1\plaque 1/@09  Saccharin 0,1/G9_02.tif "/>
    <s v=" 216.2989 "/>
    <s v=" 64.8 "/>
    <x v="0"/>
    <n v="14016"/>
    <m/>
    <m/>
  </r>
  <r>
    <x v="9"/>
    <x v="6"/>
    <s v="F:\Données chgh\2020-CHG-CZA-Saccharin-1\plaque 1/@09  Saccharin 0,1/G9_03.tif "/>
    <s v=" 259.5587 "/>
    <s v=" 62.5833 "/>
    <x v="0"/>
    <n v="16244"/>
    <m/>
    <m/>
  </r>
  <r>
    <x v="9"/>
    <x v="7"/>
    <s v="F:\Données chgh\2020-CHG-CZA-Saccharin-1\plaque 1/@09  Saccharin 0,1/H9_01.tif "/>
    <s v=" 735.4164 "/>
    <s v=" 65.4412 "/>
    <x v="0"/>
    <n v="48127"/>
    <m/>
    <m/>
  </r>
  <r>
    <x v="9"/>
    <x v="7"/>
    <s v="F:\Données chgh\2020-CHG-CZA-Saccharin-1\plaque 1/@09  Saccharin 0,1/H9_02.tif "/>
    <s v=" 10317.4597 "/>
    <s v=" 71.5241 "/>
    <x v="0"/>
    <n v="737947"/>
    <m/>
    <m/>
  </r>
  <r>
    <x v="9"/>
    <x v="7"/>
    <s v="F:\Données chgh\2020-CHG-CZA-Saccharin-1\plaque 1/@09  Saccharin 0,1/H9_03.tif "/>
    <s v=" 10901.4669 "/>
    <s v=" 76.4048 "/>
    <x v="0"/>
    <n v="832924"/>
    <m/>
    <m/>
  </r>
  <r>
    <x v="1"/>
    <x v="8"/>
    <s v=" "/>
    <m/>
    <m/>
    <x v="1"/>
    <m/>
    <m/>
    <m/>
  </r>
  <r>
    <x v="1"/>
    <x v="8"/>
    <s v="group "/>
    <s v=" "/>
    <s v=" mean of mean fluo "/>
    <x v="2"/>
    <s v=" mean of total fluo "/>
    <s v=" SD total fluo "/>
    <s v=" n fluorescent "/>
  </r>
  <r>
    <x v="9"/>
    <x v="9"/>
    <s v="F:\Données chgh\2020-CHG-CZA-Saccharin-1\plaque 1/@09  Saccharin 0,1/ "/>
    <s v=" "/>
    <s v=" 65.3241 "/>
    <x v="11"/>
    <s v=" 142536.417 "/>
    <s v=" 241825.65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Saccharin-1\plaque 1/@10  Saccharin 1/A10_01.tif "/>
    <s v=" 151.4093 "/>
    <n v="65"/>
    <x v="0"/>
    <n v="9842"/>
    <m/>
    <m/>
  </r>
  <r>
    <x v="10"/>
    <x v="0"/>
    <s v="F:\Données chgh\2020-CHG-CZA-Saccharin-1\plaque 1/@10  Saccharin 1/A10_02- exclu.tif"/>
    <m/>
    <m/>
    <x v="1"/>
    <m/>
    <m/>
    <m/>
  </r>
  <r>
    <x v="10"/>
    <x v="0"/>
    <s v="F:\Données chgh\2020-CHG-CZA-Saccharin-1\plaque 1/@10  Saccharin 1/A10_03.tif "/>
    <s v=" 173.0392 "/>
    <s v=" 63.5 "/>
    <x v="0"/>
    <n v="10988"/>
    <m/>
    <m/>
  </r>
  <r>
    <x v="10"/>
    <x v="1"/>
    <s v="F:\Données chgh\2020-CHG-CZA-Saccharin-1\plaque 1/@10  Saccharin 1/B10_01.tif "/>
    <s v=" 1211.2741 "/>
    <s v=" 64.4286 "/>
    <x v="0"/>
    <n v="78041"/>
    <m/>
    <m/>
  </r>
  <r>
    <x v="10"/>
    <x v="1"/>
    <s v="F:\Données chgh\2020-CHG-CZA-Saccharin-1\plaque 1/@10  Saccharin 1/B10_02.tif "/>
    <s v=" 1211.2741 "/>
    <s v=" 63.875 "/>
    <x v="0"/>
    <n v="77370"/>
    <m/>
    <m/>
  </r>
  <r>
    <x v="10"/>
    <x v="1"/>
    <s v="F:\Données chgh\2020-CHG-CZA-Saccharin-1\plaque 1/@10  Saccharin 1/B10_03.tif "/>
    <s v=" 1708.7617 "/>
    <s v=" 63.8354 "/>
    <x v="0"/>
    <n v="109080"/>
    <m/>
    <m/>
  </r>
  <r>
    <x v="10"/>
    <x v="2"/>
    <s v="F:\Données chgh\2020-CHG-CZA-Saccharin-1\plaque 1/@10  Saccharin 1/C10_01.tif "/>
    <s v=" 151.4093 "/>
    <s v=" 63.4286 "/>
    <x v="0"/>
    <n v="9604"/>
    <m/>
    <m/>
  </r>
  <r>
    <x v="10"/>
    <x v="2"/>
    <s v="F:\Données chgh\2020-CHG-CZA-Saccharin-1\plaque 1/@10  Saccharin 1/C10_02.tif "/>
    <s v=" 410.968 "/>
    <s v=" 63.7368 "/>
    <x v="0"/>
    <n v="26194"/>
    <m/>
    <m/>
  </r>
  <r>
    <x v="10"/>
    <x v="2"/>
    <s v="F:\Données chgh\2020-CHG-CZA-Saccharin-1\plaque 1/@10  Saccharin 1/C10_03.tif "/>
    <s v=" 1492.4627 "/>
    <s v=" 64.7826 "/>
    <x v="0"/>
    <n v="96686"/>
    <m/>
    <m/>
  </r>
  <r>
    <x v="10"/>
    <x v="3"/>
    <s v="F:\Données chgh\2020-CHG-CZA-Saccharin-1\plaque 1/@10  Saccharin 1/D10_01.tif "/>
    <s v=" 1384.3133 "/>
    <s v=" 63.9375 "/>
    <x v="0"/>
    <n v="88510"/>
    <m/>
    <m/>
  </r>
  <r>
    <x v="10"/>
    <x v="3"/>
    <s v="F:\Données chgh\2020-CHG-CZA-Saccharin-1\plaque 1/@10  Saccharin 1/D10_02.tif "/>
    <s v=" 1146.3844 "/>
    <s v=" 64.0377 "/>
    <x v="0"/>
    <n v="73412"/>
    <m/>
    <m/>
  </r>
  <r>
    <x v="10"/>
    <x v="3"/>
    <s v="F:\Données chgh\2020-CHG-CZA-Saccharin-1\plaque 1/@10  Saccharin 1/D10_03.tif "/>
    <s v=" 800.3061 "/>
    <s v=" 62.0811 "/>
    <x v="0"/>
    <n v="49684"/>
    <m/>
    <m/>
  </r>
  <r>
    <x v="10"/>
    <x v="4"/>
    <s v="F:\Données chgh\2020-CHG-CZA-Saccharin-1\plaque 1/@10  Saccharin 1/E10_01.tif "/>
    <s v=" 627.2669 "/>
    <s v=" 62.8276 "/>
    <x v="0"/>
    <n v="39410"/>
    <m/>
    <m/>
  </r>
  <r>
    <x v="10"/>
    <x v="4"/>
    <s v="F:\Données chgh\2020-CHG-CZA-Saccharin-1\plaque 1/@10  Saccharin 1/E10_02.tif "/>
    <s v=" 410.968 "/>
    <s v=" 62.2105 "/>
    <x v="0"/>
    <n v="25567"/>
    <m/>
    <m/>
  </r>
  <r>
    <x v="10"/>
    <x v="4"/>
    <s v="F:\Données chgh\2020-CHG-CZA-Saccharin-1\plaque 1/@10  Saccharin 1/E10_03.tif "/>
    <s v=" 108.1495 "/>
    <s v=" 64.2 "/>
    <x v="0"/>
    <n v="6943"/>
    <m/>
    <m/>
  </r>
  <r>
    <x v="10"/>
    <x v="5"/>
    <s v="F:\Données chgh\2020-CHG-CZA-Saccharin-1\plaque 1/@10  Saccharin 1/F10_01.tif "/>
    <s v=" 6726.8972 "/>
    <s v=" 71.418 "/>
    <x v="0"/>
    <n v="480422"/>
    <m/>
    <m/>
  </r>
  <r>
    <x v="10"/>
    <x v="5"/>
    <s v="F:\Données chgh\2020-CHG-CZA-Saccharin-1\plaque 1/@10  Saccharin 1/F10_02- exclu.tif"/>
    <m/>
    <m/>
    <x v="1"/>
    <m/>
    <m/>
    <m/>
  </r>
  <r>
    <x v="10"/>
    <x v="5"/>
    <s v="F:\Données chgh\2020-CHG-CZA-Saccharin-1\plaque 1/@10  Saccharin 1/F10_03.tif "/>
    <s v=" 648.8968 "/>
    <s v=" 64.2333 "/>
    <x v="0"/>
    <n v="41681"/>
    <m/>
    <m/>
  </r>
  <r>
    <x v="10"/>
    <x v="6"/>
    <s v="F:\Données chgh\2020-CHG-CZA-Saccharin-1\plaque 1/@10  Saccharin 1/G10_01.tif "/>
    <s v=" 4866.7263 "/>
    <s v=" 64.8844 "/>
    <x v="0"/>
    <n v="315775"/>
    <m/>
    <m/>
  </r>
  <r>
    <x v="10"/>
    <x v="6"/>
    <s v="F:\Données chgh\2020-CHG-CZA-Saccharin-1\plaque 1/@10  Saccharin 1/G10_02.tif "/>
    <s v=" 735.4164 "/>
    <s v=" 62.5882 "/>
    <x v="0"/>
    <n v="46028"/>
    <m/>
    <m/>
  </r>
  <r>
    <x v="10"/>
    <x v="6"/>
    <s v="F:\Données chgh\2020-CHG-CZA-Saccharin-1\plaque 1/@10  Saccharin 1/G10_03.tif "/>
    <s v=" 194.6691 "/>
    <s v=" 61.4444 "/>
    <x v="0"/>
    <n v="11961"/>
    <m/>
    <m/>
  </r>
  <r>
    <x v="10"/>
    <x v="7"/>
    <s v="F:\Données chgh\2020-CHG-CZA-Saccharin-1\plaque 1/@10  Saccharin 1/H10_01.tif "/>
    <s v=" 497.4876 "/>
    <s v=" 65.4783 "/>
    <x v="0"/>
    <n v="32575"/>
    <m/>
    <m/>
  </r>
  <r>
    <x v="10"/>
    <x v="7"/>
    <s v="F:\Données chgh\2020-CHG-CZA-Saccharin-1\plaque 1/@10  Saccharin 1/H10_02.tif "/>
    <s v=" 1643.872 "/>
    <s v=" 67.0921 "/>
    <x v="0"/>
    <n v="110291"/>
    <m/>
    <m/>
  </r>
  <r>
    <x v="10"/>
    <x v="7"/>
    <s v="F:\Données chgh\2020-CHG-CZA-Saccharin-1\plaque 1/@10  Saccharin 1/H10_03.tif "/>
    <s v=" 562.3773 "/>
    <s v=" 65.7308 "/>
    <x v="0"/>
    <n v="36965"/>
    <m/>
    <m/>
  </r>
  <r>
    <x v="1"/>
    <x v="8"/>
    <s v=" "/>
    <m/>
    <m/>
    <x v="1"/>
    <m/>
    <m/>
    <m/>
  </r>
  <r>
    <x v="1"/>
    <x v="8"/>
    <s v="group "/>
    <s v=" "/>
    <s v=" mean of mean fluo "/>
    <x v="2"/>
    <s v=" mean of total fluo "/>
    <s v=" SD total fluo "/>
    <s v=" n fluorescent "/>
  </r>
  <r>
    <x v="10"/>
    <x v="9"/>
    <s v="F:\Données chgh\2020-CHG-CZA-Saccharin-1\plaque 1/@10  Saccharin 1/ "/>
    <s v=" "/>
    <s v=" 65.4602 "/>
    <x v="12"/>
    <s v=" 121782.75 "/>
    <s v=" 236377.22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Saccharin-1\plaque 1/@11  Saccharin 10/A11_01.tif "/>
    <s v=" 259.5587 "/>
    <s v=" 64.6667 "/>
    <x v="0"/>
    <n v="16785"/>
    <m/>
    <m/>
  </r>
  <r>
    <x v="11"/>
    <x v="0"/>
    <s v="F:\Données chgh\2020-CHG-CZA-Saccharin-1\plaque 1/@11  Saccharin 10/A11_02.tif "/>
    <s v=" 346.0783 "/>
    <s v=" 62.6875 "/>
    <x v="0"/>
    <n v="21695"/>
    <m/>
    <m/>
  </r>
  <r>
    <x v="11"/>
    <x v="0"/>
    <s v="F:\Données chgh\2020-CHG-CZA-Saccharin-1\plaque 1/@11  Saccharin 10/A11_03.tif "/>
    <s v=" 173.0392 "/>
    <s v=" 62.5 "/>
    <x v="0"/>
    <n v="10815"/>
    <m/>
    <m/>
  </r>
  <r>
    <x v="11"/>
    <x v="1"/>
    <s v="F:\Données chgh\2020-CHG-CZA-Saccharin-1\plaque 1/@11  Saccharin 10/B11_01- exclu.tif"/>
    <m/>
    <m/>
    <x v="1"/>
    <m/>
    <m/>
    <m/>
  </r>
  <r>
    <x v="11"/>
    <x v="1"/>
    <s v="F:\Données chgh\2020-CHG-CZA-Saccharin-1\plaque 1/@11  Saccharin 10/B11_02.tif "/>
    <s v=" 302.8185 "/>
    <s v=" 62.2143 "/>
    <x v="0"/>
    <n v="18840"/>
    <m/>
    <m/>
  </r>
  <r>
    <x v="11"/>
    <x v="1"/>
    <s v="F:\Données chgh\2020-CHG-CZA-Saccharin-1\plaque 1/@11  Saccharin 10/B11_03.tif "/>
    <s v=" 908.4556 "/>
    <s v=" 63.0952 "/>
    <x v="0"/>
    <n v="57319"/>
    <m/>
    <m/>
  </r>
  <r>
    <x v="11"/>
    <x v="2"/>
    <s v="F:\Données chgh\2020-CHG-CZA-Saccharin-1\plaque 1/@11  Saccharin 10/C11_01.tif "/>
    <s v=" 908.4556 "/>
    <s v=" 62.2381 "/>
    <x v="0"/>
    <n v="56541"/>
    <m/>
    <m/>
  </r>
  <r>
    <x v="11"/>
    <x v="2"/>
    <s v="F:\Données chgh\2020-CHG-CZA-Saccharin-1\plaque 1/@11  Saccharin 10/C11_02.tif "/>
    <s v=" 6424.0787 "/>
    <s v=" 72.5286 "/>
    <x v="0"/>
    <n v="465930"/>
    <m/>
    <m/>
  </r>
  <r>
    <x v="11"/>
    <x v="2"/>
    <s v="F:\Données chgh\2020-CHG-CZA-Saccharin-1\plaque 1/@11  Saccharin 10/C11_03.tif "/>
    <s v=" 6359.189 "/>
    <s v=" 66.4864 "/>
    <x v="0"/>
    <n v="422800"/>
    <m/>
    <m/>
  </r>
  <r>
    <x v="11"/>
    <x v="3"/>
    <s v="F:\Données chgh\2020-CHG-CZA-Saccharin-1\plaque 1/@11  Saccharin 10/D11_01.tif "/>
    <s v=" 11225.9153 "/>
    <s v=" 72.3256 "/>
    <x v="0"/>
    <n v="811921"/>
    <m/>
    <m/>
  </r>
  <r>
    <x v="11"/>
    <x v="3"/>
    <s v="F:\Données chgh\2020-CHG-CZA-Saccharin-1\plaque 1/@11  Saccharin 10/D11_02.tif "/>
    <s v=" 7916.5414 "/>
    <s v=" 69.4481 "/>
    <x v="0"/>
    <n v="549789"/>
    <m/>
    <m/>
  </r>
  <r>
    <x v="11"/>
    <x v="3"/>
    <s v="F:\Données chgh\2020-CHG-CZA-Saccharin-1\plaque 1/@11  Saccharin 10/D11_03- exclu.tif"/>
    <m/>
    <m/>
    <x v="1"/>
    <m/>
    <m/>
    <m/>
  </r>
  <r>
    <x v="11"/>
    <x v="4"/>
    <s v="F:\Données chgh\2020-CHG-CZA-Saccharin-1\plaque 1/@11  Saccharin 10/E11_01.tif "/>
    <s v=" 1514.0926 "/>
    <s v=" 62.7286 "/>
    <x v="0"/>
    <n v="94977"/>
    <m/>
    <m/>
  </r>
  <r>
    <x v="11"/>
    <x v="4"/>
    <s v="F:\Données chgh\2020-CHG-CZA-Saccharin-1\plaque 1/@11  Saccharin 10/E11_02.tif "/>
    <s v=" 281.1886 "/>
    <s v=" 63.3077 "/>
    <x v="0"/>
    <n v="17801"/>
    <m/>
    <m/>
  </r>
  <r>
    <x v="11"/>
    <x v="4"/>
    <s v="F:\Données chgh\2020-CHG-CZA-Saccharin-1\plaque 1/@11  Saccharin 10/E11_03.tif "/>
    <s v=" 713.7865 "/>
    <s v=" 63.9697 "/>
    <x v="0"/>
    <n v="45661"/>
    <m/>
    <m/>
  </r>
  <r>
    <x v="11"/>
    <x v="5"/>
    <s v="F:\Données chgh\2020-CHG-CZA-Saccharin-1\plaque 1/@11  Saccharin 10/F11_01.tif "/>
    <s v=" 6705.2673 "/>
    <s v=" 75.7032 "/>
    <x v="0"/>
    <n v="507610"/>
    <m/>
    <m/>
  </r>
  <r>
    <x v="11"/>
    <x v="5"/>
    <s v="F:\Données chgh\2020-CHG-CZA-Saccharin-1\plaque 1/@11  Saccharin 10/F11_02.tif "/>
    <s v=" 7310.9044 "/>
    <n v="72"/>
    <x v="0"/>
    <n v="526385"/>
    <m/>
    <m/>
  </r>
  <r>
    <x v="11"/>
    <x v="5"/>
    <s v="F:\Données chgh\2020-CHG-CZA-Saccharin-1\plaque 1/@11  Saccharin 10/F11_03.tif "/>
    <s v=" 1470.8328 "/>
    <s v=" 63.6324 "/>
    <x v="0"/>
    <n v="93593"/>
    <m/>
    <m/>
  </r>
  <r>
    <x v="11"/>
    <x v="6"/>
    <s v="F:\Données chgh\2020-CHG-CZA-Saccharin-1\plaque 1/@11  Saccharin 10/G11_01.tif "/>
    <s v=" 1535.7225 "/>
    <s v=" 65.9014 "/>
    <x v="0"/>
    <n v="101206"/>
    <m/>
    <m/>
  </r>
  <r>
    <x v="11"/>
    <x v="6"/>
    <s v="F:\Données chgh\2020-CHG-CZA-Saccharin-1\plaque 1/@11  Saccharin 10/G11_02.tif "/>
    <s v=" 1816.9111 "/>
    <s v=" 65.119 "/>
    <x v="0"/>
    <n v="118316"/>
    <m/>
    <m/>
  </r>
  <r>
    <x v="11"/>
    <x v="6"/>
    <s v="F:\Données chgh\2020-CHG-CZA-Saccharin-1\plaque 1/@11  Saccharin 10/G11_03.tif "/>
    <s v=" 735.4164 "/>
    <s v=" 62.5294 "/>
    <x v="0"/>
    <n v="45985"/>
    <m/>
    <m/>
  </r>
  <r>
    <x v="11"/>
    <x v="7"/>
    <s v="F:\Données chgh\2020-CHG-CZA-Saccharin-1\plaque 1/@11  Saccharin 10/H11_01.tif "/>
    <s v=" 1925.0606 "/>
    <s v=" 64.2697 "/>
    <x v="0"/>
    <n v="123723"/>
    <m/>
    <m/>
  </r>
  <r>
    <x v="11"/>
    <x v="7"/>
    <s v="F:\Données chgh\2020-CHG-CZA-Saccharin-1\plaque 1/@11  Saccharin 10/H11_02.tif "/>
    <s v=" 1103.1246 "/>
    <s v=" 64.0784 "/>
    <x v="0"/>
    <n v="70686"/>
    <m/>
    <m/>
  </r>
  <r>
    <x v="11"/>
    <x v="7"/>
    <s v="F:\Données chgh\2020-CHG-CZA-Saccharin-1\plaque 1/@11  Saccharin 10/H11_03.tif "/>
    <s v=" 1254.5339 "/>
    <s v=" 63.2241 "/>
    <x v="0"/>
    <n v="79317"/>
    <m/>
    <m/>
  </r>
  <r>
    <x v="1"/>
    <x v="8"/>
    <s v=" "/>
    <m/>
    <m/>
    <x v="1"/>
    <m/>
    <m/>
    <m/>
  </r>
  <r>
    <x v="1"/>
    <x v="8"/>
    <s v="group "/>
    <s v=" "/>
    <s v=" mean of mean fluo "/>
    <x v="2"/>
    <s v=" mean of total fluo "/>
    <s v=" SD total fluo "/>
    <s v=" n fluorescent "/>
  </r>
  <r>
    <x v="11"/>
    <x v="9"/>
    <s v="F:\Données chgh\2020-CHG-CZA-Saccharin-1\plaque 1/@11  Saccharin 10/ "/>
    <s v=" "/>
    <s v=" 65.488 "/>
    <x v="13"/>
    <s v=" 183274.667 "/>
    <s v=" 226899.08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Saccharin-1\plaque 1/@12  Saccharin 100/A12_01- exclu.tif"/>
    <m/>
    <m/>
    <x v="1"/>
    <m/>
    <m/>
    <m/>
  </r>
  <r>
    <x v="12"/>
    <x v="0"/>
    <s v="F:\Données chgh\2020-CHG-CZA-Saccharin-1\plaque 1/@12  Saccharin 100/A12_02.tif "/>
    <s v=" 6856.6766 "/>
    <s v=" 71.9779 "/>
    <x v="0"/>
    <n v="493529"/>
    <m/>
    <m/>
  </r>
  <r>
    <x v="12"/>
    <x v="0"/>
    <s v="F:\Données chgh\2020-CHG-CZA-Saccharin-1\plaque 1/@12  Saccharin 100/A12_03- exclu.tif"/>
    <m/>
    <m/>
    <x v="1"/>
    <m/>
    <m/>
    <m/>
  </r>
  <r>
    <x v="12"/>
    <x v="1"/>
    <s v="F:\Données chgh\2020-CHG-CZA-Saccharin-1\plaque 1/@12  Saccharin 100/B12_01.tif "/>
    <s v=" 2444.1781 "/>
    <s v=" 64.7345 "/>
    <x v="0"/>
    <n v="158223"/>
    <m/>
    <m/>
  </r>
  <r>
    <x v="12"/>
    <x v="1"/>
    <s v="F:\Données chgh\2020-CHG-CZA-Saccharin-1\plaque 1/@12  Saccharin 100/B12_02.tif "/>
    <s v=" 1189.6442 "/>
    <s v=" 64.3636 "/>
    <x v="0"/>
    <n v="76570"/>
    <m/>
    <m/>
  </r>
  <r>
    <x v="12"/>
    <x v="1"/>
    <s v="F:\Données chgh\2020-CHG-CZA-Saccharin-1\plaque 1/@12  Saccharin 100/B12_03.tif "/>
    <s v=" 2271.1389 "/>
    <s v=" 63.7238 "/>
    <x v="0"/>
    <n v="144726"/>
    <m/>
    <m/>
  </r>
  <r>
    <x v="12"/>
    <x v="2"/>
    <s v="F:\Données chgh\2020-CHG-CZA-Saccharin-1\plaque 1/@12  Saccharin 100/C12_01.tif "/>
    <s v=" 605.637 "/>
    <n v="63"/>
    <x v="0"/>
    <n v="38155"/>
    <m/>
    <m/>
  </r>
  <r>
    <x v="12"/>
    <x v="2"/>
    <s v="F:\Données chgh\2020-CHG-CZA-Saccharin-1\plaque 1/@12  Saccharin 100/C12_02.tif "/>
    <s v=" 108.1495 "/>
    <s v=" 64.8 "/>
    <x v="0"/>
    <n v="7008"/>
    <m/>
    <m/>
  </r>
  <r>
    <x v="12"/>
    <x v="2"/>
    <s v="F:\Données chgh\2020-CHG-CZA-Saccharin-1\plaque 1/@12  Saccharin 100/C12_03.tif "/>
    <s v=" 173.0392 "/>
    <n v="63"/>
    <x v="0"/>
    <n v="10901"/>
    <m/>
    <m/>
  </r>
  <r>
    <x v="12"/>
    <x v="3"/>
    <s v="F:\Données chgh\2020-CHG-CZA-Saccharin-1\plaque 1/@12  Saccharin 100/D12_01.tif "/>
    <s v=" 1168.0143 "/>
    <s v=" 67.7778 "/>
    <x v="0"/>
    <n v="79165"/>
    <m/>
    <m/>
  </r>
  <r>
    <x v="12"/>
    <x v="3"/>
    <s v="F:\Données chgh\2020-CHG-CZA-Saccharin-1\plaque 1/@12  Saccharin 100/D12_02- exclu.tif"/>
    <m/>
    <m/>
    <x v="1"/>
    <m/>
    <m/>
    <m/>
  </r>
  <r>
    <x v="12"/>
    <x v="3"/>
    <s v="F:\Données chgh\2020-CHG-CZA-Saccharin-1\plaque 1/@12  Saccharin 100/D12_03.tif "/>
    <s v=" 1514.0926 "/>
    <s v=" 63.4429 "/>
    <x v="0"/>
    <n v="96058"/>
    <m/>
    <m/>
  </r>
  <r>
    <x v="12"/>
    <x v="4"/>
    <s v="F:\Données chgh\2020-CHG-CZA-Saccharin-1\plaque 1/@12  Saccharin 100/E12_01- exclu.tif"/>
    <m/>
    <m/>
    <x v="1"/>
    <m/>
    <m/>
    <m/>
  </r>
  <r>
    <x v="12"/>
    <x v="4"/>
    <s v="F:\Données chgh\2020-CHG-CZA-Saccharin-1\plaque 1/@12  Saccharin 100/E12_02- exclu.tif"/>
    <m/>
    <m/>
    <x v="1"/>
    <m/>
    <m/>
    <m/>
  </r>
  <r>
    <x v="12"/>
    <x v="4"/>
    <s v="F:\Données chgh\2020-CHG-CZA-Saccharin-1\plaque 1/@12  Saccharin 100/E12_03- exclu.tif"/>
    <m/>
    <m/>
    <x v="1"/>
    <m/>
    <m/>
    <m/>
  </r>
  <r>
    <x v="12"/>
    <x v="5"/>
    <s v="F:\Données chgh\2020-CHG-CZA-Saccharin-1\plaque 1/@12  Saccharin 100/F12_01.tif "/>
    <s v=" 3028.1852 "/>
    <s v=" 65.7857 "/>
    <x v="0"/>
    <n v="199211"/>
    <m/>
    <m/>
  </r>
  <r>
    <x v="12"/>
    <x v="5"/>
    <s v="F:\Données chgh\2020-CHG-CZA-Saccharin-1\plaque 1/@12  Saccharin 100/F12_02.tif "/>
    <s v=" 1665.5019 "/>
    <s v=" 63.9481 "/>
    <x v="0"/>
    <n v="106506"/>
    <m/>
    <m/>
  </r>
  <r>
    <x v="12"/>
    <x v="5"/>
    <s v="F:\Données chgh\2020-CHG-CZA-Saccharin-1\plaque 1/@12  Saccharin 100/F12_03.tif "/>
    <s v=" 1276.1638 "/>
    <s v=" 65.8814 "/>
    <x v="0"/>
    <n v="84075"/>
    <m/>
    <m/>
  </r>
  <r>
    <x v="12"/>
    <x v="6"/>
    <s v="F:\Données chgh\2020-CHG-CZA-Saccharin-1\plaque 1/@12  Saccharin 100/G12_01.tif "/>
    <s v=" 216.2989 "/>
    <s v=" 62.2 "/>
    <x v="0"/>
    <n v="13454"/>
    <m/>
    <m/>
  </r>
  <r>
    <x v="12"/>
    <x v="6"/>
    <s v="F:\Données chgh\2020-CHG-CZA-Saccharin-1\plaque 1/@12  Saccharin 100/G12_02.tif "/>
    <s v=" 302.8185 "/>
    <s v=" 63.7857 "/>
    <x v="0"/>
    <n v="19315"/>
    <m/>
    <m/>
  </r>
  <r>
    <x v="12"/>
    <x v="6"/>
    <s v="F:\Données chgh\2020-CHG-CZA-Saccharin-1\plaque 1/@12  Saccharin 100/G12_03.tif "/>
    <s v=" 151.4093 "/>
    <s v=" 64.8571 "/>
    <x v="0"/>
    <n v="9820"/>
    <m/>
    <m/>
  </r>
  <r>
    <x v="12"/>
    <x v="7"/>
    <s v="F:\Données chgh\2020-CHG-CZA-Saccharin-1\plaque 1/@12  Saccharin 100/H12_01.tif "/>
    <s v=" 216.2989 "/>
    <s v=" 62.6 "/>
    <x v="0"/>
    <n v="13540"/>
    <m/>
    <m/>
  </r>
  <r>
    <x v="12"/>
    <x v="7"/>
    <s v="F:\Données chgh\2020-CHG-CZA-Saccharin-1\plaque 1/@12  Saccharin 100/H12_02.tif "/>
    <s v=" 1600.6122 "/>
    <s v=" 65.3378 "/>
    <x v="0"/>
    <n v="104581"/>
    <m/>
    <m/>
  </r>
  <r>
    <x v="12"/>
    <x v="7"/>
    <s v="F:\Données chgh\2020-CHG-CZA-Saccharin-1\plaque 1/@12  Saccharin 100/H12_03.tif "/>
    <s v=" 908.4556 "/>
    <s v=" 62.8333 "/>
    <x v="0"/>
    <n v="57081"/>
    <m/>
    <m/>
  </r>
  <r>
    <x v="1"/>
    <x v="8"/>
    <s v=" "/>
    <m/>
    <m/>
    <x v="1"/>
    <m/>
    <m/>
    <m/>
  </r>
  <r>
    <x v="1"/>
    <x v="8"/>
    <s v="group "/>
    <s v=" "/>
    <s v=" mean of mean fluo "/>
    <x v="2"/>
    <s v=" mean of total fluo "/>
    <s v=" SD total fluo "/>
    <s v=" n fluorescent "/>
  </r>
  <r>
    <x v="12"/>
    <x v="9"/>
    <s v="F:\Données chgh\2020-CHG-CZA-Saccharin-1\plaque 1/@12  Saccharin 100/ "/>
    <s v=" "/>
    <s v=" 66.0188 "/>
    <x v="14"/>
    <s v=" 159143.667 "/>
    <s v=" 293598.11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Saccharin-1\plaque 2/@13 Testo 30/A1_01.tif "/>
    <s v=" 41226.5792 "/>
    <s v=" 75.2786 "/>
    <x v="0"/>
    <n v="3103479"/>
    <m/>
    <m/>
  </r>
  <r>
    <x v="13"/>
    <x v="0"/>
    <s v="F:\Données chgh\2020-CHG-CZA-Saccharin-1\plaque 2/@13 Testo 30/A1_02.tif "/>
    <s v=" 29221.9876 "/>
    <s v=" 73.3694 "/>
    <x v="0"/>
    <n v="2143998"/>
    <m/>
    <m/>
  </r>
  <r>
    <x v="13"/>
    <x v="0"/>
    <s v="F:\Données chgh\2020-CHG-CZA-Saccharin-1\plaque 2/@13 Testo 30/A1_03.tif "/>
    <s v=" 40642.572 "/>
    <s v=" 75.546 "/>
    <x v="0"/>
    <n v="3070385"/>
    <m/>
    <m/>
  </r>
  <r>
    <x v="13"/>
    <x v="1"/>
    <s v="F:\Données chgh\2020-CHG-CZA-Saccharin-1\plaque 2/@13 Testo 30/B1_01.tif "/>
    <s v=" 29524.8062 "/>
    <s v=" 71.893 "/>
    <x v="0"/>
    <n v="2122628"/>
    <m/>
    <m/>
  </r>
  <r>
    <x v="13"/>
    <x v="1"/>
    <s v="F:\Données chgh\2020-CHG-CZA-Saccharin-1\plaque 2/@13 Testo 30/B1_02.tif "/>
    <s v=" 24831.119 "/>
    <s v=" 73.331 "/>
    <x v="0"/>
    <n v="1820891"/>
    <m/>
    <m/>
  </r>
  <r>
    <x v="13"/>
    <x v="1"/>
    <s v="F:\Données chgh\2020-CHG-CZA-Saccharin-1\plaque 2/@13 Testo 30/B1_03.tif "/>
    <s v=" 23446.8058 "/>
    <s v=" 72.572 "/>
    <x v="0"/>
    <n v="1701581"/>
    <m/>
    <m/>
  </r>
  <r>
    <x v="13"/>
    <x v="2"/>
    <s v="F:\Données chgh\2020-CHG-CZA-Saccharin-1\plaque 2/@13 Testo 30/C1_01.tif "/>
    <s v=" 41918.7358 "/>
    <s v=" 74.0315 "/>
    <x v="0"/>
    <n v="3103306"/>
    <m/>
    <m/>
  </r>
  <r>
    <x v="13"/>
    <x v="2"/>
    <s v="F:\Données chgh\2020-CHG-CZA-Saccharin-1\plaque 2/@13 Testo 30/C1_02.tif "/>
    <s v=" 33396.5573 "/>
    <s v=" 72.5123 "/>
    <x v="0"/>
    <n v="2421661"/>
    <m/>
    <m/>
  </r>
  <r>
    <x v="13"/>
    <x v="2"/>
    <s v="F:\Données chgh\2020-CHG-CZA-Saccharin-1\plaque 2/@13 Testo 30/C1_03.tif "/>
    <s v=" 38457.9527 "/>
    <s v=" 71.9303 "/>
    <x v="0"/>
    <n v="2766290"/>
    <m/>
    <m/>
  </r>
  <r>
    <x v="13"/>
    <x v="3"/>
    <s v="F:\Données chgh\2020-CHG-CZA-Saccharin-1\plaque 2/@13 Testo 30/D1_01- exclu.tif"/>
    <m/>
    <m/>
    <x v="1"/>
    <m/>
    <m/>
    <m/>
  </r>
  <r>
    <x v="13"/>
    <x v="3"/>
    <s v="F:\Données chgh\2020-CHG-CZA-Saccharin-1\plaque 2/@13 Testo 30/D1_02.tif "/>
    <s v=" 8738.4774 "/>
    <s v=" 66.297 "/>
    <x v="0"/>
    <n v="579335"/>
    <m/>
    <m/>
  </r>
  <r>
    <x v="13"/>
    <x v="3"/>
    <s v="F:\Données chgh\2020-CHG-CZA-Saccharin-1\plaque 2/@13 Testo 30/D1_03.tif "/>
    <s v=" 13713.3532 "/>
    <s v=" 66.3549 "/>
    <x v="0"/>
    <n v="909948"/>
    <m/>
    <m/>
  </r>
  <r>
    <x v="13"/>
    <x v="4"/>
    <s v="F:\Données chgh\2020-CHG-CZA-Saccharin-1\plaque 2/@13 Testo 30/E1_01.tif "/>
    <s v=" 41551.0276 "/>
    <s v=" 69.5898 "/>
    <x v="0"/>
    <n v="2891528"/>
    <m/>
    <m/>
  </r>
  <r>
    <x v="13"/>
    <x v="4"/>
    <s v="F:\Données chgh\2020-CHG-CZA-Saccharin-1\plaque 2/@13 Testo 30/E1_02.tif "/>
    <s v=" 30714.4504 "/>
    <s v=" 69.2296 "/>
    <x v="0"/>
    <n v="2126348"/>
    <m/>
    <m/>
  </r>
  <r>
    <x v="13"/>
    <x v="4"/>
    <s v="F:\Données chgh\2020-CHG-CZA-Saccharin-1\plaque 2/@13 Testo 30/E1_03- exclu.tif"/>
    <m/>
    <m/>
    <x v="1"/>
    <m/>
    <m/>
    <m/>
  </r>
  <r>
    <x v="13"/>
    <x v="5"/>
    <s v="F:\Données chgh\2020-CHG-CZA-Saccharin-1\plaque 2/@13 Testo 30/F1_01.tif "/>
    <s v=" 20678.1793 "/>
    <s v=" 68.0941 "/>
    <x v="0"/>
    <n v="1408063"/>
    <m/>
    <m/>
  </r>
  <r>
    <x v="13"/>
    <x v="5"/>
    <s v="F:\Données chgh\2020-CHG-CZA-Saccharin-1\plaque 2/@13 Testo 30/F1_02.tif "/>
    <s v=" 14902.9974 "/>
    <s v=" 67.5617 "/>
    <x v="0"/>
    <n v="1006872"/>
    <m/>
    <m/>
  </r>
  <r>
    <x v="13"/>
    <x v="5"/>
    <s v="F:\Données chgh\2020-CHG-CZA-Saccharin-1\plaque 2/@13 Testo 30/F1_03.tif "/>
    <s v=" 17368.8054 "/>
    <s v=" 68.1669 "/>
    <x v="0"/>
    <n v="1183977"/>
    <m/>
    <m/>
  </r>
  <r>
    <x v="13"/>
    <x v="6"/>
    <s v="F:\Données chgh\2020-CHG-CZA-Saccharin-1\plaque 2/@13 Testo 30/G1_01.tif "/>
    <s v=" 31601.2761 "/>
    <s v=" 78.1075 "/>
    <x v="0"/>
    <n v="2468295"/>
    <m/>
    <m/>
  </r>
  <r>
    <x v="13"/>
    <x v="6"/>
    <s v="F:\Données chgh\2020-CHG-CZA-Saccharin-1\plaque 2/@13 Testo 30/G1_02.tif "/>
    <s v=" 34196.8634 "/>
    <s v=" 75.7356 "/>
    <x v="0"/>
    <n v="2589920"/>
    <m/>
    <m/>
  </r>
  <r>
    <x v="13"/>
    <x v="6"/>
    <s v="F:\Données chgh\2020-CHG-CZA-Saccharin-1\plaque 2/@13 Testo 30/G1_03.tif "/>
    <s v=" 29113.8382 "/>
    <s v=" 74.5639 "/>
    <x v="0"/>
    <n v="2170841"/>
    <m/>
    <m/>
  </r>
  <r>
    <x v="13"/>
    <x v="7"/>
    <s v="F:\Données chgh\2020-CHG-CZA-Saccharin-1\plaque 2/@13 Testo 30/H1_01.tif "/>
    <s v=" 27145.5178 "/>
    <s v=" 68.6773 "/>
    <x v="0"/>
    <n v="1864281"/>
    <m/>
    <m/>
  </r>
  <r>
    <x v="13"/>
    <x v="7"/>
    <s v="F:\Données chgh\2020-CHG-CZA-Saccharin-1\plaque 2/@13 Testo 30/H1_02.tif "/>
    <s v=" 24831.119 "/>
    <s v=" 69.6681 "/>
    <x v="0"/>
    <n v="1729937"/>
    <m/>
    <m/>
  </r>
  <r>
    <x v="13"/>
    <x v="7"/>
    <s v="F:\Données chgh\2020-CHG-CZA-Saccharin-1\plaque 2/@13 Testo 30/H1_03.tif "/>
    <s v=" 21651.5245 "/>
    <s v=" 67.4346 "/>
    <x v="0"/>
    <n v="1460061"/>
    <m/>
    <m/>
  </r>
  <r>
    <x v="1"/>
    <x v="8"/>
    <s v=" "/>
    <m/>
    <m/>
    <x v="1"/>
    <m/>
    <m/>
    <m/>
  </r>
  <r>
    <x v="1"/>
    <x v="8"/>
    <s v="group "/>
    <s v=" "/>
    <s v=" mean of mean fluo "/>
    <x v="2"/>
    <s v=" mean of total fluo "/>
    <s v=" SD total fluo "/>
    <s v=" n fluorescent "/>
  </r>
  <r>
    <x v="13"/>
    <x v="9"/>
    <s v="F:\Données chgh\2020-CHG-CZA-Saccharin-1\plaque 2/@13 Testo 30/ "/>
    <s v=" "/>
    <s v=" 70.7924 "/>
    <x v="15"/>
    <s v=" 1914825.12 "/>
    <s v=" 827450.69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Saccharin-1\plaque 2/@14 Testo 30/A2_01- exclu.tif"/>
    <m/>
    <m/>
    <x v="1"/>
    <m/>
    <m/>
    <m/>
  </r>
  <r>
    <x v="14"/>
    <x v="0"/>
    <s v="F:\Données chgh\2020-CHG-CZA-Saccharin-1\plaque 2/@14 Testo 30/A2_02.tif "/>
    <s v=" 6748.5271 "/>
    <s v=" 65.2436 "/>
    <x v="0"/>
    <n v="440298"/>
    <m/>
    <m/>
  </r>
  <r>
    <x v="14"/>
    <x v="0"/>
    <s v="F:\Données chgh\2020-CHG-CZA-Saccharin-1\plaque 2/@14 Testo 30/A2_03.tif "/>
    <s v=" 5904.9612 "/>
    <s v=" 66.6081 "/>
    <x v="0"/>
    <n v="393318"/>
    <m/>
    <m/>
  </r>
  <r>
    <x v="14"/>
    <x v="1"/>
    <s v="F:\Données chgh\2020-CHG-CZA-Saccharin-1\plaque 2/@14 Testo 30/B2_01.tif "/>
    <s v=" 28205.3826 "/>
    <s v=" 76.135 "/>
    <x v="0"/>
    <n v="2147416"/>
    <m/>
    <m/>
  </r>
  <r>
    <x v="14"/>
    <x v="1"/>
    <s v="F:\Données chgh\2020-CHG-CZA-Saccharin-1\plaque 2/@14 Testo 30/B2_02.tif "/>
    <s v=" 31644.5358 "/>
    <s v=" 76.6227 "/>
    <x v="0"/>
    <n v="2424690"/>
    <m/>
    <m/>
  </r>
  <r>
    <x v="14"/>
    <x v="1"/>
    <s v="F:\Données chgh\2020-CHG-CZA-Saccharin-1\plaque 2/@14 Testo 30/B2_03.tif "/>
    <s v=" 28746.13 "/>
    <s v=" 74.3454 "/>
    <x v="0"/>
    <n v="2137142"/>
    <m/>
    <m/>
  </r>
  <r>
    <x v="14"/>
    <x v="2"/>
    <s v="F:\Données chgh\2020-CHG-CZA-Saccharin-1\plaque 2/@14 Testo 30/C2_01.tif "/>
    <s v=" 46374.4941 "/>
    <s v=" 73.9021 "/>
    <x v="0"/>
    <n v="3427170"/>
    <m/>
    <m/>
  </r>
  <r>
    <x v="14"/>
    <x v="2"/>
    <s v="F:\Données chgh\2020-CHG-CZA-Saccharin-1\plaque 2/@14 Testo 30/C2_02.tif "/>
    <s v=" 42740.6718 "/>
    <s v=" 74.3406 "/>
    <x v="0"/>
    <n v="3177367"/>
    <m/>
    <m/>
  </r>
  <r>
    <x v="14"/>
    <x v="2"/>
    <s v="F:\Données chgh\2020-CHG-CZA-Saccharin-1\plaque 2/@14 Testo 30/C2_03.tif "/>
    <s v=" 44622.4726 "/>
    <s v=" 72.509 "/>
    <x v="0"/>
    <n v="3235529"/>
    <m/>
    <m/>
  </r>
  <r>
    <x v="14"/>
    <x v="3"/>
    <s v="F:\Données chgh\2020-CHG-CZA-Saccharin-1\plaque 2/@14 Testo 30/D2_01- exclu.tif"/>
    <m/>
    <m/>
    <x v="1"/>
    <m/>
    <m/>
    <m/>
  </r>
  <r>
    <x v="14"/>
    <x v="3"/>
    <s v="F:\Données chgh\2020-CHG-CZA-Saccharin-1\plaque 2/@14 Testo 30/D2_02.tif "/>
    <s v=" 31363.3472 "/>
    <s v=" 71.6979 "/>
    <x v="0"/>
    <n v="2248687"/>
    <m/>
    <m/>
  </r>
  <r>
    <x v="14"/>
    <x v="3"/>
    <s v="F:\Données chgh\2020-CHG-CZA-Saccharin-1\plaque 2/@14 Testo 30/D2_03.tif "/>
    <s v=" 29178.7279 "/>
    <s v=" 70.785 "/>
    <x v="0"/>
    <n v="2065417"/>
    <m/>
    <m/>
  </r>
  <r>
    <x v="14"/>
    <x v="4"/>
    <s v="F:\Données chgh\2020-CHG-CZA-Saccharin-1\plaque 2/@14 Testo 30/E2_01.tif "/>
    <s v=" 34694.351 "/>
    <s v=" 75.6172 "/>
    <x v="0"/>
    <n v="2623490"/>
    <m/>
    <m/>
  </r>
  <r>
    <x v="14"/>
    <x v="4"/>
    <s v="F:\Données chgh\2020-CHG-CZA-Saccharin-1\plaque 2/@14 Testo 30/E2_02.tif "/>
    <s v=" 27448.3363 "/>
    <s v=" 67.643 "/>
    <x v="0"/>
    <n v="1856689"/>
    <m/>
    <m/>
  </r>
  <r>
    <x v="14"/>
    <x v="4"/>
    <s v="F:\Données chgh\2020-CHG-CZA-Saccharin-1\plaque 2/@14 Testo 30/E2_03.tif "/>
    <s v=" 37895.5754 "/>
    <s v=" 77.2477 "/>
    <x v="0"/>
    <n v="2927347"/>
    <m/>
    <m/>
  </r>
  <r>
    <x v="14"/>
    <x v="5"/>
    <s v="F:\Données chgh\2020-CHG-CZA-Saccharin-1\plaque 2/@14 Testo 30/F2_01.tif "/>
    <s v=" 908.4556 "/>
    <s v=" 63.7619 "/>
    <x v="0"/>
    <n v="57925"/>
    <m/>
    <m/>
  </r>
  <r>
    <x v="14"/>
    <x v="5"/>
    <s v="F:\Données chgh\2020-CHG-CZA-Saccharin-1\plaque 2/@14 Testo 30/F2_02.tif "/>
    <s v=" 1946.6905 "/>
    <s v=" 64.3556 "/>
    <x v="0"/>
    <n v="125280"/>
    <m/>
    <m/>
  </r>
  <r>
    <x v="14"/>
    <x v="5"/>
    <s v="F:\Données chgh\2020-CHG-CZA-Saccharin-1\plaque 2/@14 Testo 30/F2_03.tif "/>
    <s v=" 1470.8328 "/>
    <s v=" 63.2353 "/>
    <x v="0"/>
    <n v="93009"/>
    <m/>
    <m/>
  </r>
  <r>
    <x v="14"/>
    <x v="6"/>
    <s v="F:\Données chgh\2020-CHG-CZA-Saccharin-1\plaque 2/@14 Testo 30/G2_01.tif "/>
    <s v=" 30390.002 "/>
    <s v=" 67.0868 "/>
    <x v="0"/>
    <n v="2038769"/>
    <m/>
    <m/>
  </r>
  <r>
    <x v="14"/>
    <x v="6"/>
    <s v="F:\Données chgh\2020-CHG-CZA-Saccharin-1\plaque 2/@14 Testo 30/G2_02.tif "/>
    <s v=" 25696.3148 "/>
    <s v=" 65.9167 "/>
    <x v="0"/>
    <n v="1693815"/>
    <m/>
    <m/>
  </r>
  <r>
    <x v="14"/>
    <x v="6"/>
    <s v="F:\Données chgh\2020-CHG-CZA-Saccharin-1\plaque 2/@14 Testo 30/G2_03.tif "/>
    <s v=" 30325.1123 "/>
    <s v=" 67.3894 "/>
    <x v="0"/>
    <n v="2043592"/>
    <m/>
    <m/>
  </r>
  <r>
    <x v="14"/>
    <x v="7"/>
    <s v="F:\Données chgh\2020-CHG-CZA-Saccharin-1\plaque 2/@14 Testo 30/H2_01- exclu.tif"/>
    <m/>
    <m/>
    <x v="1"/>
    <m/>
    <m/>
    <m/>
  </r>
  <r>
    <x v="14"/>
    <x v="7"/>
    <s v="F:\Données chgh\2020-CHG-CZA-Saccharin-1\plaque 2/@14 Testo 30/H2_02- exclu.tif"/>
    <m/>
    <m/>
    <x v="1"/>
    <m/>
    <m/>
    <m/>
  </r>
  <r>
    <x v="14"/>
    <x v="7"/>
    <s v="F:\Données chgh\2020-CHG-CZA-Saccharin-1\plaque 2/@14 Testo 30/H2_03.tif "/>
    <s v=" 10187.6804 "/>
    <s v=" 68.9427 "/>
    <x v="0"/>
    <n v="702366"/>
    <m/>
    <m/>
  </r>
  <r>
    <x v="1"/>
    <x v="8"/>
    <s v=" "/>
    <m/>
    <m/>
    <x v="1"/>
    <m/>
    <m/>
    <m/>
  </r>
  <r>
    <x v="1"/>
    <x v="8"/>
    <s v="group "/>
    <s v=" "/>
    <s v=" mean of mean fluo "/>
    <x v="2"/>
    <s v=" mean of total fluo "/>
    <s v=" SD total fluo "/>
    <s v=" n fluorescent "/>
  </r>
  <r>
    <x v="14"/>
    <x v="9"/>
    <s v="F:\Données chgh\2020-CHG-CZA-Saccharin-1\plaque 2/@14 Testo 30/ "/>
    <s v=" "/>
    <s v=" 69.3643 "/>
    <x v="16"/>
    <s v=" 1555321.04 "/>
    <s v=" 1159291.1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Saccharin-1\plaque 2/@15 Testo + EE2/A3_01.tif "/>
    <s v=" 48299.5547 "/>
    <s v=" 76.7138 "/>
    <x v="0"/>
    <n v="3705244"/>
    <m/>
    <m/>
  </r>
  <r>
    <x v="15"/>
    <x v="0"/>
    <s v="F:\Données chgh\2020-CHG-CZA-Saccharin-1\plaque 2/@15 Testo + EE2/A3_02.tif "/>
    <s v=" 45055.0705 "/>
    <s v=" 75.3673 "/>
    <x v="0"/>
    <n v="3395677"/>
    <m/>
    <m/>
  </r>
  <r>
    <x v="15"/>
    <x v="0"/>
    <s v="F:\Données chgh\2020-CHG-CZA-Saccharin-1\plaque 2/@15 Testo + EE2/A3_03.tif "/>
    <s v=" 47174.8002 "/>
    <s v=" 77.1403 "/>
    <x v="0"/>
    <n v="3639078"/>
    <m/>
    <m/>
  </r>
  <r>
    <x v="15"/>
    <x v="1"/>
    <s v="F:\Données chgh\2020-CHG-CZA-Saccharin-1\plaque 2/@15 Testo + EE2/B3_01.tif "/>
    <s v=" 57665.2991 "/>
    <s v=" 87.0484 "/>
    <x v="0"/>
    <n v="5019671"/>
    <m/>
    <m/>
  </r>
  <r>
    <x v="15"/>
    <x v="1"/>
    <s v="F:\Données chgh\2020-CHG-CZA-Saccharin-1\plaque 2/@15 Testo + EE2/B3_02.tif "/>
    <s v=" 53014.8717 "/>
    <s v=" 85.9221 "/>
    <x v="0"/>
    <n v="4555148"/>
    <m/>
    <m/>
  </r>
  <r>
    <x v="15"/>
    <x v="1"/>
    <s v="F:\Données chgh\2020-CHG-CZA-Saccharin-1\plaque 2/@15 Testo + EE2/B3_03.tif "/>
    <s v=" 51349.3698 "/>
    <s v=" 88.1639 "/>
    <x v="0"/>
    <n v="4527159"/>
    <m/>
    <m/>
  </r>
  <r>
    <x v="15"/>
    <x v="2"/>
    <s v="F:\Données chgh\2020-CHG-CZA-Saccharin-1\plaque 2/@15 Testo + EE2/C3_01- exclu.tif"/>
    <m/>
    <m/>
    <x v="1"/>
    <m/>
    <m/>
    <m/>
  </r>
  <r>
    <x v="15"/>
    <x v="2"/>
    <s v="F:\Données chgh\2020-CHG-CZA-Saccharin-1\plaque 2/@15 Testo + EE2/C3_02.tif "/>
    <s v=" 29092.2083 "/>
    <s v=" 73.3948 "/>
    <x v="0"/>
    <n v="2135217"/>
    <m/>
    <m/>
  </r>
  <r>
    <x v="15"/>
    <x v="2"/>
    <s v="F:\Données chgh\2020-CHG-CZA-Saccharin-1\plaque 2/@15 Testo + EE2/C3_03.tif "/>
    <s v=" 26539.8807 "/>
    <s v=" 68.8745 "/>
    <x v="0"/>
    <n v="1827921"/>
    <m/>
    <m/>
  </r>
  <r>
    <x v="15"/>
    <x v="3"/>
    <s v="F:\Données chgh\2020-CHG-CZA-Saccharin-1\plaque 2/@15 Testo + EE2/D3_01.tif "/>
    <s v=" 35278.3581 "/>
    <s v=" 71.0846 "/>
    <x v="0"/>
    <n v="2507748"/>
    <m/>
    <m/>
  </r>
  <r>
    <x v="15"/>
    <x v="3"/>
    <s v="F:\Données chgh\2020-CHG-CZA-Saccharin-1\plaque 2/@15 Testo + EE2/D3_02.tif "/>
    <s v=" 45595.8179 "/>
    <s v=" 76.1129 "/>
    <x v="0"/>
    <n v="3470430"/>
    <m/>
    <m/>
  </r>
  <r>
    <x v="15"/>
    <x v="3"/>
    <s v="F:\Données chgh\2020-CHG-CZA-Saccharin-1\plaque 2/@15 Testo + EE2/D3_03.tif "/>
    <s v=" 44319.6541 "/>
    <s v=" 73.6144 "/>
    <x v="0"/>
    <n v="3262567"/>
    <m/>
    <m/>
  </r>
  <r>
    <x v="15"/>
    <x v="4"/>
    <s v="F:\Données chgh\2020-CHG-CZA-Saccharin-1\plaque 2/@15 Testo + EE2/E3_01.tif "/>
    <s v=" 63786.5593 "/>
    <s v=" 78.1913 "/>
    <x v="0"/>
    <n v="4987551"/>
    <m/>
    <m/>
  </r>
  <r>
    <x v="15"/>
    <x v="4"/>
    <s v="F:\Données chgh\2020-CHG-CZA-Saccharin-1\plaque 2/@15 Testo + EE2/E3_02.tif "/>
    <s v=" 60909.7833 "/>
    <s v=" 73.9862 "/>
    <x v="0"/>
    <n v="4506480"/>
    <m/>
    <m/>
  </r>
  <r>
    <x v="15"/>
    <x v="4"/>
    <s v="F:\Données chgh\2020-CHG-CZA-Saccharin-1\plaque 2/@15 Testo + EE2/E3_03.tif "/>
    <s v=" 65625.1003 "/>
    <s v=" 78.6737 "/>
    <x v="0"/>
    <n v="5162969"/>
    <m/>
    <m/>
  </r>
  <r>
    <x v="15"/>
    <x v="5"/>
    <s v="F:\Données chgh\2020-CHG-CZA-Saccharin-1\plaque 2/@15 Testo + EE2/F3_01.tif "/>
    <s v=" 41875.476 "/>
    <s v=" 73.2598 "/>
    <x v="0"/>
    <n v="3067790"/>
    <m/>
    <m/>
  </r>
  <r>
    <x v="15"/>
    <x v="5"/>
    <s v="F:\Données chgh\2020-CHG-CZA-Saccharin-1\plaque 2/@15 Testo + EE2/F3_02.tif "/>
    <s v=" 44535.953 "/>
    <s v=" 74.7348 "/>
    <x v="0"/>
    <n v="3328387"/>
    <m/>
    <m/>
  </r>
  <r>
    <x v="15"/>
    <x v="5"/>
    <s v="F:\Données chgh\2020-CHG-CZA-Saccharin-1\plaque 2/@15 Testo + EE2/F3_03.tif "/>
    <s v=" 41118.4297 "/>
    <s v=" 74.7154 "/>
    <x v="0"/>
    <n v="3072180"/>
    <m/>
    <m/>
  </r>
  <r>
    <x v="15"/>
    <x v="6"/>
    <s v="F:\Données chgh\2020-CHG-CZA-Saccharin-1\plaque 2/@15 Testo + EE2/G3_01.tif "/>
    <s v=" 64673.3849 "/>
    <s v=" 83.3151 "/>
    <x v="0"/>
    <n v="5388266"/>
    <m/>
    <m/>
  </r>
  <r>
    <x v="15"/>
    <x v="6"/>
    <s v="F:\Données chgh\2020-CHG-CZA-Saccharin-1\plaque 2/@15 Testo + EE2/G3_02.tif "/>
    <s v=" 62358.9862 "/>
    <s v=" 83.1655 "/>
    <x v="0"/>
    <n v="5186113"/>
    <m/>
    <m/>
  </r>
  <r>
    <x v="15"/>
    <x v="6"/>
    <s v="F:\Données chgh\2020-CHG-CZA-Saccharin-1\plaque 2/@15 Testo + EE2/G3_03.tif "/>
    <s v=" 59720.1391 "/>
    <s v=" 84.2445 "/>
    <x v="0"/>
    <n v="5031092"/>
    <m/>
    <m/>
  </r>
  <r>
    <x v="15"/>
    <x v="7"/>
    <s v="F:\Données chgh\2020-CHG-CZA-Saccharin-1\plaque 2/@15 Testo + EE2/H3_01.tif "/>
    <s v=" 41204.9493 "/>
    <s v=" 74.8903 "/>
    <x v="0"/>
    <n v="3085851"/>
    <m/>
    <m/>
  </r>
  <r>
    <x v="15"/>
    <x v="7"/>
    <s v="F:\Données chgh\2020-CHG-CZA-Saccharin-1\plaque 2/@15 Testo + EE2/H3_02.tif "/>
    <s v=" 32963.9594 "/>
    <s v=" 72.7631 "/>
    <x v="0"/>
    <n v="2398561"/>
    <m/>
    <m/>
  </r>
  <r>
    <x v="15"/>
    <x v="7"/>
    <s v="F:\Données chgh\2020-CHG-CZA-Saccharin-1\plaque 2/@15 Testo + EE2/H3_03.tif "/>
    <s v=" 37203.4188 "/>
    <s v=" 73.825 "/>
    <x v="0"/>
    <n v="2746542"/>
    <m/>
    <m/>
  </r>
  <r>
    <x v="1"/>
    <x v="8"/>
    <s v=" "/>
    <m/>
    <m/>
    <x v="1"/>
    <m/>
    <m/>
    <m/>
  </r>
  <r>
    <x v="1"/>
    <x v="8"/>
    <s v="group "/>
    <s v=" "/>
    <s v=" mean of mean fluo "/>
    <x v="2"/>
    <s v=" mean of total fluo "/>
    <s v=" SD total fluo "/>
    <s v=" n fluorescent "/>
  </r>
  <r>
    <x v="15"/>
    <x v="9"/>
    <s v="F:\Données chgh\2020-CHG-CZA-Saccharin-1\plaque 2/@15 Testo + EE2/ "/>
    <s v=" "/>
    <s v=" 77.5333 "/>
    <x v="17"/>
    <s v=" 3641674.83 "/>
    <s v=" 1166670.4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Saccharin-1\plaque 2/@16 Testo + FAD/A4_01.tif "/>
    <s v=" 930.0855 "/>
    <s v=" 62.5814 "/>
    <x v="0"/>
    <n v="58206"/>
    <m/>
    <m/>
  </r>
  <r>
    <x v="16"/>
    <x v="0"/>
    <s v="F:\Données chgh\2020-CHG-CZA-Saccharin-1\plaque 2/@16 Testo + FAD/A4_02.tif "/>
    <s v=" 540.7474 "/>
    <s v=" 62.28 "/>
    <x v="0"/>
    <n v="33678"/>
    <m/>
    <m/>
  </r>
  <r>
    <x v="16"/>
    <x v="0"/>
    <s v="F:\Données chgh\2020-CHG-CZA-Saccharin-1\plaque 2/@16 Testo + FAD/A4_03.tif "/>
    <s v=" 324.4484 "/>
    <s v=" 63.4 "/>
    <x v="0"/>
    <n v="20570"/>
    <m/>
    <m/>
  </r>
  <r>
    <x v="16"/>
    <x v="1"/>
    <s v="F:\Données chgh\2020-CHG-CZA-Saccharin-1\plaque 2/@16 Testo + FAD/B4_01.tif "/>
    <s v=" 1946.6905 "/>
    <s v=" 64.0889 "/>
    <x v="0"/>
    <n v="124761"/>
    <m/>
    <m/>
  </r>
  <r>
    <x v="16"/>
    <x v="1"/>
    <s v="F:\Données chgh\2020-CHG-CZA-Saccharin-1\plaque 2/@16 Testo + FAD/B4_02.tif "/>
    <s v=" 497.4876 "/>
    <s v=" 62.1304 "/>
    <x v="0"/>
    <n v="30909"/>
    <m/>
    <m/>
  </r>
  <r>
    <x v="16"/>
    <x v="1"/>
    <s v="F:\Données chgh\2020-CHG-CZA-Saccharin-1\plaque 2/@16 Testo + FAD/B4_03.tif "/>
    <s v=" 173.0392 "/>
    <s v=" 64.25 "/>
    <x v="0"/>
    <n v="11118"/>
    <m/>
    <m/>
  </r>
  <r>
    <x v="16"/>
    <x v="2"/>
    <s v="F:\Données chgh\2020-CHG-CZA-Saccharin-1\plaque 2/@16 Testo + FAD/C4_01.tif "/>
    <s v=" 2920.0358 "/>
    <s v=" 65.3111 "/>
    <x v="0"/>
    <n v="190711"/>
    <m/>
    <m/>
  </r>
  <r>
    <x v="16"/>
    <x v="2"/>
    <s v="F:\Données chgh\2020-CHG-CZA-Saccharin-1\plaque 2/@16 Testo + FAD/C4_02.tif "/>
    <s v=" 1124.7545 "/>
    <s v=" 64.4808 "/>
    <x v="0"/>
    <n v="72525"/>
    <m/>
    <m/>
  </r>
  <r>
    <x v="16"/>
    <x v="2"/>
    <s v="F:\Données chgh\2020-CHG-CZA-Saccharin-1\plaque 2/@16 Testo + FAD/C4_03.tif "/>
    <s v=" 454.2278 "/>
    <s v=" 64.0952 "/>
    <x v="0"/>
    <n v="29114"/>
    <m/>
    <m/>
  </r>
  <r>
    <x v="16"/>
    <x v="3"/>
    <s v="F:\Données chgh\2020-CHG-CZA-Saccharin-1\plaque 2/@16 Testo + FAD/D4_01.tif "/>
    <s v=" 5775.1819 "/>
    <s v=" 71.1049 "/>
    <x v="0"/>
    <n v="410644"/>
    <m/>
    <m/>
  </r>
  <r>
    <x v="16"/>
    <x v="3"/>
    <s v="F:\Données chgh\2020-CHG-CZA-Saccharin-1\plaque 2/@16 Testo + FAD/D4_02.tif "/>
    <s v=" 1492.4627 "/>
    <s v=" 64.029 "/>
    <x v="0"/>
    <n v="95561"/>
    <m/>
    <m/>
  </r>
  <r>
    <x v="16"/>
    <x v="3"/>
    <s v="F:\Données chgh\2020-CHG-CZA-Saccharin-1\plaque 2/@16 Testo + FAD/D4_03.tif "/>
    <s v=" 2595.5874 "/>
    <s v=" 64.0667 "/>
    <x v="0"/>
    <n v="166291"/>
    <m/>
    <m/>
  </r>
  <r>
    <x v="16"/>
    <x v="4"/>
    <s v="F:\Données chgh\2020-CHG-CZA-Saccharin-1\plaque 2/@16 Testo + FAD/E4_01.tif "/>
    <s v=" 8197.7301 "/>
    <s v=" 70.0053 "/>
    <x v="0"/>
    <n v="573884"/>
    <m/>
    <m/>
  </r>
  <r>
    <x v="16"/>
    <x v="4"/>
    <s v="F:\Données chgh\2020-CHG-CZA-Saccharin-1\plaque 2/@16 Testo + FAD/E4_02.tif "/>
    <s v=" 7721.8724 "/>
    <s v=" 68.4398 "/>
    <x v="0"/>
    <n v="528483"/>
    <m/>
    <m/>
  </r>
  <r>
    <x v="16"/>
    <x v="4"/>
    <s v="F:\Données chgh\2020-CHG-CZA-Saccharin-1\plaque 2/@16 Testo + FAD/E4_03.tif "/>
    <s v=" 1081.4947 "/>
    <s v=" 64.08 "/>
    <x v="0"/>
    <n v="69302"/>
    <m/>
    <m/>
  </r>
  <r>
    <x v="16"/>
    <x v="5"/>
    <s v="F:\Données chgh\2020-CHG-CZA-Saccharin-1\plaque 2/@16 Testo + FAD/F4_01- exclu.tif"/>
    <m/>
    <m/>
    <x v="1"/>
    <m/>
    <m/>
    <m/>
  </r>
  <r>
    <x v="16"/>
    <x v="5"/>
    <s v="F:\Données chgh\2020-CHG-CZA-Saccharin-1\plaque 2/@16 Testo + FAD/F4_02.tif "/>
    <s v=" 4607.1676 "/>
    <s v=" 66.554 "/>
    <x v="0"/>
    <n v="306625"/>
    <m/>
    <m/>
  </r>
  <r>
    <x v="16"/>
    <x v="5"/>
    <s v="F:\Données chgh\2020-CHG-CZA-Saccharin-1\plaque 2/@16 Testo + FAD/F4_03.tif "/>
    <s v=" 3763.6017 "/>
    <s v=" 65.9023 "/>
    <x v="0"/>
    <n v="248030"/>
    <m/>
    <m/>
  </r>
  <r>
    <x v="16"/>
    <x v="6"/>
    <s v="F:\Données chgh\2020-CHG-CZA-Saccharin-1\plaque 2/@16 Testo + FAD/G4_01.tif "/>
    <s v=" 4023.1604 "/>
    <s v=" 64.6183 "/>
    <x v="0"/>
    <n v="259970"/>
    <m/>
    <m/>
  </r>
  <r>
    <x v="16"/>
    <x v="6"/>
    <s v="F:\Données chgh\2020-CHG-CZA-Saccharin-1\plaque 2/@16 Testo + FAD/G4_02.tif "/>
    <s v=" 994.9752 "/>
    <s v=" 62.8913 "/>
    <x v="0"/>
    <n v="62575"/>
    <m/>
    <m/>
  </r>
  <r>
    <x v="16"/>
    <x v="6"/>
    <s v="F:\Données chgh\2020-CHG-CZA-Saccharin-1\plaque 2/@16 Testo + FAD/G4_03.tif "/>
    <s v=" 865.1958 "/>
    <s v=" 62.2 "/>
    <x v="0"/>
    <n v="53815"/>
    <m/>
    <m/>
  </r>
  <r>
    <x v="16"/>
    <x v="7"/>
    <s v="F:\Données chgh\2020-CHG-CZA-Saccharin-1\plaque 2/@16 Testo + FAD/H4_01.tif "/>
    <s v=" 4455.7583 "/>
    <s v=" 65.6019 "/>
    <x v="0"/>
    <n v="292306"/>
    <m/>
    <m/>
  </r>
  <r>
    <x v="16"/>
    <x v="7"/>
    <s v="F:\Données chgh\2020-CHG-CZA-Saccharin-1\plaque 2/@16 Testo + FAD/H4_02- exclu.tif"/>
    <m/>
    <m/>
    <x v="1"/>
    <m/>
    <m/>
    <m/>
  </r>
  <r>
    <x v="16"/>
    <x v="7"/>
    <s v="F:\Données chgh\2020-CHG-CZA-Saccharin-1\plaque 2/@16 Testo + FAD/H4_03- exclu.tif"/>
    <m/>
    <m/>
    <x v="1"/>
    <m/>
    <m/>
    <m/>
  </r>
  <r>
    <x v="1"/>
    <x v="8"/>
    <s v=" "/>
    <m/>
    <m/>
    <x v="1"/>
    <m/>
    <m/>
    <m/>
  </r>
  <r>
    <x v="1"/>
    <x v="8"/>
    <s v="group "/>
    <s v=" "/>
    <s v=" mean of mean fluo "/>
    <x v="2"/>
    <s v=" mean of total fluo "/>
    <s v=" SD total fluo "/>
    <s v=" n fluorescent "/>
  </r>
  <r>
    <x v="16"/>
    <x v="9"/>
    <s v="F:\Données chgh\2020-CHG-CZA-Saccharin-1\plaque 2/@16 Testo + FAD/ "/>
    <s v=" "/>
    <s v=" 65.3338 "/>
    <x v="18"/>
    <s v=" 188393.667 "/>
    <s v=" 190018.74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Saccharin-1\plaque 2/@17 Testo +  Saccharin 0,01/A5_01.tif "/>
    <s v=" 26907.5889 "/>
    <s v=" 69.6961 "/>
    <x v="0"/>
    <n v="1875355"/>
    <m/>
    <m/>
  </r>
  <r>
    <x v="17"/>
    <x v="0"/>
    <s v="F:\Données chgh\2020-CHG-CZA-Saccharin-1\plaque 2/@17 Testo +  Saccharin 0,01/A5_02.tif "/>
    <s v=" 19423.6454 "/>
    <s v=" 68.6481 "/>
    <x v="0"/>
    <n v="1333396"/>
    <m/>
    <m/>
  </r>
  <r>
    <x v="17"/>
    <x v="0"/>
    <s v="F:\Données chgh\2020-CHG-CZA-Saccharin-1\plaque 2/@17 Testo +  Saccharin 0,01/A5_03.tif "/>
    <s v=" 5969.8509 "/>
    <s v=" 63.4275 "/>
    <x v="0"/>
    <n v="378653"/>
    <m/>
    <m/>
  </r>
  <r>
    <x v="17"/>
    <x v="1"/>
    <s v="F:\Données chgh\2020-CHG-CZA-Saccharin-1\plaque 2/@17 Testo +  Saccharin 0,01/B5_01- exclu.tif"/>
    <m/>
    <m/>
    <x v="1"/>
    <m/>
    <m/>
    <m/>
  </r>
  <r>
    <x v="17"/>
    <x v="1"/>
    <s v="F:\Données chgh\2020-CHG-CZA-Saccharin-1\plaque 2/@17 Testo +  Saccharin 0,01/B5_02.tif "/>
    <s v=" 37982.095 "/>
    <s v=" 69.7244 "/>
    <x v="0"/>
    <n v="2648278"/>
    <m/>
    <m/>
  </r>
  <r>
    <x v="17"/>
    <x v="1"/>
    <s v="F:\Données chgh\2020-CHG-CZA-Saccharin-1\plaque 2/@17 Testo +  Saccharin 0,01/B5_03.tif "/>
    <s v=" 35992.1447 "/>
    <s v=" 71.89 "/>
    <x v="0"/>
    <n v="2587476"/>
    <m/>
    <m/>
  </r>
  <r>
    <x v="17"/>
    <x v="2"/>
    <s v="F:\Données chgh\2020-CHG-CZA-Saccharin-1\plaque 2/@17 Testo +  Saccharin 0,01/C5_01- exclu.tif"/>
    <m/>
    <m/>
    <x v="1"/>
    <m/>
    <m/>
    <m/>
  </r>
  <r>
    <x v="17"/>
    <x v="2"/>
    <s v="F:\Données chgh\2020-CHG-CZA-Saccharin-1\plaque 2/@17 Testo +  Saccharin 0,01/C5_02.tif "/>
    <s v=" 26777.8096 "/>
    <s v=" 70.92 "/>
    <x v="0"/>
    <n v="1899083"/>
    <m/>
    <m/>
  </r>
  <r>
    <x v="17"/>
    <x v="2"/>
    <s v="F:\Données chgh\2020-CHG-CZA-Saccharin-1\plaque 2/@17 Testo +  Saccharin 0,01/C5_03.tif "/>
    <s v=" 27491.5961 "/>
    <s v=" 71.8867 "/>
    <x v="0"/>
    <n v="1976280"/>
    <m/>
    <m/>
  </r>
  <r>
    <x v="17"/>
    <x v="3"/>
    <s v="F:\Données chgh\2020-CHG-CZA-Saccharin-1\plaque 2/@17 Testo +  Saccharin 0,01/D5_01.tif "/>
    <s v=" 2314.3987 "/>
    <s v=" 62.5421 "/>
    <x v="0"/>
    <n v="144747"/>
    <m/>
    <m/>
  </r>
  <r>
    <x v="17"/>
    <x v="3"/>
    <s v="F:\Données chgh\2020-CHG-CZA-Saccharin-1\plaque 2/@17 Testo +  Saccharin 0,01/D5_02.tif "/>
    <s v=" 1384.3133 "/>
    <s v=" 62.3125 "/>
    <x v="0"/>
    <n v="86260"/>
    <m/>
    <m/>
  </r>
  <r>
    <x v="17"/>
    <x v="3"/>
    <s v="F:\Données chgh\2020-CHG-CZA-Saccharin-1\plaque 2/@17 Testo +  Saccharin 0,01/D5_03.tif "/>
    <s v=" 3395.8935 "/>
    <s v=" 63.3949 "/>
    <x v="0"/>
    <n v="215282"/>
    <m/>
    <m/>
  </r>
  <r>
    <x v="17"/>
    <x v="4"/>
    <s v="F:\Données chgh\2020-CHG-CZA-Saccharin-1\plaque 2/@17 Testo +  Saccharin 0,01/E5_01.tif "/>
    <s v=" 31925.7245 "/>
    <s v=" 70.4804 "/>
    <x v="0"/>
    <n v="2250136"/>
    <m/>
    <m/>
  </r>
  <r>
    <x v="17"/>
    <x v="4"/>
    <s v="F:\Données chgh\2020-CHG-CZA-Saccharin-1\plaque 2/@17 Testo +  Saccharin 0,01/E5_02.tif "/>
    <s v=" 30260.2226 "/>
    <s v=" 70.7391 "/>
    <x v="0"/>
    <n v="2140581"/>
    <m/>
    <m/>
  </r>
  <r>
    <x v="17"/>
    <x v="4"/>
    <s v="F:\Données chgh\2020-CHG-CZA-Saccharin-1\plaque 2/@17 Testo +  Saccharin 0,01/E5_03.tif "/>
    <s v=" 32206.9131 "/>
    <s v=" 70.4822 "/>
    <x v="0"/>
    <n v="2270014"/>
    <m/>
    <m/>
  </r>
  <r>
    <x v="17"/>
    <x v="5"/>
    <s v="F:\Données chgh\2020-CHG-CZA-Saccharin-1\plaque 2/@17 Testo +  Saccharin 0,01/F5_01.tif "/>
    <s v=" 41421.2482 "/>
    <s v=" 71.0846 "/>
    <x v="0"/>
    <n v="2944413"/>
    <m/>
    <m/>
  </r>
  <r>
    <x v="17"/>
    <x v="5"/>
    <s v="F:\Données chgh\2020-CHG-CZA-Saccharin-1\plaque 2/@17 Testo +  Saccharin 0,01/F5_02.tif "/>
    <s v=" 36576.1518 "/>
    <s v=" 70.1053 "/>
    <x v="0"/>
    <n v="2564181"/>
    <m/>
    <m/>
  </r>
  <r>
    <x v="17"/>
    <x v="5"/>
    <s v="F:\Données chgh\2020-CHG-CZA-Saccharin-1\plaque 2/@17 Testo +  Saccharin 0,01/F5_03.tif "/>
    <s v=" 32747.6605 "/>
    <s v=" 69.4577 "/>
    <x v="0"/>
    <n v="2274578"/>
    <m/>
    <m/>
  </r>
  <r>
    <x v="17"/>
    <x v="6"/>
    <s v="F:\Données chgh\2020-CHG-CZA-Saccharin-1\plaque 2/@17 Testo +  Saccharin 0,01/G5_01.tif "/>
    <s v=" 10771.6875 "/>
    <s v=" 67.7269 "/>
    <x v="0"/>
    <n v="729533"/>
    <m/>
    <m/>
  </r>
  <r>
    <x v="17"/>
    <x v="6"/>
    <s v="F:\Données chgh\2020-CHG-CZA-Saccharin-1\plaque 2/@17 Testo +  Saccharin 0,01/G5_02.tif "/>
    <s v=" 6013.1107 "/>
    <s v=" 66.6331 "/>
    <x v="0"/>
    <n v="400672"/>
    <m/>
    <m/>
  </r>
  <r>
    <x v="17"/>
    <x v="6"/>
    <s v="F:\Données chgh\2020-CHG-CZA-Saccharin-1\plaque 2/@17 Testo +  Saccharin 0,01/G5_03.tif "/>
    <s v=" 10533.7587 "/>
    <s v=" 68.3614 "/>
    <x v="0"/>
    <n v="720102"/>
    <m/>
    <m/>
  </r>
  <r>
    <x v="17"/>
    <x v="7"/>
    <s v="F:\Données chgh\2020-CHG-CZA-Saccharin-1\plaque 2/@17 Testo +  Saccharin 0,01/H5_01.tif "/>
    <s v=" 36619.4116 "/>
    <s v=" 70.0041 "/>
    <x v="0"/>
    <n v="2563510"/>
    <m/>
    <m/>
  </r>
  <r>
    <x v="17"/>
    <x v="7"/>
    <s v="F:\Données chgh\2020-CHG-CZA-Saccharin-1\plaque 2/@17 Testo +  Saccharin 0,01/H5_02.tif "/>
    <s v=" 33158.6285 "/>
    <s v=" 74.4684 "/>
    <x v="0"/>
    <n v="2469269"/>
    <m/>
    <m/>
  </r>
  <r>
    <x v="17"/>
    <x v="7"/>
    <s v="F:\Données chgh\2020-CHG-CZA-Saccharin-1\plaque 2/@17 Testo +  Saccharin 0,01/H5_03.tif "/>
    <s v=" 38479.5825 "/>
    <s v=" 73.2805 "/>
    <x v="0"/>
    <n v="2819803"/>
    <m/>
    <m/>
  </r>
  <r>
    <x v="1"/>
    <x v="8"/>
    <s v=" "/>
    <m/>
    <m/>
    <x v="1"/>
    <m/>
    <m/>
    <m/>
  </r>
  <r>
    <x v="1"/>
    <x v="8"/>
    <s v="group "/>
    <s v=" "/>
    <s v=" mean of mean fluo "/>
    <x v="2"/>
    <s v=" mean of total fluo "/>
    <s v=" SD total fluo "/>
    <s v=" n fluorescent "/>
  </r>
  <r>
    <x v="17"/>
    <x v="9"/>
    <s v="F:\Données chgh\2020-CHG-CZA-Saccharin-1\plaque 2/@17 Testo +  Saccharin 0,01/ "/>
    <s v=" "/>
    <s v=" 69.5 "/>
    <x v="19"/>
    <s v=" 1827733.21 "/>
    <s v=" 1111652.4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Saccharin-1\plaque 2/@18  Testo +  Saccharin 0,1/A6_01.tif "/>
    <s v=" 43411.1985 "/>
    <s v=" 72.7544 "/>
    <x v="0"/>
    <n v="3158354"/>
    <m/>
    <m/>
  </r>
  <r>
    <x v="18"/>
    <x v="0"/>
    <s v="F:\Données chgh\2020-CHG-CZA-Saccharin-1\plaque 2/@18  Testo +  Saccharin 0,1/A6_02.tif "/>
    <s v=" 36165.1838 "/>
    <s v=" 74.8206 "/>
    <x v="0"/>
    <n v="2705900"/>
    <m/>
    <m/>
  </r>
  <r>
    <x v="18"/>
    <x v="0"/>
    <s v="F:\Données chgh\2020-CHG-CZA-Saccharin-1\plaque 2/@18  Testo +  Saccharin 0,1/A6_03.tif "/>
    <s v=" 40123.4545 "/>
    <s v=" 70.627 "/>
    <x v="0"/>
    <n v="2833797"/>
    <m/>
    <m/>
  </r>
  <r>
    <x v="18"/>
    <x v="1"/>
    <s v="F:\Données chgh\2020-CHG-CZA-Saccharin-1\plaque 2/@18  Testo +  Saccharin 0,1/B6_01.tif "/>
    <s v=" 7635.3528 "/>
    <s v=" 67.3399 "/>
    <x v="0"/>
    <n v="514164"/>
    <m/>
    <m/>
  </r>
  <r>
    <x v="18"/>
    <x v="1"/>
    <s v="F:\Données chgh\2020-CHG-CZA-Saccharin-1\plaque 2/@18  Testo +  Saccharin 0,1/B6_02- exclu.tif"/>
    <m/>
    <m/>
    <x v="1"/>
    <m/>
    <m/>
    <m/>
  </r>
  <r>
    <x v="18"/>
    <x v="1"/>
    <s v="F:\Données chgh\2020-CHG-CZA-Saccharin-1\plaque 2/@18  Testo +  Saccharin 0,1/B6_03.tif "/>
    <s v=" 6791.7869 "/>
    <s v=" 65.8631 "/>
    <x v="0"/>
    <n v="447328"/>
    <m/>
    <m/>
  </r>
  <r>
    <x v="18"/>
    <x v="2"/>
    <s v="F:\Données chgh\2020-CHG-CZA-Saccharin-1\plaque 2/@18  Testo +  Saccharin 0,1/C6_01.tif "/>
    <s v=" 6078.0004 "/>
    <s v=" 65.1495 "/>
    <x v="0"/>
    <n v="395978"/>
    <m/>
    <m/>
  </r>
  <r>
    <x v="18"/>
    <x v="2"/>
    <s v="F:\Données chgh\2020-CHG-CZA-Saccharin-1\plaque 2/@18  Testo +  Saccharin 0,1/C6_02.tif "/>
    <s v=" 692.1566 "/>
    <s v=" 62.8438 "/>
    <x v="0"/>
    <n v="43498"/>
    <m/>
    <m/>
  </r>
  <r>
    <x v="18"/>
    <x v="2"/>
    <s v="F:\Données chgh\2020-CHG-CZA-Saccharin-1\plaque 2/@18  Testo +  Saccharin 0,1/C6_03.tif "/>
    <s v=" 3114.7048 "/>
    <s v=" 63.8889 "/>
    <x v="0"/>
    <n v="198995"/>
    <m/>
    <m/>
  </r>
  <r>
    <x v="18"/>
    <x v="3"/>
    <s v="F:\Données chgh\2020-CHG-CZA-Saccharin-1\plaque 2/@18  Testo +  Saccharin 0,1/D6_01.tif "/>
    <s v=" 26885.959 "/>
    <s v=" 68.0965 "/>
    <x v="0"/>
    <n v="1830841"/>
    <m/>
    <m/>
  </r>
  <r>
    <x v="18"/>
    <x v="3"/>
    <s v="F:\Données chgh\2020-CHG-CZA-Saccharin-1\plaque 2/@18  Testo +  Saccharin 0,1/D6_02.tif "/>
    <s v=" 22062.4925 "/>
    <s v=" 68.2961 "/>
    <x v="0"/>
    <n v="1506782"/>
    <m/>
    <m/>
  </r>
  <r>
    <x v="18"/>
    <x v="3"/>
    <s v="F:\Données chgh\2020-CHG-CZA-Saccharin-1\plaque 2/@18  Testo +  Saccharin 0,1/D6_03.tif "/>
    <s v=" 18212.3713 "/>
    <s v=" 67.1247 "/>
    <x v="0"/>
    <n v="1222500"/>
    <m/>
    <m/>
  </r>
  <r>
    <x v="18"/>
    <x v="4"/>
    <s v="F:\Données chgh\2020-CHG-CZA-Saccharin-1\plaque 2/@18  Testo +  Saccharin 0,1/E6_01.tif "/>
    <s v=" 14729.9582 "/>
    <s v=" 71.9824 "/>
    <x v="0"/>
    <n v="1060297"/>
    <m/>
    <m/>
  </r>
  <r>
    <x v="18"/>
    <x v="4"/>
    <s v="F:\Données chgh\2020-CHG-CZA-Saccharin-1\plaque 2/@18  Testo +  Saccharin 0,1/E6_02.tif "/>
    <s v=" 12112.741 "/>
    <s v=" 71.4321 "/>
    <x v="0"/>
    <n v="865239"/>
    <m/>
    <m/>
  </r>
  <r>
    <x v="18"/>
    <x v="4"/>
    <s v="F:\Données chgh\2020-CHG-CZA-Saccharin-1\plaque 2/@18  Testo +  Saccharin 0,1/E6_03.tif "/>
    <s v=" 12675.1183 "/>
    <s v=" 71.5051 "/>
    <x v="0"/>
    <n v="906336"/>
    <m/>
    <m/>
  </r>
  <r>
    <x v="18"/>
    <x v="5"/>
    <s v="F:\Données chgh\2020-CHG-CZA-Saccharin-1\plaque 2/@18  Testo +  Saccharin 0,1/F6_01.tif "/>
    <s v=" 497.4876 "/>
    <s v=" 63.3478 "/>
    <x v="0"/>
    <n v="31515"/>
    <m/>
    <m/>
  </r>
  <r>
    <x v="18"/>
    <x v="5"/>
    <s v="F:\Données chgh\2020-CHG-CZA-Saccharin-1\plaque 2/@18  Testo +  Saccharin 0,1/F6_02.tif "/>
    <s v=" 692.1566 "/>
    <n v="64"/>
    <x v="0"/>
    <n v="44298"/>
    <m/>
    <m/>
  </r>
  <r>
    <x v="18"/>
    <x v="5"/>
    <s v="F:\Données chgh\2020-CHG-CZA-Saccharin-1\plaque 2/@18  Testo +  Saccharin 0,1/F6_03.tif "/>
    <s v=" 432.5979 "/>
    <s v=" 63.6 "/>
    <x v="0"/>
    <n v="27513"/>
    <m/>
    <m/>
  </r>
  <r>
    <x v="18"/>
    <x v="6"/>
    <s v="F:\Données chgh\2020-CHG-CZA-Saccharin-1\plaque 2/@18  Testo +  Saccharin 0,1/G6_01.tif "/>
    <s v=" 25458.386 "/>
    <s v=" 68.0442 "/>
    <x v="0"/>
    <n v="1732295"/>
    <m/>
    <m/>
  </r>
  <r>
    <x v="18"/>
    <x v="6"/>
    <s v="F:\Données chgh\2020-CHG-CZA-Saccharin-1\plaque 2/@18  Testo +  Saccharin 0,1/G6_02.tif "/>
    <s v=" 32142.0234 "/>
    <s v=" 73.6447 "/>
    <x v="0"/>
    <n v="2367089"/>
    <m/>
    <m/>
  </r>
  <r>
    <x v="18"/>
    <x v="6"/>
    <s v="F:\Données chgh\2020-CHG-CZA-Saccharin-1\plaque 2/@18  Testo +  Saccharin 0,1/G6_03.tif "/>
    <s v=" 30195.3329 "/>
    <s v=" 75.9871 "/>
    <x v="0"/>
    <n v="2294456"/>
    <m/>
    <m/>
  </r>
  <r>
    <x v="18"/>
    <x v="7"/>
    <s v="F:\Données chgh\2020-CHG-CZA-Saccharin-1\plaque 2/@18  Testo +  Saccharin 0,1/H6_01.tif "/>
    <s v=" 19012.6774 "/>
    <s v=" 69.3629 "/>
    <x v="0"/>
    <n v="1318775"/>
    <m/>
    <m/>
  </r>
  <r>
    <x v="18"/>
    <x v="7"/>
    <s v="F:\Données chgh\2020-CHG-CZA-Saccharin-1\plaque 2/@18  Testo +  Saccharin 0,1/H6_02.tif "/>
    <s v=" 1514.0926 "/>
    <s v=" 62.6429 "/>
    <x v="0"/>
    <n v="94847"/>
    <m/>
    <m/>
  </r>
  <r>
    <x v="18"/>
    <x v="7"/>
    <s v="F:\Données chgh\2020-CHG-CZA-Saccharin-1\plaque 2/@18  Testo +  Saccharin 0,1/H6_03.tif "/>
    <s v=" 14535.2892 "/>
    <s v=" 72.0923 "/>
    <x v="0"/>
    <n v="1047882"/>
    <m/>
    <m/>
  </r>
  <r>
    <x v="1"/>
    <x v="8"/>
    <s v=" "/>
    <m/>
    <m/>
    <x v="1"/>
    <m/>
    <m/>
    <m/>
  </r>
  <r>
    <x v="1"/>
    <x v="8"/>
    <s v="group "/>
    <s v=" "/>
    <s v=" mean of mean fluo "/>
    <x v="2"/>
    <s v=" mean of total fluo "/>
    <s v=" SD total fluo "/>
    <s v=" n fluorescent "/>
  </r>
  <r>
    <x v="18"/>
    <x v="9"/>
    <s v="F:\Données chgh\2020-CHG-CZA-Saccharin-1\plaque 2/@18  Testo +  Saccharin 0,1/ "/>
    <s v=" "/>
    <s v=" 68.2964 "/>
    <x v="20"/>
    <s v=" 1110711.29 "/>
    <s v=" 998076.95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Saccharin-1\plaque 2/@19 Testo +  Saccharin 1/A7_01.tif "/>
    <s v=" 6121.2602 "/>
    <s v=" 65.5406 "/>
    <x v="0"/>
    <n v="401191"/>
    <m/>
    <m/>
  </r>
  <r>
    <x v="19"/>
    <x v="0"/>
    <s v="F:\Données chgh\2020-CHG-CZA-Saccharin-1\plaque 2/@19 Testo +  Saccharin 1/A7_02.tif "/>
    <s v=" 475.8577 "/>
    <s v=" 63.3182 "/>
    <x v="0"/>
    <n v="30130"/>
    <m/>
    <m/>
  </r>
  <r>
    <x v="19"/>
    <x v="0"/>
    <s v="F:\Données chgh\2020-CHG-CZA-Saccharin-1\plaque 2/@19 Testo +  Saccharin 1/A7_03.tif "/>
    <s v=" 2465.808 "/>
    <s v=" 64.3684 "/>
    <x v="0"/>
    <n v="158720"/>
    <m/>
    <m/>
  </r>
  <r>
    <x v="19"/>
    <x v="1"/>
    <s v="F:\Données chgh\2020-CHG-CZA-Saccharin-1\plaque 2/@19 Testo +  Saccharin 1/B7_01.tif "/>
    <s v=" 43238.1594 "/>
    <s v=" 75.3732 "/>
    <x v="0"/>
    <n v="3258998"/>
    <m/>
    <m/>
  </r>
  <r>
    <x v="19"/>
    <x v="1"/>
    <s v="F:\Données chgh\2020-CHG-CZA-Saccharin-1\plaque 2/@19 Testo +  Saccharin 1/B7_02.tif "/>
    <s v=" 41724.0667 "/>
    <s v=" 74.8149 "/>
    <x v="0"/>
    <n v="3121583"/>
    <m/>
    <m/>
  </r>
  <r>
    <x v="19"/>
    <x v="1"/>
    <s v="F:\Données chgh\2020-CHG-CZA-Saccharin-1\plaque 2/@19 Testo +  Saccharin 1/B7_03.tif "/>
    <s v=" 43692.3872 "/>
    <s v=" 74.8465 "/>
    <x v="0"/>
    <n v="3270224"/>
    <m/>
    <m/>
  </r>
  <r>
    <x v="19"/>
    <x v="2"/>
    <s v="F:\Données chgh\2020-CHG-CZA-Saccharin-1\plaque 2/@19 Testo +  Saccharin 1/C7_01.tif "/>
    <s v=" 15313.9654 "/>
    <s v=" 74.1907 "/>
    <x v="0"/>
    <n v="1136153"/>
    <m/>
    <m/>
  </r>
  <r>
    <x v="19"/>
    <x v="2"/>
    <s v="F:\Données chgh\2020-CHG-CZA-Saccharin-1\plaque 2/@19 Testo +  Saccharin 1/C7_02.tif "/>
    <s v=" 6294.2993 "/>
    <s v=" 66.1581 "/>
    <x v="0"/>
    <n v="416419"/>
    <m/>
    <m/>
  </r>
  <r>
    <x v="19"/>
    <x v="2"/>
    <s v="F:\Données chgh\2020-CHG-CZA-Saccharin-1\plaque 2/@19 Testo +  Saccharin 1/C7_03.tif "/>
    <s v=" 6445.7086 "/>
    <s v=" 66.557 "/>
    <x v="0"/>
    <n v="429007"/>
    <m/>
    <m/>
  </r>
  <r>
    <x v="19"/>
    <x v="3"/>
    <s v="F:\Données chgh\2020-CHG-CZA-Saccharin-1\plaque 2/@19 Testo +  Saccharin 1/D7_01.tif "/>
    <s v=" 31514.7565 "/>
    <s v=" 73.1633 "/>
    <x v="0"/>
    <n v="2305725"/>
    <m/>
    <m/>
  </r>
  <r>
    <x v="19"/>
    <x v="3"/>
    <s v="F:\Données chgh\2020-CHG-CZA-Saccharin-1\plaque 2/@19 Testo +  Saccharin 1/D7_02.tif "/>
    <s v=" 29719.4752 "/>
    <s v=" 76.0189 "/>
    <x v="0"/>
    <n v="2259242"/>
    <m/>
    <m/>
  </r>
  <r>
    <x v="19"/>
    <x v="3"/>
    <s v="F:\Données chgh\2020-CHG-CZA-Saccharin-1\plaque 2/@19 Testo +  Saccharin 1/D7_03.tif "/>
    <s v=" 22841.1687 "/>
    <s v=" 68.7311 "/>
    <x v="0"/>
    <n v="1569898"/>
    <m/>
    <m/>
  </r>
  <r>
    <x v="19"/>
    <x v="4"/>
    <s v="F:\Données chgh\2020-CHG-CZA-Saccharin-1\plaque 2/@19 Testo +  Saccharin 1/E7_01.tif "/>
    <s v=" 22754.6491 "/>
    <s v=" 69.4183 "/>
    <x v="0"/>
    <n v="1579588"/>
    <m/>
    <m/>
  </r>
  <r>
    <x v="19"/>
    <x v="4"/>
    <s v="F:\Données chgh\2020-CHG-CZA-Saccharin-1\plaque 2/@19 Testo +  Saccharin 1/E7_02.tif "/>
    <s v=" 16438.7199 "/>
    <s v=" 67.2224 "/>
    <x v="0"/>
    <n v="1105050"/>
    <m/>
    <m/>
  </r>
  <r>
    <x v="19"/>
    <x v="4"/>
    <s v="F:\Données chgh\2020-CHG-CZA-Saccharin-1\plaque 2/@19 Testo +  Saccharin 1/E7_03.tif "/>
    <s v=" 13648.4635 "/>
    <s v=" 66.5182 "/>
    <x v="0"/>
    <n v="907872"/>
    <m/>
    <m/>
  </r>
  <r>
    <x v="19"/>
    <x v="5"/>
    <s v="F:\Données chgh\2020-CHG-CZA-Saccharin-1\plaque 2/@19 Testo +  Saccharin 1/F7_01.tif "/>
    <s v=" 43021.8604 "/>
    <s v=" 74.8753 "/>
    <x v="0"/>
    <n v="3221275"/>
    <m/>
    <m/>
  </r>
  <r>
    <x v="19"/>
    <x v="5"/>
    <s v="F:\Données chgh\2020-CHG-CZA-Saccharin-1\plaque 2/@19 Testo +  Saccharin 1/F7_02.tif "/>
    <s v=" 39950.4154 "/>
    <s v=" 70.9762 "/>
    <x v="0"/>
    <n v="2835528"/>
    <m/>
    <m/>
  </r>
  <r>
    <x v="19"/>
    <x v="5"/>
    <s v="F:\Données chgh\2020-CHG-CZA-Saccharin-1\plaque 2/@19 Testo +  Saccharin 1/F7_03.tif "/>
    <s v=" 36013.7746 "/>
    <s v=" 73.2198 "/>
    <x v="0"/>
    <n v="2636922"/>
    <m/>
    <m/>
  </r>
  <r>
    <x v="19"/>
    <x v="6"/>
    <s v="F:\Données chgh\2020-CHG-CZA-Saccharin-1\plaque 2/@19 Testo +  Saccharin 1/G7_01.tif "/>
    <s v=" 41983.6255 "/>
    <s v=" 70.8485 "/>
    <x v="0"/>
    <n v="2974478"/>
    <m/>
    <m/>
  </r>
  <r>
    <x v="19"/>
    <x v="6"/>
    <s v="F:\Données chgh\2020-CHG-CZA-Saccharin-1\plaque 2/@19 Testo +  Saccharin 1/G7_02.tif "/>
    <s v=" 39409.668 "/>
    <s v=" 69.4396 "/>
    <x v="0"/>
    <n v="2736593"/>
    <m/>
    <m/>
  </r>
  <r>
    <x v="19"/>
    <x v="6"/>
    <s v="F:\Données chgh\2020-CHG-CZA-Saccharin-1\plaque 2/@19 Testo +  Saccharin 1/G7_03.tif "/>
    <s v=" 34456.4221 "/>
    <s v=" 68.9567 "/>
    <x v="0"/>
    <n v="2376001"/>
    <m/>
    <m/>
  </r>
  <r>
    <x v="19"/>
    <x v="7"/>
    <s v="F:\Données chgh\2020-CHG-CZA-Saccharin-1\plaque 2/@19 Testo +  Saccharin 1/H7_01.tif "/>
    <s v=" 410.968 "/>
    <n v="64"/>
    <x v="0"/>
    <n v="26302"/>
    <m/>
    <m/>
  </r>
  <r>
    <x v="19"/>
    <x v="7"/>
    <s v="F:\Données chgh\2020-CHG-CZA-Saccharin-1\plaque 2/@19 Testo +  Saccharin 1/H7_02.tif "/>
    <s v=" 540.7474 "/>
    <s v=" 65.08 "/>
    <x v="0"/>
    <n v="35192"/>
    <m/>
    <m/>
  </r>
  <r>
    <x v="19"/>
    <x v="7"/>
    <s v="F:\Données chgh\2020-CHG-CZA-Saccharin-1\plaque 2/@19 Testo +  Saccharin 1/H7_03.tif "/>
    <s v=" 454.2278 "/>
    <s v=" 63.5714 "/>
    <x v="0"/>
    <n v="28876"/>
    <m/>
    <m/>
  </r>
  <r>
    <x v="1"/>
    <x v="8"/>
    <s v=" "/>
    <m/>
    <m/>
    <x v="1"/>
    <m/>
    <m/>
    <m/>
  </r>
  <r>
    <x v="1"/>
    <x v="8"/>
    <s v="group "/>
    <s v=" "/>
    <s v=" mean of mean fluo "/>
    <x v="2"/>
    <s v=" mean of total fluo "/>
    <s v=" SD total fluo "/>
    <s v=" n fluorescent "/>
  </r>
  <r>
    <x v="19"/>
    <x v="9"/>
    <s v="F:\Données chgh\2020-CHG-CZA-Saccharin-1\plaque 2/@19 Testo +  Saccharin 1/ "/>
    <s v=" "/>
    <s v=" 69.467 "/>
    <x v="21"/>
    <s v=" 1617540.29 "/>
    <s v=" 1231488.4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Saccharin-1\plaque 2/@20 Testo +  Saccharin 10/A8_01.tif "/>
    <s v=" 43065.1202 "/>
    <s v=" 68.9473 "/>
    <x v="0"/>
    <n v="2969222"/>
    <m/>
    <m/>
  </r>
  <r>
    <x v="20"/>
    <x v="0"/>
    <s v="F:\Données chgh\2020-CHG-CZA-Saccharin-1\plaque 2/@20 Testo +  Saccharin 10/A8_02.tif "/>
    <s v=" 45228.1097 "/>
    <s v=" 69.2253 "/>
    <x v="0"/>
    <n v="3130927"/>
    <m/>
    <m/>
  </r>
  <r>
    <x v="20"/>
    <x v="0"/>
    <s v="F:\Données chgh\2020-CHG-CZA-Saccharin-1\plaque 2/@20 Testo +  Saccharin 10/A8_03.tif "/>
    <s v=" 38674.2516 "/>
    <s v=" 68.2366 "/>
    <x v="0"/>
    <n v="2638999"/>
    <m/>
    <m/>
  </r>
  <r>
    <x v="20"/>
    <x v="1"/>
    <s v="F:\Données chgh\2020-CHG-CZA-Saccharin-1\plaque 2/@20 Testo +  Saccharin 10/B8_01.tif "/>
    <s v=" 1232.904 "/>
    <s v=" 65.9474 "/>
    <x v="0"/>
    <n v="81307"/>
    <m/>
    <m/>
  </r>
  <r>
    <x v="20"/>
    <x v="1"/>
    <s v="F:\Données chgh\2020-CHG-CZA-Saccharin-1\plaque 2/@20 Testo +  Saccharin 10/B8_02.tif "/>
    <s v=" 151.4093 "/>
    <n v="65"/>
    <x v="0"/>
    <n v="9842"/>
    <m/>
    <m/>
  </r>
  <r>
    <x v="20"/>
    <x v="1"/>
    <s v="F:\Données chgh\2020-CHG-CZA-Saccharin-1\plaque 2/@20 Testo +  Saccharin 10/B8_03.tif "/>
    <s v=" 237.9288 "/>
    <s v=" 64.5455 "/>
    <x v="0"/>
    <n v="15357"/>
    <m/>
    <m/>
  </r>
  <r>
    <x v="20"/>
    <x v="2"/>
    <s v="F:\Données chgh\2020-CHG-CZA-Saccharin-1\plaque 2/@20 Testo +  Saccharin 10/C8_01.tif "/>
    <s v=" 5212.8046 "/>
    <s v=" 65.1494 "/>
    <x v="0"/>
    <n v="339611"/>
    <m/>
    <m/>
  </r>
  <r>
    <x v="20"/>
    <x v="2"/>
    <s v="F:\Données chgh\2020-CHG-CZA-Saccharin-1\plaque 2/@20 Testo +  Saccharin 10/C8_02.tif "/>
    <s v=" 1557.3524 "/>
    <s v=" 64.4028 "/>
    <x v="0"/>
    <n v="100298"/>
    <m/>
    <m/>
  </r>
  <r>
    <x v="20"/>
    <x v="2"/>
    <s v="F:\Données chgh\2020-CHG-CZA-Saccharin-1\plaque 2/@20 Testo +  Saccharin 10/C8_03.tif "/>
    <s v=" 1600.6122 "/>
    <s v=" 66.2297 "/>
    <x v="0"/>
    <n v="106008"/>
    <m/>
    <m/>
  </r>
  <r>
    <x v="20"/>
    <x v="3"/>
    <s v="F:\Données chgh\2020-CHG-CZA-Saccharin-1\plaque 2/@20 Testo +  Saccharin 10/D8_01- exclu.tif"/>
    <m/>
    <m/>
    <x v="1"/>
    <m/>
    <m/>
    <m/>
  </r>
  <r>
    <x v="20"/>
    <x v="3"/>
    <s v="F:\Données chgh\2020-CHG-CZA-Saccharin-1\plaque 2/@20 Testo +  Saccharin 10/D8_02.tif "/>
    <s v=" 24917.6386 "/>
    <s v=" 68.2005 "/>
    <x v="0"/>
    <n v="1699396"/>
    <m/>
    <m/>
  </r>
  <r>
    <x v="20"/>
    <x v="3"/>
    <s v="F:\Données chgh\2020-CHG-CZA-Saccharin-1\plaque 2/@20 Testo +  Saccharin 10/D8_03.tif "/>
    <s v=" 25004.1582 "/>
    <s v=" 69.4948 "/>
    <x v="0"/>
    <n v="1737659"/>
    <m/>
    <m/>
  </r>
  <r>
    <x v="20"/>
    <x v="4"/>
    <s v="F:\Données chgh\2020-CHG-CZA-Saccharin-1\plaque 2/@20 Testo +  Saccharin 10/E8_01.tif "/>
    <s v=" 562.3773 "/>
    <s v=" 63.2692 "/>
    <x v="0"/>
    <n v="35581"/>
    <m/>
    <m/>
  </r>
  <r>
    <x v="20"/>
    <x v="4"/>
    <s v="F:\Données chgh\2020-CHG-CZA-Saccharin-1\plaque 2/@20 Testo +  Saccharin 10/E8_02.tif "/>
    <s v=" 389.3381 "/>
    <s v=" 62.2222 "/>
    <x v="0"/>
    <n v="24225"/>
    <m/>
    <m/>
  </r>
  <r>
    <x v="20"/>
    <x v="4"/>
    <s v="F:\Données chgh\2020-CHG-CZA-Saccharin-1\plaque 2/@20 Testo +  Saccharin 10/E8_03.tif "/>
    <s v=" 259.5587 "/>
    <s v=" 64.0833 "/>
    <x v="0"/>
    <n v="16633"/>
    <m/>
    <m/>
  </r>
  <r>
    <x v="20"/>
    <x v="5"/>
    <s v="F:\Données chgh\2020-CHG-CZA-Saccharin-1\plaque 2/@20 Testo +  Saccharin 10/F8_01- exclu.tif"/>
    <m/>
    <m/>
    <x v="1"/>
    <m/>
    <m/>
    <m/>
  </r>
  <r>
    <x v="20"/>
    <x v="5"/>
    <s v="F:\Données chgh\2020-CHG-CZA-Saccharin-1\plaque 2/@20 Testo +  Saccharin 10/F8_02.tif "/>
    <s v=" 19228.9763 "/>
    <s v=" 68.7109 "/>
    <x v="0"/>
    <n v="1321240"/>
    <m/>
    <m/>
  </r>
  <r>
    <x v="20"/>
    <x v="5"/>
    <s v="F:\Données chgh\2020-CHG-CZA-Saccharin-1\plaque 2/@20 Testo +  Saccharin 10/F8_03.tif "/>
    <s v=" 20159.0618 "/>
    <s v=" 67.6695 "/>
    <x v="0"/>
    <n v="1364154"/>
    <m/>
    <m/>
  </r>
  <r>
    <x v="20"/>
    <x v="6"/>
    <s v="F:\Données chgh\2020-CHG-CZA-Saccharin-1\plaque 2/@20 Testo +  Saccharin 10/G8_01.tif "/>
    <s v=" 389.3381 "/>
    <s v=" 62.9444 "/>
    <x v="0"/>
    <n v="24507"/>
    <m/>
    <m/>
  </r>
  <r>
    <x v="20"/>
    <x v="6"/>
    <s v="F:\Données chgh\2020-CHG-CZA-Saccharin-1\plaque 2/@20 Testo +  Saccharin 10/G8_02.tif "/>
    <s v=" 713.7865 "/>
    <s v=" 63.1515 "/>
    <x v="0"/>
    <n v="45077"/>
    <m/>
    <m/>
  </r>
  <r>
    <x v="20"/>
    <x v="6"/>
    <s v="F:\Données chgh\2020-CHG-CZA-Saccharin-1\plaque 2/@20 Testo +  Saccharin 10/G8_03.tif "/>
    <s v=" 843.5659 "/>
    <s v=" 64.0769 "/>
    <x v="0"/>
    <n v="54053"/>
    <m/>
    <m/>
  </r>
  <r>
    <x v="20"/>
    <x v="7"/>
    <s v="F:\Données chgh\2020-CHG-CZA-Saccharin-1\plaque 2/@20 Testo +  Saccharin 10/H8_01.tif "/>
    <s v=" 28291.9022 "/>
    <s v=" 70.5917 "/>
    <x v="0"/>
    <n v="1997175"/>
    <m/>
    <m/>
  </r>
  <r>
    <x v="20"/>
    <x v="7"/>
    <s v="F:\Données chgh\2020-CHG-CZA-Saccharin-1\plaque 2/@20 Testo +  Saccharin 10/H8_02.tif "/>
    <s v=" 24506.6706 "/>
    <s v=" 68.1289 "/>
    <x v="0"/>
    <n v="1669612"/>
    <m/>
    <m/>
  </r>
  <r>
    <x v="20"/>
    <x v="7"/>
    <s v="F:\Données chgh\2020-CHG-CZA-Saccharin-1\plaque 2/@20 Testo +  Saccharin 10/H8_03.tif "/>
    <s v=" 22062.4925 "/>
    <s v=" 67.5922 "/>
    <x v="0"/>
    <n v="1491251"/>
    <m/>
    <m/>
  </r>
  <r>
    <x v="1"/>
    <x v="8"/>
    <s v=" "/>
    <m/>
    <m/>
    <x v="1"/>
    <m/>
    <m/>
    <m/>
  </r>
  <r>
    <x v="1"/>
    <x v="8"/>
    <s v="group "/>
    <s v=" "/>
    <s v=" mean of mean fluo "/>
    <x v="2"/>
    <s v=" mean of total fluo "/>
    <s v=" SD total fluo "/>
    <s v=" n fluorescent "/>
  </r>
  <r>
    <x v="20"/>
    <x v="9"/>
    <s v="F:\Données chgh\2020-CHG-CZA-Saccharin-1\plaque 2/@20 Testo +  Saccharin 10/ "/>
    <s v=" "/>
    <s v=" 66.1354 "/>
    <x v="22"/>
    <s v=" 870371.625 "/>
    <s v=" 1064602.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Saccharin-1\plaque 2/@21 Testo +   Saccharin 100/A9_01.tif "/>
    <s v=" 584.0072 "/>
    <s v=" 63.8148 "/>
    <x v="0"/>
    <n v="37268"/>
    <m/>
    <m/>
  </r>
  <r>
    <x v="21"/>
    <x v="0"/>
    <s v="F:\Données chgh\2020-CHG-CZA-Saccharin-1\plaque 2/@21 Testo +   Saccharin 100/A9_02.tif "/>
    <s v=" 1276.1638 "/>
    <s v=" 64.2373 "/>
    <x v="0"/>
    <n v="81977"/>
    <m/>
    <m/>
  </r>
  <r>
    <x v="21"/>
    <x v="0"/>
    <s v="F:\Données chgh\2020-CHG-CZA-Saccharin-1\plaque 2/@21 Testo +   Saccharin 100/A9_03.tif "/>
    <s v=" 778.6762 "/>
    <s v=" 63.7778 "/>
    <x v="0"/>
    <n v="49662"/>
    <m/>
    <m/>
  </r>
  <r>
    <x v="21"/>
    <x v="1"/>
    <s v="F:\Données chgh\2020-CHG-CZA-Saccharin-1\plaque 2/@21 Testo +   Saccharin 100/B9_01.tif "/>
    <s v=" 59936.438 "/>
    <s v=" 76.0834 "/>
    <x v="0"/>
    <n v="4560166"/>
    <m/>
    <m/>
  </r>
  <r>
    <x v="21"/>
    <x v="1"/>
    <s v="F:\Données chgh\2020-CHG-CZA-Saccharin-1\plaque 2/@21 Testo +   Saccharin 100/B9_02.tif "/>
    <s v=" 48169.7753 "/>
    <s v=" 73.8716 "/>
    <x v="0"/>
    <n v="3558377"/>
    <m/>
    <m/>
  </r>
  <r>
    <x v="21"/>
    <x v="1"/>
    <s v="F:\Données chgh\2020-CHG-CZA-Saccharin-1\plaque 2/@21 Testo +   Saccharin 100/B9_03.tif "/>
    <s v=" 52063.1564 "/>
    <s v=" 73.5509 "/>
    <x v="0"/>
    <n v="3829292"/>
    <m/>
    <m/>
  </r>
  <r>
    <x v="21"/>
    <x v="2"/>
    <s v="F:\Données chgh\2020-CHG-CZA-Saccharin-1\plaque 2/@21 Testo +   Saccharin 100/C9_01.tif "/>
    <s v=" 39820.636 "/>
    <s v=" 75.8599 "/>
    <x v="0"/>
    <n v="3020788"/>
    <m/>
    <m/>
  </r>
  <r>
    <x v="21"/>
    <x v="2"/>
    <s v="F:\Données chgh\2020-CHG-CZA-Saccharin-1\plaque 2/@21 Testo +   Saccharin 100/C9_02.tif "/>
    <s v=" 35018.7994 "/>
    <s v=" 82.491 "/>
    <x v="0"/>
    <n v="2888737"/>
    <m/>
    <m/>
  </r>
  <r>
    <x v="21"/>
    <x v="2"/>
    <s v="F:\Données chgh\2020-CHG-CZA-Saccharin-1\plaque 2/@21 Testo +   Saccharin 100/C9_03.tif "/>
    <s v=" 39106.8495 "/>
    <s v=" 81.6278 "/>
    <x v="0"/>
    <n v="3192205"/>
    <m/>
    <m/>
  </r>
  <r>
    <x v="21"/>
    <x v="3"/>
    <s v="F:\Données chgh\2020-CHG-CZA-Saccharin-1\plaque 2/@21 Testo +   Saccharin 100/D9_01.tif "/>
    <s v=" 2119.7297 "/>
    <s v=" 65.2449 "/>
    <x v="0"/>
    <n v="138302"/>
    <m/>
    <m/>
  </r>
  <r>
    <x v="21"/>
    <x v="3"/>
    <s v="F:\Données chgh\2020-CHG-CZA-Saccharin-1\plaque 2/@21 Testo +   Saccharin 100/D9_02.tif "/>
    <s v=" 648.8968 "/>
    <s v=" 65.8 "/>
    <x v="0"/>
    <n v="42697"/>
    <m/>
    <m/>
  </r>
  <r>
    <x v="21"/>
    <x v="3"/>
    <s v="F:\Données chgh\2020-CHG-CZA-Saccharin-1\plaque 2/@21 Testo +   Saccharin 100/D9_03.tif "/>
    <s v=" 1687.1318 "/>
    <s v=" 63.8718 "/>
    <x v="0"/>
    <n v="107760"/>
    <m/>
    <m/>
  </r>
  <r>
    <x v="21"/>
    <x v="4"/>
    <s v="F:\Données chgh\2020-CHG-CZA-Saccharin-1\plaque 2/@21 Testo +   Saccharin 100/E9_01.tif "/>
    <s v=" 49813.6473 "/>
    <s v=" 72.9301 "/>
    <x v="0"/>
    <n v="3632914"/>
    <m/>
    <m/>
  </r>
  <r>
    <x v="21"/>
    <x v="4"/>
    <s v="F:\Données chgh\2020-CHG-CZA-Saccharin-1\plaque 2/@21 Testo +   Saccharin 100/E9_02.tif "/>
    <s v=" 45314.6292 "/>
    <s v=" 72.2539 "/>
    <x v="0"/>
    <n v="3274160"/>
    <m/>
    <m/>
  </r>
  <r>
    <x v="21"/>
    <x v="4"/>
    <s v="F:\Données chgh\2020-CHG-CZA-Saccharin-1\plaque 2/@21 Testo +   Saccharin 100/E9_03.tif "/>
    <s v=" 49921.7968 "/>
    <s v=" 73.364 "/>
    <x v="0"/>
    <n v="3662460"/>
    <m/>
    <m/>
  </r>
  <r>
    <x v="21"/>
    <x v="5"/>
    <s v="F:\Données chgh\2020-CHG-CZA-Saccharin-1\plaque 2/@21 Testo +   Saccharin 100/F9_01.tif "/>
    <s v=" 10793.3174 "/>
    <s v=" 66.511 "/>
    <x v="0"/>
    <n v="717875"/>
    <m/>
    <m/>
  </r>
  <r>
    <x v="21"/>
    <x v="5"/>
    <s v="F:\Données chgh\2020-CHG-CZA-Saccharin-1\plaque 2/@21 Testo +   Saccharin 100/F9_02.tif "/>
    <s v=" 13843.1326 "/>
    <s v=" 69.325 "/>
    <x v="0"/>
    <n v="959675"/>
    <m/>
    <m/>
  </r>
  <r>
    <x v="21"/>
    <x v="5"/>
    <s v="F:\Données chgh\2020-CHG-CZA-Saccharin-1\plaque 2/@21 Testo +   Saccharin 100/F9_03.tif "/>
    <s v=" 8781.7372 "/>
    <s v=" 68.0517 "/>
    <x v="0"/>
    <n v="597612"/>
    <m/>
    <m/>
  </r>
  <r>
    <x v="21"/>
    <x v="6"/>
    <s v="F:\Données chgh\2020-CHG-CZA-Saccharin-1\plaque 2/@21 Testo +   Saccharin 100/G9_01.tif "/>
    <s v=" 13497.0542 "/>
    <s v=" 65.0801 "/>
    <x v="0"/>
    <n v="878390"/>
    <m/>
    <m/>
  </r>
  <r>
    <x v="21"/>
    <x v="6"/>
    <s v="F:\Données chgh\2020-CHG-CZA-Saccharin-1\plaque 2/@21 Testo +   Saccharin 100/G9_02.tif "/>
    <s v=" 26301.9519 "/>
    <s v=" 72.9951 "/>
    <x v="0"/>
    <n v="1919913"/>
    <m/>
    <m/>
  </r>
  <r>
    <x v="21"/>
    <x v="6"/>
    <s v="F:\Données chgh\2020-CHG-CZA-Saccharin-1\plaque 2/@21 Testo +   Saccharin 100/G9_03.tif "/>
    <s v=" 15487.0046 "/>
    <s v=" 66.648 "/>
    <x v="0"/>
    <n v="1032179"/>
    <m/>
    <m/>
  </r>
  <r>
    <x v="21"/>
    <x v="7"/>
    <s v="F:\Données chgh\2020-CHG-CZA-Saccharin-1\plaque 2/@21 Testo +   Saccharin 100/H9_01.tif "/>
    <s v=" 10641.9082 "/>
    <s v=" 68.7744 "/>
    <x v="0"/>
    <n v="731891"/>
    <m/>
    <m/>
  </r>
  <r>
    <x v="21"/>
    <x v="7"/>
    <s v="F:\Données chgh\2020-CHG-CZA-Saccharin-1\plaque 2/@21 Testo +   Saccharin 100/H9_02.tif "/>
    <s v=" 7008.0859 "/>
    <s v=" 67.5741 "/>
    <x v="0"/>
    <n v="473565"/>
    <m/>
    <m/>
  </r>
  <r>
    <x v="21"/>
    <x v="7"/>
    <s v="F:\Données chgh\2020-CHG-CZA-Saccharin-1\plaque 2/@21 Testo +   Saccharin 100/H9_03.tif "/>
    <s v=" 8695.2176 "/>
    <s v=" 66.291 "/>
    <x v="0"/>
    <n v="576415"/>
    <m/>
    <m/>
  </r>
  <r>
    <x v="1"/>
    <x v="8"/>
    <s v=" "/>
    <m/>
    <m/>
    <x v="1"/>
    <m/>
    <m/>
    <m/>
  </r>
  <r>
    <x v="1"/>
    <x v="8"/>
    <s v="group "/>
    <s v=" "/>
    <s v=" mean of mean fluo "/>
    <x v="2"/>
    <s v=" mean of total fluo "/>
    <s v=" SD total fluo "/>
    <s v=" n fluorescent "/>
  </r>
  <r>
    <x v="21"/>
    <x v="9"/>
    <s v="F:\Données chgh\2020-CHG-CZA-Saccharin-1\plaque 2/@21 Testo +   Saccharin 100/ "/>
    <s v=" "/>
    <s v=" 70.0012 "/>
    <x v="23"/>
    <s v=" 1665178.33 "/>
    <s v=" 1546619.46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le name "/>
    <s v=" total area "/>
    <s v=" mean intensity "/>
    <x v="0"/>
    <s v=" total fluorescence"/>
    <m/>
    <m/>
  </r>
  <r>
    <x v="1"/>
    <x v="1"/>
    <s v="D:\images\2021-CHG-CBA-Saccharin 1\plaque 1/@01 TS/A1_01.tif "/>
    <s v=" 1022.4265 "/>
    <s v=" 63.0638 "/>
    <x v="0"/>
    <n v="64478"/>
    <m/>
    <m/>
  </r>
  <r>
    <x v="1"/>
    <x v="1"/>
    <s v="D:\images\2021-CHG-CBA-Saccharin 1\plaque 1/@01 TS/A1_02.tif "/>
    <s v=" 2066.6067 "/>
    <s v=" 64.1263 "/>
    <x v="0"/>
    <n v="132524"/>
    <m/>
    <m/>
  </r>
  <r>
    <x v="1"/>
    <x v="1"/>
    <s v="D:\images\2021-CHG-CBA-Saccharin 1\plaque 1/@01 TS/A1_03.tif "/>
    <s v=" 1653.2854 "/>
    <s v=" 63.7105 "/>
    <x v="0"/>
    <n v="105332"/>
    <m/>
    <m/>
  </r>
  <r>
    <x v="1"/>
    <x v="2"/>
    <s v="D:\images\2021-CHG-CBA-Saccharin 1\plaque 1/@01 TS/B1_01.tif "/>
    <s v=" 195.7838 "/>
    <s v=" 63.8889 "/>
    <x v="0"/>
    <n v="12508"/>
    <m/>
    <m/>
  </r>
  <r>
    <x v="1"/>
    <x v="2"/>
    <s v="D:\images\2021-CHG-CBA-Saccharin 1\plaque 1/@01 TS/B1_02.tif "/>
    <s v=" 435.0751 "/>
    <s v=" 64.05 "/>
    <x v="0"/>
    <n v="27867"/>
    <m/>
    <m/>
  </r>
  <r>
    <x v="1"/>
    <x v="2"/>
    <s v="D:\images\2021-CHG-CBA-Saccharin 1\plaque 1/@01 TS/B1_03.tif "/>
    <s v=" 587.3514 "/>
    <s v=" 63.7407 "/>
    <x v="0"/>
    <n v="37438"/>
    <m/>
    <m/>
  </r>
  <r>
    <x v="1"/>
    <x v="3"/>
    <s v="D:\images\2021-CHG-CBA-Saccharin 1\plaque 1/@01 TS/C1_01.tif "/>
    <s v=" 478.5826 "/>
    <s v=" 63.2727 "/>
    <x v="0"/>
    <n v="30281"/>
    <m/>
    <m/>
  </r>
  <r>
    <x v="1"/>
    <x v="3"/>
    <s v="D:\images\2021-CHG-CBA-Saccharin 1\plaque 1/@01 TS/C1_02.tif "/>
    <s v=" 1348.7328 "/>
    <s v=" 63.8065 "/>
    <x v="0"/>
    <n v="86058"/>
    <m/>
    <m/>
  </r>
  <r>
    <x v="1"/>
    <x v="3"/>
    <s v="D:\images\2021-CHG-CBA-Saccharin 1\plaque 1/@01 TS/C1_03.tif "/>
    <s v=" 1718.5466 "/>
    <s v=" 64.0633 "/>
    <x v="0"/>
    <n v="110096"/>
    <m/>
    <m/>
  </r>
  <r>
    <x v="1"/>
    <x v="4"/>
    <s v="D:\images\2021-CHG-CBA-Saccharin 1\plaque 1/@01 TS/D1_01.tif "/>
    <s v=" 2175.3755 "/>
    <s v=" 65.23 "/>
    <x v="0"/>
    <n v="141900"/>
    <m/>
    <m/>
  </r>
  <r>
    <x v="1"/>
    <x v="4"/>
    <s v="D:\images\2021-CHG-CBA-Saccharin 1\plaque 1/@01 TS/D1_02.tif "/>
    <s v=" 1196.4565 "/>
    <s v=" 62.5273 "/>
    <x v="0"/>
    <n v="74811"/>
    <m/>
    <m/>
  </r>
  <r>
    <x v="1"/>
    <x v="4"/>
    <s v="D:\images\2021-CHG-CBA-Saccharin 1\plaque 1/@01 TS/D1_03.tif "/>
    <s v=" 4285.4897 "/>
    <s v=" 67.8528 "/>
    <x v="0"/>
    <n v="290782"/>
    <m/>
    <m/>
  </r>
  <r>
    <x v="1"/>
    <x v="5"/>
    <s v="D:\images\2021-CHG-CBA-Saccharin 1\plaque 1/@01 TS/E1_01.tif "/>
    <s v=" 5699.4838 "/>
    <s v=" 68.1183 "/>
    <x v="0"/>
    <n v="388239"/>
    <m/>
    <m/>
  </r>
  <r>
    <x v="1"/>
    <x v="5"/>
    <s v="D:\images\2021-CHG-CBA-Saccharin 1\plaque 1/@01 TS/E1_02.tif "/>
    <s v=" 4938.1024 "/>
    <s v=" 70.7181 "/>
    <x v="0"/>
    <n v="349213"/>
    <m/>
    <m/>
  </r>
  <r>
    <x v="1"/>
    <x v="5"/>
    <s v="D:\images\2021-CHG-CBA-Saccharin 1\plaque 1/@01 TS/E1_03.tif "/>
    <s v=" 5264.4087 "/>
    <s v=" 70.1116 "/>
    <x v="0"/>
    <n v="369096"/>
    <m/>
    <m/>
  </r>
  <r>
    <x v="1"/>
    <x v="6"/>
    <s v="D:\images\2021-CHG-CBA-Saccharin 1\plaque 1/@01 TS/F1_01.tif "/>
    <s v=" 587.3514 "/>
    <n v="63"/>
    <x v="0"/>
    <n v="37003"/>
    <m/>
    <m/>
  </r>
  <r>
    <x v="1"/>
    <x v="6"/>
    <s v="D:\images\2021-CHG-CBA-Saccharin 1\plaque 1/@01 TS/F1_02.tif "/>
    <s v=" 456.8289 "/>
    <n v="64"/>
    <x v="0"/>
    <n v="29237"/>
    <m/>
    <m/>
  </r>
  <r>
    <x v="1"/>
    <x v="6"/>
    <s v="D:\images\2021-CHG-CBA-Saccharin 1\plaque 1/@01 TS/F1_03.tif "/>
    <s v=" 217.5376 "/>
    <s v=" 63.4 "/>
    <x v="0"/>
    <n v="13792"/>
    <m/>
    <m/>
  </r>
  <r>
    <x v="1"/>
    <x v="7"/>
    <s v="D:\images\2021-CHG-CBA-Saccharin 1\plaque 1/@01 TS/G1_01.tif "/>
    <s v=" 1326.9791 "/>
    <s v=" 65.4754 "/>
    <x v="0"/>
    <n v="86884"/>
    <m/>
    <m/>
  </r>
  <r>
    <x v="1"/>
    <x v="7"/>
    <s v="D:\images\2021-CHG-CBA-Saccharin 1\plaque 1/@01 TS/G1_02.tif "/>
    <s v=" 6047.5439 "/>
    <s v=" 72.018 "/>
    <x v="0"/>
    <n v="435532"/>
    <m/>
    <m/>
  </r>
  <r>
    <x v="1"/>
    <x v="7"/>
    <s v="D:\images\2021-CHG-CBA-Saccharin 1\plaque 1/@01 TS/G1_03.tif "/>
    <s v=" 5764.7451 "/>
    <s v=" 75.0075 "/>
    <x v="0"/>
    <n v="432399"/>
    <m/>
    <m/>
  </r>
  <r>
    <x v="1"/>
    <x v="8"/>
    <s v="D:\images\2021-CHG-CBA-Saccharin 1\plaque 1/@01 TS/H1_01.tif "/>
    <s v=" 1131.1953 "/>
    <s v=" 64.4038 "/>
    <x v="0"/>
    <n v="72853"/>
    <m/>
    <m/>
  </r>
  <r>
    <x v="1"/>
    <x v="8"/>
    <s v="D:\images\2021-CHG-CBA-Saccharin 1\plaque 1/@01 TS/H1_02.tif "/>
    <s v=" 1305.2253 "/>
    <s v=" 66.4667 "/>
    <x v="0"/>
    <n v="86754"/>
    <m/>
    <m/>
  </r>
  <r>
    <x v="1"/>
    <x v="8"/>
    <s v="D:\images\2021-CHG-CBA-Saccharin 1\plaque 1/@01 TS/H1_03.tif "/>
    <s v=" 870.1502 "/>
    <s v=" 62.45 "/>
    <x v="0"/>
    <n v="54341"/>
    <m/>
    <m/>
  </r>
  <r>
    <x v="0"/>
    <x v="0"/>
    <s v=" "/>
    <m/>
    <m/>
    <x v="1"/>
    <m/>
    <m/>
    <m/>
  </r>
  <r>
    <x v="0"/>
    <x v="0"/>
    <s v="group "/>
    <s v=" "/>
    <s v=" mean of mean fluo "/>
    <x v="2"/>
    <s v=" mean of total fluo "/>
    <s v=" SD total fluo "/>
    <s v=" n fluorescent "/>
  </r>
  <r>
    <x v="1"/>
    <x v="9"/>
    <s v="D:\images\2021-CHG-CBA-Saccharin 1\plaque 1/@01 TS/ "/>
    <s v=" "/>
    <s v=" 65.6043 "/>
    <x v="3"/>
    <s v=" 144559.083 "/>
    <s v=" 143808.758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2"/>
    <x v="1"/>
    <s v="D:\images\2021-CHG-CBA-Saccharin 1\plaque 1/@02 EE2 34/A2_01.tif "/>
    <s v=" 6656.649 "/>
    <s v=" 67.7745 "/>
    <x v="0"/>
    <n v="451151"/>
    <m/>
    <m/>
  </r>
  <r>
    <x v="2"/>
    <x v="1"/>
    <s v="D:\images\2021-CHG-CBA-Saccharin 1\plaque 1/@02 EE2 34/A2_02- exclu.tif"/>
    <m/>
    <m/>
    <x v="1"/>
    <m/>
    <m/>
    <m/>
  </r>
  <r>
    <x v="2"/>
    <x v="1"/>
    <s v="D:\images\2021-CHG-CBA-Saccharin 1\plaque 1/@02 EE2 34/A2_03.tif "/>
    <s v=" 500.3364 "/>
    <s v=" 65.3478 "/>
    <x v="0"/>
    <n v="32696"/>
    <m/>
    <m/>
  </r>
  <r>
    <x v="2"/>
    <x v="2"/>
    <s v="D:\images\2021-CHG-CBA-Saccharin 1\plaque 1/@02 EE2 34/B2_01.tif "/>
    <s v=" 4437.766 "/>
    <s v=" 69.5098 "/>
    <x v="0"/>
    <n v="308468"/>
    <m/>
    <m/>
  </r>
  <r>
    <x v="2"/>
    <x v="2"/>
    <s v="D:\images\2021-CHG-CBA-Saccharin 1\plaque 1/@02 EE2 34/B2_02.tif "/>
    <s v=" 6547.8803 "/>
    <s v=" 69.505 "/>
    <x v="0"/>
    <n v="455110"/>
    <m/>
    <m/>
  </r>
  <r>
    <x v="2"/>
    <x v="2"/>
    <s v="D:\images\2021-CHG-CBA-Saccharin 1\plaque 1/@02 EE2 34/B2_03.tif "/>
    <s v=" 1261.7178 "/>
    <s v=" 65.3103 "/>
    <x v="0"/>
    <n v="82403"/>
    <m/>
    <m/>
  </r>
  <r>
    <x v="2"/>
    <x v="3"/>
    <s v="D:\images\2021-CHG-CBA-Saccharin 1\plaque 1/@02 EE2 34/C2_01.tif "/>
    <s v=" 696.1202 "/>
    <s v=" 63.7188 "/>
    <x v="0"/>
    <n v="44356"/>
    <m/>
    <m/>
  </r>
  <r>
    <x v="2"/>
    <x v="3"/>
    <s v="D:\images\2021-CHG-CBA-Saccharin 1\plaque 1/@02 EE2 34/C2_02.tif "/>
    <s v=" 7244.0004 "/>
    <s v=" 72.1802 "/>
    <x v="0"/>
    <n v="522873"/>
    <m/>
    <m/>
  </r>
  <r>
    <x v="2"/>
    <x v="3"/>
    <s v="D:\images\2021-CHG-CBA-Saccharin 1\plaque 1/@02 EE2 34/C2_03.tif "/>
    <s v=" 6178.0664 "/>
    <s v=" 68.9401 "/>
    <x v="0"/>
    <n v="425917"/>
    <m/>
    <m/>
  </r>
  <r>
    <x v="2"/>
    <x v="4"/>
    <s v="D:\images\2021-CHG-CBA-Saccharin 1\plaque 1/@02 EE2 34/D2_01.tif "/>
    <s v=" 3002.0182 "/>
    <s v=" 65.7826 "/>
    <x v="0"/>
    <n v="197481"/>
    <m/>
    <m/>
  </r>
  <r>
    <x v="2"/>
    <x v="4"/>
    <s v="D:\images\2021-CHG-CBA-Saccharin 1\plaque 1/@02 EE2 34/D2_02.tif "/>
    <s v=" 3872.1684 "/>
    <s v=" 67.8483 "/>
    <x v="0"/>
    <n v="262720"/>
    <m/>
    <m/>
  </r>
  <r>
    <x v="2"/>
    <x v="4"/>
    <s v="D:\images\2021-CHG-CBA-Saccharin 1\plaque 1/@02 EE2 34/D2_03.tif "/>
    <s v=" 4111.4597 "/>
    <s v=" 68.1481 "/>
    <x v="0"/>
    <n v="280188"/>
    <m/>
    <m/>
  </r>
  <r>
    <x v="2"/>
    <x v="5"/>
    <s v="D:\images\2021-CHG-CBA-Saccharin 1\plaque 1/@02 EE2 34/E2_01.tif "/>
    <s v=" 11072.6613 "/>
    <s v=" 82.0039 "/>
    <x v="0"/>
    <n v="908002"/>
    <m/>
    <m/>
  </r>
  <r>
    <x v="2"/>
    <x v="5"/>
    <s v="D:\images\2021-CHG-CBA-Saccharin 1\plaque 1/@02 EE2 34/E2_02.tif "/>
    <s v=" 13400.3131 "/>
    <s v=" 94.5682 "/>
    <x v="0"/>
    <n v="1267243"/>
    <m/>
    <m/>
  </r>
  <r>
    <x v="2"/>
    <x v="5"/>
    <s v="D:\images\2021-CHG-CBA-Saccharin 1\plaque 1/@02 EE2 34/E2_03.tif "/>
    <s v=" 7635.568 "/>
    <s v=" 78.0712 "/>
    <x v="0"/>
    <n v="596118"/>
    <m/>
    <m/>
  </r>
  <r>
    <x v="2"/>
    <x v="6"/>
    <s v="D:\images\2021-CHG-CBA-Saccharin 1\plaque 1/@02 EE2 34/F2_01.tif "/>
    <s v=" 4894.5949 "/>
    <s v=" 66.4 "/>
    <x v="0"/>
    <n v="325001"/>
    <m/>
    <m/>
  </r>
  <r>
    <x v="2"/>
    <x v="6"/>
    <s v="D:\images\2021-CHG-CBA-Saccharin 1\plaque 1/@02 EE2 34/F2_02.tif "/>
    <s v=" 3959.1834 "/>
    <s v=" 66.7747 "/>
    <x v="0"/>
    <n v="264373"/>
    <m/>
    <m/>
  </r>
  <r>
    <x v="2"/>
    <x v="6"/>
    <s v="D:\images\2021-CHG-CBA-Saccharin 1\plaque 1/@02 EE2 34/F2_03.tif "/>
    <s v=" 3524.1083 "/>
    <s v=" 66.2901 "/>
    <x v="0"/>
    <n v="233614"/>
    <m/>
    <m/>
  </r>
  <r>
    <x v="2"/>
    <x v="7"/>
    <s v="D:\images\2021-CHG-CBA-Saccharin 1\plaque 1/@02 EE2 34/G2_01.tif "/>
    <s v=" 9941.466 "/>
    <s v=" 72.3982 "/>
    <x v="0"/>
    <n v="719745"/>
    <m/>
    <m/>
  </r>
  <r>
    <x v="2"/>
    <x v="7"/>
    <s v="D:\images\2021-CHG-CBA-Saccharin 1\plaque 1/@02 EE2 34/G2_02.tif "/>
    <s v=" 8418.7032 "/>
    <s v=" 69.9561 "/>
    <x v="0"/>
    <n v="588939"/>
    <m/>
    <m/>
  </r>
  <r>
    <x v="2"/>
    <x v="7"/>
    <s v="D:\images\2021-CHG-CBA-Saccharin 1\plaque 1/@02 EE2 34/G2_03.tif "/>
    <s v=" 10420.0486 "/>
    <s v=" 75.3779 "/>
    <x v="0"/>
    <n v="785441"/>
    <m/>
    <m/>
  </r>
  <r>
    <x v="2"/>
    <x v="8"/>
    <s v="D:\images\2021-CHG-CBA-Saccharin 1\plaque 1/@02 EE2 34/H2_01.tif "/>
    <s v=" 978.919 "/>
    <s v=" 64.9778 "/>
    <x v="0"/>
    <n v="63608"/>
    <m/>
    <m/>
  </r>
  <r>
    <x v="2"/>
    <x v="8"/>
    <s v="D:\images\2021-CHG-CBA-Saccharin 1\plaque 1/@02 EE2 34/H2_02.tif "/>
    <s v=" 761.3814 "/>
    <s v=" 63.7714 "/>
    <x v="0"/>
    <n v="48554"/>
    <m/>
    <m/>
  </r>
  <r>
    <x v="2"/>
    <x v="8"/>
    <s v="D:\images\2021-CHG-CBA-Saccharin 1\plaque 1/@02 EE2 34/H2_03.tif "/>
    <s v=" 1435.7478 "/>
    <s v=" 64.4394 "/>
    <x v="0"/>
    <n v="92519"/>
    <m/>
    <m/>
  </r>
  <r>
    <x v="0"/>
    <x v="0"/>
    <s v=" "/>
    <m/>
    <m/>
    <x v="1"/>
    <m/>
    <m/>
    <m/>
  </r>
  <r>
    <x v="0"/>
    <x v="0"/>
    <s v="group "/>
    <s v=" "/>
    <s v=" mean of mean fluo "/>
    <x v="2"/>
    <s v=" mean of total fluo "/>
    <s v=" SD total fluo "/>
    <s v=" n fluorescent "/>
  </r>
  <r>
    <x v="2"/>
    <x v="9"/>
    <s v="D:\images\2021-CHG-CBA-Saccharin 1\plaque 1/@02 EE2 34/ "/>
    <s v=" "/>
    <s v=" 69.6475 "/>
    <x v="4"/>
    <s v=" 373697.75 "/>
    <s v=" 317469.913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3"/>
    <x v="1"/>
    <s v="D:\images\2021-CHG-CBA-Saccharin 1\plaque 1/@03 EE2 51/A3_01.tif "/>
    <s v=" 1261.7178 "/>
    <s v=" 65.2759 "/>
    <x v="0"/>
    <n v="82360"/>
    <m/>
    <m/>
  </r>
  <r>
    <x v="3"/>
    <x v="1"/>
    <s v="D:\images\2021-CHG-CBA-Saccharin 1\plaque 1/@03 EE2 51/A3_02.tif "/>
    <s v=" 1087.6878 "/>
    <s v=" 64.06 "/>
    <x v="0"/>
    <n v="69677"/>
    <m/>
    <m/>
  </r>
  <r>
    <x v="3"/>
    <x v="1"/>
    <s v="D:\images\2021-CHG-CBA-Saccharin 1\plaque 1/@03 EE2 51/A3_03.tif "/>
    <s v=" 761.3814 "/>
    <s v=" 62.4571 "/>
    <x v="0"/>
    <n v="47554"/>
    <m/>
    <m/>
  </r>
  <r>
    <x v="3"/>
    <x v="2"/>
    <s v="D:\images\2021-CHG-CBA-Saccharin 1\plaque 1/@03 EE2 51/B3_01.tif "/>
    <s v=" 435.0751 "/>
    <s v=" 63.4 "/>
    <x v="0"/>
    <n v="27584"/>
    <m/>
    <m/>
  </r>
  <r>
    <x v="3"/>
    <x v="2"/>
    <s v="D:\images\2021-CHG-CBA-Saccharin 1\plaque 1/@03 EE2 51/B3_02.tif "/>
    <s v=" 609.1051 "/>
    <s v=" 63.3929 "/>
    <x v="0"/>
    <n v="38613"/>
    <m/>
    <m/>
  </r>
  <r>
    <x v="3"/>
    <x v="2"/>
    <s v="D:\images\2021-CHG-CBA-Saccharin 1\plaque 1/@03 EE2 51/B3_03.tif "/>
    <s v=" 369.8138 "/>
    <s v=" 63.4118 "/>
    <x v="0"/>
    <n v="23451"/>
    <m/>
    <m/>
  </r>
  <r>
    <x v="3"/>
    <x v="3"/>
    <s v="D:\images\2021-CHG-CBA-Saccharin 1\plaque 1/@03 EE2 51/C3_01.tif "/>
    <s v=" 1392.2403 "/>
    <s v=" 64.0625 "/>
    <x v="0"/>
    <n v="89190"/>
    <m/>
    <m/>
  </r>
  <r>
    <x v="3"/>
    <x v="3"/>
    <s v="D:\images\2021-CHG-CBA-Saccharin 1\plaque 1/@03 EE2 51/C3_02.tif "/>
    <s v=" 2023.0992 "/>
    <s v=" 65.1505 "/>
    <x v="0"/>
    <n v="131806"/>
    <m/>
    <m/>
  </r>
  <r>
    <x v="3"/>
    <x v="3"/>
    <s v="D:\images\2021-CHG-CBA-Saccharin 1\plaque 1/@03 EE2 51/C3_03.tif "/>
    <s v=" 1762.0542 "/>
    <s v=" 65.2222 "/>
    <x v="0"/>
    <n v="114925"/>
    <m/>
    <m/>
  </r>
  <r>
    <x v="3"/>
    <x v="4"/>
    <s v="D:\images\2021-CHG-CBA-Saccharin 1\plaque 1/@03 EE2 51/D3_01.tif "/>
    <s v=" 3089.0332 "/>
    <s v=" 65.2113 "/>
    <x v="0"/>
    <n v="201440"/>
    <m/>
    <m/>
  </r>
  <r>
    <x v="3"/>
    <x v="4"/>
    <s v="D:\images\2021-CHG-CBA-Saccharin 1\plaque 1/@03 EE2 51/D3_02.tif "/>
    <s v=" 2849.7419 "/>
    <s v=" 65.3511 "/>
    <x v="0"/>
    <n v="186234"/>
    <m/>
    <m/>
  </r>
  <r>
    <x v="3"/>
    <x v="4"/>
    <s v="D:\images\2021-CHG-CBA-Saccharin 1\plaque 1/@03 EE2 51/D3_03.tif "/>
    <s v=" 2392.9131 "/>
    <n v="67"/>
    <x v="0"/>
    <n v="160325"/>
    <m/>
    <m/>
  </r>
  <r>
    <x v="3"/>
    <x v="5"/>
    <s v="D:\images\2021-CHG-CBA-Saccharin 1\plaque 1/@03 EE2 51/E3_01.tif "/>
    <s v=" 1979.5917 "/>
    <s v=" 67.6044 "/>
    <x v="0"/>
    <n v="133829"/>
    <m/>
    <m/>
  </r>
  <r>
    <x v="3"/>
    <x v="5"/>
    <s v="D:\images\2021-CHG-CBA-Saccharin 1\plaque 1/@03 EE2 51/E3_02.tif "/>
    <s v=" 6156.3127 "/>
    <s v=" 70.3816 "/>
    <x v="0"/>
    <n v="433291"/>
    <m/>
    <m/>
  </r>
  <r>
    <x v="3"/>
    <x v="5"/>
    <s v="D:\images\2021-CHG-CBA-Saccharin 1\plaque 1/@03 EE2 51/E3_03.tif "/>
    <s v=" 3067.2795 "/>
    <s v=" 65.2624 "/>
    <x v="0"/>
    <n v="200178"/>
    <m/>
    <m/>
  </r>
  <r>
    <x v="3"/>
    <x v="6"/>
    <s v="D:\images\2021-CHG-CBA-Saccharin 1\plaque 1/@03 EE2 51/F3_01- exclu.tif"/>
    <m/>
    <m/>
    <x v="1"/>
    <m/>
    <m/>
    <m/>
  </r>
  <r>
    <x v="3"/>
    <x v="6"/>
    <s v="D:\images\2021-CHG-CBA-Saccharin 1\plaque 1/@03 EE2 51/F3_02- exclu.tif"/>
    <m/>
    <m/>
    <x v="1"/>
    <m/>
    <m/>
    <m/>
  </r>
  <r>
    <x v="3"/>
    <x v="6"/>
    <s v="D:\images\2021-CHG-CBA-Saccharin 1\plaque 1/@03 EE2 51/F3_03- exclu.tif"/>
    <m/>
    <m/>
    <x v="1"/>
    <m/>
    <m/>
    <m/>
  </r>
  <r>
    <x v="3"/>
    <x v="7"/>
    <s v="D:\images\2021-CHG-CBA-Saccharin 1\plaque 1/@03 EE2 51/G3_01.tif "/>
    <s v=" 2218.883 "/>
    <s v=" 64.1176 "/>
    <x v="0"/>
    <n v="142270"/>
    <m/>
    <m/>
  </r>
  <r>
    <x v="3"/>
    <x v="7"/>
    <s v="D:\images\2021-CHG-CBA-Saccharin 1\plaque 1/@03 EE2 51/G3_02.tif "/>
    <s v=" 1892.5767 "/>
    <s v=" 63.6437 "/>
    <x v="0"/>
    <n v="120451"/>
    <m/>
    <m/>
  </r>
  <r>
    <x v="3"/>
    <x v="7"/>
    <s v="D:\images\2021-CHG-CBA-Saccharin 1\plaque 1/@03 EE2 51/G3_03.tif "/>
    <s v=" 2044.853 "/>
    <s v=" 64.4787 "/>
    <x v="0"/>
    <n v="131850"/>
    <m/>
    <m/>
  </r>
  <r>
    <x v="3"/>
    <x v="8"/>
    <s v="D:\images\2021-CHG-CBA-Saccharin 1\plaque 1/@03 EE2 51/H3_01.tif "/>
    <s v=" 2980.2644 "/>
    <s v=" 64.8321 "/>
    <x v="0"/>
    <n v="193217"/>
    <m/>
    <m/>
  </r>
  <r>
    <x v="3"/>
    <x v="8"/>
    <s v="D:\images\2021-CHG-CBA-Saccharin 1\plaque 1/@03 EE2 51/H3_02.tif "/>
    <s v=" 11377.2139 "/>
    <s v=" 68.0249 "/>
    <x v="0"/>
    <n v="773933"/>
    <m/>
    <m/>
  </r>
  <r>
    <x v="3"/>
    <x v="8"/>
    <s v="D:\images\2021-CHG-CBA-Saccharin 1\plaque 1/@03 EE2 51/H3_03.tif "/>
    <s v=" 7961.8743 "/>
    <s v=" 68.1011 "/>
    <x v="0"/>
    <n v="542212"/>
    <m/>
    <m/>
  </r>
  <r>
    <x v="0"/>
    <x v="0"/>
    <s v=" "/>
    <m/>
    <m/>
    <x v="1"/>
    <m/>
    <m/>
    <m/>
  </r>
  <r>
    <x v="0"/>
    <x v="0"/>
    <s v="group "/>
    <s v=" "/>
    <s v=" mean of mean fluo "/>
    <x v="2"/>
    <s v=" mean of total fluo "/>
    <s v=" SD total fluo "/>
    <s v=" n fluorescent "/>
  </r>
  <r>
    <x v="3"/>
    <x v="9"/>
    <s v="D:\images\2021-CHG-CBA-Saccharin 1\plaque 1/@03 EE2 51/ "/>
    <s v=" "/>
    <s v=" 65.0178 "/>
    <x v="5"/>
    <s v=" 170600.25 "/>
    <s v=" 175594.915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4"/>
    <x v="1"/>
    <s v="D:\images\2021-CHG-CBA-Saccharin 1\plaque 1/@04 EE2 76/A4_01- exclu.tif"/>
    <m/>
    <m/>
    <x v="1"/>
    <m/>
    <m/>
    <m/>
  </r>
  <r>
    <x v="4"/>
    <x v="1"/>
    <s v="D:\images\2021-CHG-CBA-Saccharin 1\plaque 1/@04 EE2 76/A4_02.tif "/>
    <s v=" 4220.2285 "/>
    <s v=" 63.6649 "/>
    <x v="0"/>
    <n v="268681"/>
    <m/>
    <m/>
  </r>
  <r>
    <x v="4"/>
    <x v="1"/>
    <s v="D:\images\2021-CHG-CBA-Saccharin 1\plaque 1/@04 EE2 76/A4_03.tif "/>
    <s v=" 2458.1743 "/>
    <s v=" 64.115 "/>
    <x v="0"/>
    <n v="157606"/>
    <m/>
    <m/>
  </r>
  <r>
    <x v="4"/>
    <x v="2"/>
    <s v="D:\images\2021-CHG-CBA-Saccharin 1\plaque 1/@04 EE2 76/B4_01.tif "/>
    <s v=" 609.1051 "/>
    <s v=" 63.2143 "/>
    <x v="0"/>
    <n v="38504"/>
    <m/>
    <m/>
  </r>
  <r>
    <x v="4"/>
    <x v="2"/>
    <s v="D:\images\2021-CHG-CBA-Saccharin 1\plaque 1/@04 EE2 76/B4_02.tif "/>
    <s v=" 630.8589 "/>
    <s v=" 63.2759 "/>
    <x v="0"/>
    <n v="39918"/>
    <m/>
    <m/>
  </r>
  <r>
    <x v="4"/>
    <x v="2"/>
    <s v="D:\images\2021-CHG-CBA-Saccharin 1\plaque 1/@04 EE2 76/B4_03.tif "/>
    <s v=" 1544.5166 "/>
    <s v=" 62.7183 "/>
    <x v="0"/>
    <n v="96869"/>
    <m/>
    <m/>
  </r>
  <r>
    <x v="4"/>
    <x v="3"/>
    <s v="D:\images\2021-CHG-CBA-Saccharin 1\plaque 1/@04 EE2 76/C4_01.tif "/>
    <s v=" 3002.0182 "/>
    <s v=" 66.0797 "/>
    <x v="0"/>
    <n v="198372"/>
    <m/>
    <m/>
  </r>
  <r>
    <x v="4"/>
    <x v="3"/>
    <s v="D:\images\2021-CHG-CBA-Saccharin 1\plaque 1/@04 EE2 76/C4_02.tif "/>
    <s v=" 3915.6759 "/>
    <s v=" 65.1833 "/>
    <x v="0"/>
    <n v="255237"/>
    <m/>
    <m/>
  </r>
  <r>
    <x v="4"/>
    <x v="3"/>
    <s v="D:\images\2021-CHG-CBA-Saccharin 1\plaque 1/@04 EE2 76/C4_03.tif "/>
    <s v=" 2284.1443 "/>
    <s v=" 65.9048 "/>
    <x v="0"/>
    <n v="150536"/>
    <m/>
    <m/>
  </r>
  <r>
    <x v="4"/>
    <x v="4"/>
    <s v="D:\images\2021-CHG-CBA-Saccharin 1\plaque 1/@04 EE2 76/D4_01.tif "/>
    <s v=" 3872.1684 "/>
    <s v=" 64.1011 "/>
    <x v="0"/>
    <n v="248210"/>
    <m/>
    <m/>
  </r>
  <r>
    <x v="4"/>
    <x v="4"/>
    <s v="D:\images\2021-CHG-CBA-Saccharin 1\plaque 1/@04 EE2 76/D4_02.tif "/>
    <s v=" 8005.3818 "/>
    <s v=" 67.3614 "/>
    <x v="0"/>
    <n v="539254"/>
    <m/>
    <m/>
  </r>
  <r>
    <x v="4"/>
    <x v="4"/>
    <s v="D:\images\2021-CHG-CBA-Saccharin 1\plaque 1/@04 EE2 76/D4_03.tif "/>
    <s v=" 9201.8384 "/>
    <s v=" 71.8676 "/>
    <x v="0"/>
    <n v="661314"/>
    <m/>
    <m/>
  </r>
  <r>
    <x v="4"/>
    <x v="5"/>
    <s v="D:\images\2021-CHG-CBA-Saccharin 1\plaque 1/@04 EE2 76/E4_01.tif "/>
    <s v=" 3176.0482 "/>
    <s v=" 65.5274 "/>
    <x v="0"/>
    <n v="208118"/>
    <m/>
    <m/>
  </r>
  <r>
    <x v="4"/>
    <x v="5"/>
    <s v="D:\images\2021-CHG-CBA-Saccharin 1\plaque 1/@04 EE2 76/E4_02.tif "/>
    <s v=" 3828.6609 "/>
    <s v=" 66.2784 "/>
    <x v="0"/>
    <n v="253758"/>
    <m/>
    <m/>
  </r>
  <r>
    <x v="4"/>
    <x v="5"/>
    <s v="D:\images\2021-CHG-CBA-Saccharin 1\plaque 1/@04 EE2 76/E4_03.tif "/>
    <s v=" 413.3213 "/>
    <s v=" 64.6842 "/>
    <x v="0"/>
    <n v="26735"/>
    <m/>
    <m/>
  </r>
  <r>
    <x v="4"/>
    <x v="6"/>
    <s v="D:\images\2021-CHG-CBA-Saccharin 1\plaque 1/@04 EE2 76/F4_01.tif "/>
    <s v=" 11921.0577 "/>
    <s v=" 63.9562 "/>
    <x v="0"/>
    <n v="762426"/>
    <m/>
    <m/>
  </r>
  <r>
    <x v="4"/>
    <x v="6"/>
    <s v="D:\images\2021-CHG-CBA-Saccharin 1\plaque 1/@04 EE2 76/F4_02.tif "/>
    <s v=" 17533.5265 "/>
    <s v=" 65.5794 "/>
    <x v="0"/>
    <n v="1149838"/>
    <m/>
    <m/>
  </r>
  <r>
    <x v="4"/>
    <x v="6"/>
    <s v="D:\images\2021-CHG-CBA-Saccharin 1\plaque 1/@04 EE2 76/F4_03.tif "/>
    <s v=" 16184.7937 "/>
    <s v=" 65.9382 "/>
    <x v="0"/>
    <n v="1067196"/>
    <m/>
    <m/>
  </r>
  <r>
    <x v="4"/>
    <x v="7"/>
    <s v="D:\images\2021-CHG-CBA-Saccharin 1\plaque 1/@04 EE2 76/G4_01.tif "/>
    <s v=" 5068.6249 "/>
    <s v=" 63.7682 "/>
    <x v="0"/>
    <n v="323217"/>
    <m/>
    <m/>
  </r>
  <r>
    <x v="4"/>
    <x v="7"/>
    <s v="D:\images\2021-CHG-CBA-Saccharin 1\plaque 1/@04 EE2 76/G4_02.tif "/>
    <s v=" 3045.5257 "/>
    <s v=" 63.75 "/>
    <x v="0"/>
    <n v="194152"/>
    <m/>
    <m/>
  </r>
  <r>
    <x v="4"/>
    <x v="7"/>
    <s v="D:\images\2021-CHG-CBA-Saccharin 1\plaque 1/@04 EE2 76/G4_03.tif "/>
    <s v=" 4655.3036 "/>
    <s v=" 63.4579 "/>
    <x v="0"/>
    <n v="295416"/>
    <m/>
    <m/>
  </r>
  <r>
    <x v="4"/>
    <x v="8"/>
    <s v="D:\images\2021-CHG-CBA-Saccharin 1\plaque 1/@04 EE2 76/H4_01- exclu.tif"/>
    <m/>
    <m/>
    <x v="1"/>
    <m/>
    <m/>
    <m/>
  </r>
  <r>
    <x v="4"/>
    <x v="8"/>
    <s v="D:\images\2021-CHG-CBA-Saccharin 1\plaque 1/@04 EE2 76/H4_02- exclu.tif"/>
    <m/>
    <m/>
    <x v="1"/>
    <m/>
    <m/>
    <m/>
  </r>
  <r>
    <x v="4"/>
    <x v="8"/>
    <s v="D:\images\2021-CHG-CBA-Saccharin 1\plaque 1/@04 EE2 76/H4_03.tif "/>
    <s v=" 3632.8771 "/>
    <s v=" 64.3054 "/>
    <x v="0"/>
    <n v="233614"/>
    <m/>
    <m/>
  </r>
  <r>
    <x v="0"/>
    <x v="0"/>
    <s v=" "/>
    <m/>
    <m/>
    <x v="1"/>
    <m/>
    <m/>
    <m/>
  </r>
  <r>
    <x v="0"/>
    <x v="0"/>
    <s v="group "/>
    <s v=" "/>
    <s v=" mean of mean fluo "/>
    <x v="2"/>
    <s v=" mean of total fluo "/>
    <s v=" SD total fluo "/>
    <s v=" n fluorescent "/>
  </r>
  <r>
    <x v="4"/>
    <x v="9"/>
    <s v="D:\images\2021-CHG-CBA-Saccharin 1\plaque 1/@04 EE2 76/ "/>
    <s v=" "/>
    <s v=" 64.84 "/>
    <x v="6"/>
    <s v=" 338703.208 "/>
    <s v=" 321434.458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5"/>
    <x v="1"/>
    <s v="D:\images\2021-CHG-CBA-Saccharin 1\plaque 1/@05 EE2 114/A5_01.tif "/>
    <s v=" 30781.5633 "/>
    <s v=" 71.7739 "/>
    <x v="0"/>
    <n v="2209311"/>
    <m/>
    <m/>
  </r>
  <r>
    <x v="5"/>
    <x v="1"/>
    <s v="D:\images\2021-CHG-CBA-Saccharin 1\plaque 1/@05 EE2 114/A5_02.tif "/>
    <s v=" 28453.9115 "/>
    <s v=" 73.4052 "/>
    <x v="0"/>
    <n v="2088665"/>
    <m/>
    <m/>
  </r>
  <r>
    <x v="5"/>
    <x v="1"/>
    <s v="D:\images\2021-CHG-CBA-Saccharin 1\plaque 1/@05 EE2 114/A5_03.tif "/>
    <s v=" 27779.5451 "/>
    <s v=" 73.2827 "/>
    <x v="0"/>
    <n v="2035760"/>
    <m/>
    <m/>
  </r>
  <r>
    <x v="5"/>
    <x v="2"/>
    <s v="D:\images\2021-CHG-CBA-Saccharin 1\plaque 1/@05 EE2 114/B5_01- exclu.tif"/>
    <m/>
    <m/>
    <x v="1"/>
    <m/>
    <m/>
    <m/>
  </r>
  <r>
    <x v="5"/>
    <x v="2"/>
    <s v="D:\images\2021-CHG-CBA-Saccharin 1\plaque 1/@05 EE2 114/B5_02.tif "/>
    <s v=" 54058.0812 "/>
    <s v=" 82.2483 "/>
    <x v="0"/>
    <n v="4446185"/>
    <m/>
    <m/>
  </r>
  <r>
    <x v="5"/>
    <x v="2"/>
    <s v="D:\images\2021-CHG-CBA-Saccharin 1\plaque 1/@05 EE2 114/B5_03.tif "/>
    <s v=" 50729.7567 "/>
    <s v=" 79.9451 "/>
    <x v="0"/>
    <n v="4055596"/>
    <m/>
    <m/>
  </r>
  <r>
    <x v="5"/>
    <x v="3"/>
    <s v="D:\images\2021-CHG-CBA-Saccharin 1\plaque 1/@05 EE2 114/C5_01.tif "/>
    <s v=" 63912.5322 "/>
    <s v=" 74.0534 "/>
    <x v="0"/>
    <n v="4732943"/>
    <m/>
    <m/>
  </r>
  <r>
    <x v="5"/>
    <x v="3"/>
    <s v="D:\images\2021-CHG-CBA-Saccharin 1\plaque 1/@05 EE2 114/C5_02.tif "/>
    <s v=" 63085.8895 "/>
    <s v=" 75.2752 "/>
    <x v="0"/>
    <n v="4748801"/>
    <m/>
    <m/>
  </r>
  <r>
    <x v="5"/>
    <x v="3"/>
    <s v="D:\images\2021-CHG-CBA-Saccharin 1\plaque 1/@05 EE2 114/C5_03.tif "/>
    <s v=" 58017.2646 "/>
    <s v=" 72.4477 "/>
    <x v="0"/>
    <n v="4203217"/>
    <m/>
    <m/>
  </r>
  <r>
    <x v="5"/>
    <x v="4"/>
    <s v="D:\images\2021-CHG-CBA-Saccharin 1\plaque 1/@05 EE2 114/D5_01- exclu.tif"/>
    <m/>
    <m/>
    <x v="1"/>
    <m/>
    <m/>
    <m/>
  </r>
  <r>
    <x v="5"/>
    <x v="4"/>
    <s v="D:\images\2021-CHG-CBA-Saccharin 1\plaque 1/@05 EE2 114/D5_02.tif "/>
    <s v=" 27866.5602 "/>
    <s v=" 67.9867 "/>
    <x v="0"/>
    <n v="1894556"/>
    <m/>
    <m/>
  </r>
  <r>
    <x v="5"/>
    <x v="4"/>
    <s v="D:\images\2021-CHG-CBA-Saccharin 1\plaque 1/@05 EE2 114/D5_03.tif "/>
    <s v=" 28997.7554 "/>
    <s v=" 72.1395 "/>
    <x v="0"/>
    <n v="2091885"/>
    <m/>
    <m/>
  </r>
  <r>
    <x v="5"/>
    <x v="5"/>
    <s v="D:\images\2021-CHG-CBA-Saccharin 1\plaque 1/@05 EE2 114/E5_01.tif "/>
    <s v=" 38830.4527 "/>
    <s v=" 68.2443 "/>
    <x v="0"/>
    <n v="2649955"/>
    <m/>
    <m/>
  </r>
  <r>
    <x v="5"/>
    <x v="5"/>
    <s v="D:\images\2021-CHG-CBA-Saccharin 1\plaque 1/@05 EE2 114/E5_02.tif "/>
    <s v=" 39939.8942 "/>
    <s v=" 68.7021 "/>
    <x v="0"/>
    <n v="2743953"/>
    <m/>
    <m/>
  </r>
  <r>
    <x v="5"/>
    <x v="5"/>
    <s v="D:\images\2021-CHG-CBA-Saccharin 1\plaque 1/@05 EE2 114/E5_03.tif "/>
    <s v=" 42593.8523 "/>
    <s v=" 69.8647 "/>
    <x v="0"/>
    <n v="2975805"/>
    <m/>
    <m/>
  </r>
  <r>
    <x v="5"/>
    <x v="6"/>
    <s v="D:\images\2021-CHG-CBA-Saccharin 1\plaque 1/@05 EE2 114/F5_01.tif "/>
    <s v=" 39939.8942 "/>
    <s v=" 69.5997 "/>
    <x v="0"/>
    <n v="2779804"/>
    <m/>
    <m/>
  </r>
  <r>
    <x v="5"/>
    <x v="6"/>
    <s v="D:\images\2021-CHG-CBA-Saccharin 1\plaque 1/@05 EE2 114/F5_02.tif "/>
    <s v=" 36154.7408 "/>
    <s v=" 70.0505 "/>
    <x v="0"/>
    <n v="2532659"/>
    <m/>
    <m/>
  </r>
  <r>
    <x v="5"/>
    <x v="6"/>
    <s v="D:\images\2021-CHG-CBA-Saccharin 1\plaque 1/@05 EE2 114/F5_03.tif "/>
    <s v=" 40744.7831 "/>
    <s v=" 70.3636 "/>
    <x v="0"/>
    <n v="2866949"/>
    <m/>
    <m/>
  </r>
  <r>
    <x v="5"/>
    <x v="7"/>
    <s v="D:\images\2021-CHG-CBA-Saccharin 1\plaque 1/@05 EE2 114/G5_01.tif "/>
    <s v=" 19317.3344 "/>
    <s v=" 75.0304 "/>
    <x v="0"/>
    <n v="1449387"/>
    <m/>
    <m/>
  </r>
  <r>
    <x v="5"/>
    <x v="7"/>
    <s v="D:\images\2021-CHG-CBA-Saccharin 1\plaque 1/@05 EE2 114/G5_02.tif "/>
    <s v=" 22080.0613 "/>
    <s v=" 76.3655 "/>
    <x v="0"/>
    <n v="1686155"/>
    <m/>
    <m/>
  </r>
  <r>
    <x v="5"/>
    <x v="7"/>
    <s v="D:\images\2021-CHG-CBA-Saccharin 1\plaque 1/@05 EE2 114/G5_03.tif "/>
    <s v=" 26496.0736 "/>
    <s v=" 73.4737 "/>
    <x v="0"/>
    <n v="1946765"/>
    <m/>
    <m/>
  </r>
  <r>
    <x v="5"/>
    <x v="8"/>
    <s v="D:\images\2021-CHG-CBA-Saccharin 1\plaque 1/@05 EE2 114/H5_01.tif "/>
    <s v=" 29933.1669 "/>
    <s v=" 76.7936 "/>
    <x v="0"/>
    <n v="2298676"/>
    <m/>
    <m/>
  </r>
  <r>
    <x v="5"/>
    <x v="8"/>
    <s v="D:\images\2021-CHG-CBA-Saccharin 1\plaque 1/@05 EE2 114/H5_02.tif "/>
    <s v=" 26865.8874 "/>
    <s v=" 77.7984 "/>
    <x v="0"/>
    <n v="2090123"/>
    <m/>
    <m/>
  </r>
  <r>
    <x v="5"/>
    <x v="8"/>
    <s v="D:\images\2021-CHG-CBA-Saccharin 1\plaque 1/@05 EE2 114/H5_03.tif "/>
    <s v=" 26039.2447 "/>
    <s v=" 79.0643 "/>
    <x v="0"/>
    <n v="2058775"/>
    <m/>
    <m/>
  </r>
  <r>
    <x v="0"/>
    <x v="0"/>
    <s v=" "/>
    <m/>
    <m/>
    <x v="1"/>
    <m/>
    <m/>
    <m/>
  </r>
  <r>
    <x v="0"/>
    <x v="0"/>
    <s v="group "/>
    <s v=" "/>
    <s v=" mean of mean fluo "/>
    <x v="2"/>
    <s v=" mean of total fluo "/>
    <s v=" SD total fluo "/>
    <s v=" n fluorescent "/>
  </r>
  <r>
    <x v="5"/>
    <x v="9"/>
    <s v="D:\images\2021-CHG-CBA-Saccharin 1\plaque 1/@05 EE2 114/ "/>
    <s v=" "/>
    <s v=" 73.7398 "/>
    <x v="7"/>
    <s v=" 2758710.54 "/>
    <s v=" 1034033.03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6"/>
    <x v="1"/>
    <s v="D:\images\2021-CHG-CBA-Saccharin 1\plaque 1/@06 EE2 171/A6_01- exclu.tif"/>
    <m/>
    <m/>
    <x v="1"/>
    <m/>
    <m/>
    <m/>
  </r>
  <r>
    <x v="6"/>
    <x v="1"/>
    <s v="D:\images\2021-CHG-CBA-Saccharin 1\plaque 1/@06 EE2 171/A6_02.tif "/>
    <s v=" 27387.9775 "/>
    <s v=" 72.3471 "/>
    <x v="0"/>
    <n v="1981441"/>
    <m/>
    <m/>
  </r>
  <r>
    <x v="6"/>
    <x v="1"/>
    <s v="D:\images\2021-CHG-CBA-Saccharin 1\plaque 1/@06 EE2 171/A6_03.tif "/>
    <s v=" 26126.2598 "/>
    <s v=" 73.3489 "/>
    <x v="0"/>
    <n v="1916332"/>
    <m/>
    <m/>
  </r>
  <r>
    <x v="6"/>
    <x v="2"/>
    <s v="D:\images\2021-CHG-CBA-Saccharin 1\plaque 1/@06 EE2 171/B6_01.tif "/>
    <s v=" 51578.1531 "/>
    <s v=" 72.7841 "/>
    <x v="0"/>
    <n v="3754067"/>
    <m/>
    <m/>
  </r>
  <r>
    <x v="6"/>
    <x v="2"/>
    <s v="D:\images\2021-CHG-CBA-Saccharin 1\plaque 1/@06 EE2 171/B6_02.tif "/>
    <s v=" 44899.7503 "/>
    <s v=" 73.7994 "/>
    <x v="0"/>
    <n v="3313575"/>
    <m/>
    <m/>
  </r>
  <r>
    <x v="6"/>
    <x v="2"/>
    <s v="D:\images\2021-CHG-CBA-Saccharin 1\plaque 1/@06 EE2 171/B6_03.tif "/>
    <s v=" 43899.0776 "/>
    <s v=" 73.3434 "/>
    <x v="0"/>
    <n v="3219708"/>
    <m/>
    <m/>
  </r>
  <r>
    <x v="6"/>
    <x v="3"/>
    <s v="D:\images\2021-CHG-CBA-Saccharin 1\plaque 1/@06 EE2 171/C6_01.tif "/>
    <s v=" 49642.0689 "/>
    <s v=" 79.5 "/>
    <x v="0"/>
    <n v="3946544"/>
    <m/>
    <m/>
  </r>
  <r>
    <x v="6"/>
    <x v="3"/>
    <s v="D:\images\2021-CHG-CBA-Saccharin 1\plaque 1/@06 EE2 171/C6_02.tif "/>
    <s v=" 52970.3934 "/>
    <s v=" 79.6846 "/>
    <x v="0"/>
    <n v="4220925"/>
    <m/>
    <m/>
  </r>
  <r>
    <x v="6"/>
    <x v="3"/>
    <s v="D:\images\2021-CHG-CBA-Saccharin 1\plaque 1/@06 EE2 171/C6_03.tif "/>
    <s v=" 56538.0093 "/>
    <s v=" 78.4886 "/>
    <x v="0"/>
    <n v="4437592"/>
    <m/>
    <m/>
  </r>
  <r>
    <x v="6"/>
    <x v="4"/>
    <s v="D:\images\2021-CHG-CBA-Saccharin 1\plaque 1/@06 EE2 171/D6_01.tif "/>
    <s v=" 31869.2511 "/>
    <s v=" 71.5645 "/>
    <x v="0"/>
    <n v="2280707"/>
    <m/>
    <m/>
  </r>
  <r>
    <x v="6"/>
    <x v="4"/>
    <s v="D:\images\2021-CHG-CBA-Saccharin 1\plaque 1/@06 EE2 171/D6_02.tif "/>
    <s v=" 34175.1491 "/>
    <s v=" 71.6187 "/>
    <x v="0"/>
    <n v="2447580"/>
    <m/>
    <m/>
  </r>
  <r>
    <x v="6"/>
    <x v="4"/>
    <s v="D:\images\2021-CHG-CBA-Saccharin 1\plaque 1/@06 EE2 171/D6_03.tif "/>
    <s v=" 27757.7914 "/>
    <s v=" 70.2861 "/>
    <x v="0"/>
    <n v="1950986"/>
    <m/>
    <m/>
  </r>
  <r>
    <x v="6"/>
    <x v="5"/>
    <s v="D:\images\2021-CHG-CBA-Saccharin 1\plaque 1/@06 EE2 171/E6_01.tif "/>
    <s v=" 42941.9124 "/>
    <s v=" 72.5927 "/>
    <x v="0"/>
    <n v="3117270"/>
    <m/>
    <m/>
  </r>
  <r>
    <x v="6"/>
    <x v="5"/>
    <s v="D:\images\2021-CHG-CBA-Saccharin 1\plaque 1/@06 EE2 171/E6_02.tif "/>
    <s v=" 42485.0835 "/>
    <s v=" 70.2115 "/>
    <x v="0"/>
    <n v="2982940"/>
    <m/>
    <m/>
  </r>
  <r>
    <x v="6"/>
    <x v="5"/>
    <s v="D:\images\2021-CHG-CBA-Saccharin 1\plaque 1/@06 EE2 171/E6_03.tif "/>
    <s v=" 46009.1918 "/>
    <s v=" 73.6898 "/>
    <x v="0"/>
    <n v="3390410"/>
    <m/>
    <m/>
  </r>
  <r>
    <x v="6"/>
    <x v="6"/>
    <s v="D:\images\2021-CHG-CBA-Saccharin 1\plaque 1/@06 EE2 171/F6_01.tif "/>
    <s v=" 50860.2792 "/>
    <s v=" 76.8623 "/>
    <x v="0"/>
    <n v="3909237"/>
    <m/>
    <m/>
  </r>
  <r>
    <x v="6"/>
    <x v="6"/>
    <s v="D:\images\2021-CHG-CBA-Saccharin 1\plaque 1/@06 EE2 171/F6_02.tif "/>
    <s v=" 55754.8741 "/>
    <s v=" 75.1116 "/>
    <x v="0"/>
    <n v="4187837"/>
    <m/>
    <m/>
  </r>
  <r>
    <x v="6"/>
    <x v="6"/>
    <s v="D:\images\2021-CHG-CBA-Saccharin 1\plaque 1/@06 EE2 171/F6_03.tif "/>
    <s v=" 47357.9246 "/>
    <s v=" 77.9789 "/>
    <x v="0"/>
    <n v="3692917"/>
    <m/>
    <m/>
  </r>
  <r>
    <x v="6"/>
    <x v="7"/>
    <s v="D:\images\2021-CHG-CBA-Saccharin 1\plaque 1/@06 EE2 171/G6_01.tif "/>
    <s v=" 43964.3389 "/>
    <s v=" 74.9446 "/>
    <x v="0"/>
    <n v="3294889"/>
    <m/>
    <m/>
  </r>
  <r>
    <x v="6"/>
    <x v="7"/>
    <s v="D:\images\2021-CHG-CBA-Saccharin 1\plaque 1/@06 EE2 171/G6_02.tif "/>
    <s v=" 43398.7412 "/>
    <s v=" 74.6306 "/>
    <x v="0"/>
    <n v="3238873"/>
    <m/>
    <m/>
  </r>
  <r>
    <x v="6"/>
    <x v="7"/>
    <s v="D:\images\2021-CHG-CBA-Saccharin 1\plaque 1/@06 EE2 171/G6_03.tif "/>
    <s v=" 38786.9452 "/>
    <s v=" 73.1368 "/>
    <x v="0"/>
    <n v="2836755"/>
    <m/>
    <m/>
  </r>
  <r>
    <x v="6"/>
    <x v="8"/>
    <s v="D:\images\2021-CHG-CBA-Saccharin 1\plaque 1/@06 EE2 171/H6_01.tif "/>
    <s v=" 19404.3495 "/>
    <s v=" 67.6513 "/>
    <x v="0"/>
    <n v="1312730"/>
    <m/>
    <m/>
  </r>
  <r>
    <x v="6"/>
    <x v="8"/>
    <s v="D:\images\2021-CHG-CBA-Saccharin 1\plaque 1/@06 EE2 171/H6_02.tif "/>
    <s v=" 20840.0973 "/>
    <s v=" 67.5344 "/>
    <x v="0"/>
    <n v="1407424"/>
    <m/>
    <m/>
  </r>
  <r>
    <x v="6"/>
    <x v="8"/>
    <s v="D:\images\2021-CHG-CBA-Saccharin 1\plaque 1/@06 EE2 171/H6_03.tif "/>
    <s v=" 25299.6171 "/>
    <s v=" 70.804 "/>
    <x v="0"/>
    <n v="1791313"/>
    <m/>
    <m/>
  </r>
  <r>
    <x v="0"/>
    <x v="0"/>
    <s v=" "/>
    <m/>
    <m/>
    <x v="1"/>
    <m/>
    <m/>
    <m/>
  </r>
  <r>
    <x v="0"/>
    <x v="0"/>
    <s v="group "/>
    <s v=" "/>
    <s v=" mean of mean fluo "/>
    <x v="2"/>
    <s v=" mean of total fluo "/>
    <s v=" SD total fluo "/>
    <s v=" n fluorescent "/>
  </r>
  <r>
    <x v="6"/>
    <x v="9"/>
    <s v="D:\images\2021-CHG-CBA-Saccharin 1\plaque 1/@06 EE2 171/ "/>
    <s v=" "/>
    <s v=" 73.4325 "/>
    <x v="8"/>
    <s v=" 2919708.29 "/>
    <s v=" 966352.012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7"/>
    <x v="1"/>
    <s v="D:\images\2021-CHG-CBA-Saccharin 1\plaque 1/@07 EE2 488/A7_01.tif "/>
    <s v=" 55928.9041 "/>
    <s v=" 93.7347 "/>
    <x v="0"/>
    <n v="5242481"/>
    <m/>
    <m/>
  </r>
  <r>
    <x v="7"/>
    <x v="1"/>
    <s v="D:\images\2021-CHG-CBA-Saccharin 1\plaque 1/@07 EE2 488/A7_02.tif "/>
    <s v=" 50664.4954 "/>
    <s v=" 98.5754 "/>
    <x v="0"/>
    <n v="4994271"/>
    <m/>
    <m/>
  </r>
  <r>
    <x v="7"/>
    <x v="1"/>
    <s v="D:\images\2021-CHG-CBA-Saccharin 1\plaque 1/@07 EE2 488/A7_03.tif "/>
    <s v=" 53035.6547 "/>
    <s v=" 97.6977 "/>
    <x v="0"/>
    <n v="5181462"/>
    <m/>
    <m/>
  </r>
  <r>
    <x v="7"/>
    <x v="2"/>
    <s v="D:\images\2021-CHG-CBA-Saccharin 1\plaque 1/@07 EE2 488/B7_01.tif "/>
    <s v=" 61476.1116 "/>
    <s v=" 103.0584 "/>
    <x v="0"/>
    <n v="6335629"/>
    <m/>
    <m/>
  </r>
  <r>
    <x v="7"/>
    <x v="2"/>
    <s v="D:\images\2021-CHG-CBA-Saccharin 1\plaque 1/@07 EE2 488/B7_02.tif "/>
    <s v=" 67849.9619 "/>
    <s v=" 100.808 "/>
    <x v="0"/>
    <n v="6839816"/>
    <m/>
    <m/>
  </r>
  <r>
    <x v="7"/>
    <x v="2"/>
    <s v="D:\images\2021-CHG-CBA-Saccharin 1\plaque 1/@07 EE2 488/B7_03.tif "/>
    <s v=" 61258.5741 "/>
    <s v=" 104.604 "/>
    <x v="0"/>
    <n v="6407895"/>
    <m/>
    <m/>
  </r>
  <r>
    <x v="7"/>
    <x v="3"/>
    <s v="D:\images\2021-CHG-CBA-Saccharin 1\plaque 1/@07 EE2 488/C7_01.tif "/>
    <s v=" 51491.1381 "/>
    <s v=" 100.6008 "/>
    <x v="0"/>
    <n v="5180048"/>
    <m/>
    <m/>
  </r>
  <r>
    <x v="7"/>
    <x v="3"/>
    <s v="D:\images\2021-CHG-CBA-Saccharin 1\plaque 1/@07 EE2 488/C7_02.tif "/>
    <s v=" 57712.712 "/>
    <s v=" 95.5236 "/>
    <x v="0"/>
    <n v="5512924"/>
    <m/>
    <m/>
  </r>
  <r>
    <x v="7"/>
    <x v="3"/>
    <s v="D:\images\2021-CHG-CBA-Saccharin 1\plaque 1/@07 EE2 488/C7_03.tif "/>
    <s v=" 57016.5919 "/>
    <s v=" 96.794 "/>
    <x v="0"/>
    <n v="5518862"/>
    <m/>
    <m/>
  </r>
  <r>
    <x v="7"/>
    <x v="4"/>
    <s v="D:\images\2021-CHG-CBA-Saccharin 1\plaque 1/@07 EE2 488/D7_01.tif "/>
    <s v=" 41223.3657 "/>
    <s v=" 109.6665 "/>
    <x v="0"/>
    <n v="4520822"/>
    <m/>
    <m/>
  </r>
  <r>
    <x v="7"/>
    <x v="4"/>
    <s v="D:\images\2021-CHG-CBA-Saccharin 1\plaque 1/@07 EE2 488/D7_02.tif "/>
    <s v=" 41223.3657 "/>
    <s v=" 112.3726 "/>
    <x v="0"/>
    <n v="4632375"/>
    <m/>
    <m/>
  </r>
  <r>
    <x v="7"/>
    <x v="4"/>
    <s v="D:\images\2021-CHG-CBA-Saccharin 1\plaque 1/@07 EE2 488/D7_03- exclu.tif"/>
    <m/>
    <m/>
    <x v="1"/>
    <m/>
    <m/>
    <m/>
  </r>
  <r>
    <x v="7"/>
    <x v="5"/>
    <s v="D:\images\2021-CHG-CBA-Saccharin 1\plaque 1/@07 EE2 488/E7_01.tif "/>
    <s v=" 89886.5157 "/>
    <s v=" 96.7444 "/>
    <x v="0"/>
    <n v="8696020"/>
    <m/>
    <m/>
  </r>
  <r>
    <x v="7"/>
    <x v="5"/>
    <s v="D:\images\2021-CHG-CBA-Saccharin 1\plaque 1/@07 EE2 488/E7_02.tif "/>
    <s v=" 90060.5457 "/>
    <s v=" 97.3911 "/>
    <x v="0"/>
    <n v="8771092"/>
    <m/>
    <m/>
  </r>
  <r>
    <x v="7"/>
    <x v="5"/>
    <s v="D:\images\2021-CHG-CBA-Saccharin 1\plaque 1/@07 EE2 488/E7_03.tif "/>
    <s v=" 92061.8912 "/>
    <s v=" 96.1654 "/>
    <x v="0"/>
    <n v="8853169"/>
    <m/>
    <m/>
  </r>
  <r>
    <x v="7"/>
    <x v="6"/>
    <s v="D:\images\2021-CHG-CBA-Saccharin 1\plaque 1/@07 EE2 488/F7_01.tif "/>
    <s v=" 71743.884 "/>
    <s v=" 89.8908 "/>
    <x v="0"/>
    <n v="6449118"/>
    <m/>
    <m/>
  </r>
  <r>
    <x v="7"/>
    <x v="6"/>
    <s v="D:\images\2021-CHG-CBA-Saccharin 1\plaque 1/@07 EE2 488/F7_02.tif "/>
    <s v=" 68698.3583 "/>
    <s v=" 90.5728 "/>
    <x v="0"/>
    <n v="6222205"/>
    <m/>
    <m/>
  </r>
  <r>
    <x v="7"/>
    <x v="6"/>
    <s v="D:\images\2021-CHG-CBA-Saccharin 1\plaque 1/@07 EE2 488/F7_03.tif "/>
    <s v=" 68959.4034 "/>
    <s v=" 89.9634 "/>
    <x v="0"/>
    <n v="6203823"/>
    <m/>
    <m/>
  </r>
  <r>
    <x v="7"/>
    <x v="7"/>
    <s v="D:\images\2021-CHG-CBA-Saccharin 1\plaque 1/@07 EE2 488/G7_01.tif "/>
    <s v=" 72026.6828 "/>
    <s v=" 92.8451 "/>
    <x v="0"/>
    <n v="6687322"/>
    <m/>
    <m/>
  </r>
  <r>
    <x v="7"/>
    <x v="7"/>
    <s v="D:\images\2021-CHG-CBA-Saccharin 1\plaque 1/@07 EE2 488/G7_02.tif "/>
    <s v=" 68306.7907 "/>
    <s v=" 89.2398 "/>
    <x v="0"/>
    <n v="6095685"/>
    <m/>
    <m/>
  </r>
  <r>
    <x v="7"/>
    <x v="7"/>
    <s v="D:\images\2021-CHG-CBA-Saccharin 1\plaque 1/@07 EE2 488/G7_03.tif "/>
    <s v=" 59583.535 "/>
    <s v=" 97.1665 "/>
    <x v="0"/>
    <n v="5789523"/>
    <m/>
    <m/>
  </r>
  <r>
    <x v="7"/>
    <x v="8"/>
    <s v="D:\images\2021-CHG-CBA-Saccharin 1\plaque 1/@07 EE2 488/H7_01.tif "/>
    <s v=" 69024.6646 "/>
    <s v=" 97.4879 "/>
    <x v="0"/>
    <n v="6729067"/>
    <m/>
    <m/>
  </r>
  <r>
    <x v="7"/>
    <x v="8"/>
    <s v="D:\images\2021-CHG-CBA-Saccharin 1\plaque 1/@07 EE2 488/H7_02.tif "/>
    <s v=" 66544.7366 "/>
    <s v=" 99.0902 "/>
    <x v="0"/>
    <n v="6593933"/>
    <m/>
    <m/>
  </r>
  <r>
    <x v="7"/>
    <x v="8"/>
    <s v="D:\images\2021-CHG-CBA-Saccharin 1\plaque 1/@07 EE2 488/H7_03.tif "/>
    <s v=" 69960.0761 "/>
    <s v=" 99.6943 "/>
    <x v="0"/>
    <n v="6974624"/>
    <m/>
    <m/>
  </r>
  <r>
    <x v="0"/>
    <x v="0"/>
    <s v=" "/>
    <m/>
    <m/>
    <x v="1"/>
    <m/>
    <m/>
    <m/>
  </r>
  <r>
    <x v="0"/>
    <x v="0"/>
    <s v="group "/>
    <s v=" "/>
    <s v=" mean of mean fluo "/>
    <x v="2"/>
    <s v=" mean of total fluo "/>
    <s v=" SD total fluo "/>
    <s v=" n fluorescent "/>
  </r>
  <r>
    <x v="7"/>
    <x v="9"/>
    <s v="D:\images\2021-CHG-CBA-Saccharin 1\plaque 1/@07 EE2 488/ "/>
    <s v=" "/>
    <s v=" 98.5421 "/>
    <x v="9"/>
    <s v=" 6188391.38 "/>
    <s v=" 1267984.72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8"/>
    <x v="1"/>
    <s v="D:\images\2021-CHG-CBA-Saccharin 1\plaque 1/@08 Saccharin 0.01/A8_01.tif "/>
    <s v=" 4503.0273 "/>
    <s v=" 68.5217 "/>
    <x v="0"/>
    <n v="308555"/>
    <m/>
    <m/>
  </r>
  <r>
    <x v="8"/>
    <x v="1"/>
    <s v="D:\images\2021-CHG-CBA-Saccharin 1\plaque 1/@08 Saccharin 0.01/A8_02.tif "/>
    <s v=" 2827.9882 "/>
    <s v=" 65.6846 "/>
    <x v="0"/>
    <n v="185755"/>
    <m/>
    <m/>
  </r>
  <r>
    <x v="8"/>
    <x v="1"/>
    <s v="D:\images\2021-CHG-CBA-Saccharin 1\plaque 1/@08 Saccharin 0.01/A8_03.tif "/>
    <s v=" 2001.3455 "/>
    <s v=" 64.4239 "/>
    <x v="0"/>
    <n v="128935"/>
    <m/>
    <m/>
  </r>
  <r>
    <x v="8"/>
    <x v="2"/>
    <s v="D:\images\2021-CHG-CBA-Saccharin 1\plaque 1/@08 Saccharin 0.01/B8_01.tif "/>
    <s v=" 2871.4957 "/>
    <s v=" 64.7803 "/>
    <x v="0"/>
    <n v="186016"/>
    <m/>
    <m/>
  </r>
  <r>
    <x v="8"/>
    <x v="2"/>
    <s v="D:\images\2021-CHG-CBA-Saccharin 1\plaque 1/@08 Saccharin 0.01/B8_02.tif "/>
    <s v=" 4372.5048 "/>
    <s v=" 65.1741 "/>
    <x v="0"/>
    <n v="284974"/>
    <m/>
    <m/>
  </r>
  <r>
    <x v="8"/>
    <x v="2"/>
    <s v="D:\images\2021-CHG-CBA-Saccharin 1\plaque 1/@08 Saccharin 0.01/B8_03.tif "/>
    <s v=" 3589.3696 "/>
    <s v=" 64.8 "/>
    <x v="0"/>
    <n v="232591"/>
    <m/>
    <m/>
  </r>
  <r>
    <x v="8"/>
    <x v="3"/>
    <s v="D:\images\2021-CHG-CBA-Saccharin 1\plaque 1/@08 Saccharin 0.01/C8_01.tif "/>
    <s v=" 4328.9972 "/>
    <s v=" 71.4171 "/>
    <x v="0"/>
    <n v="309164"/>
    <m/>
    <m/>
  </r>
  <r>
    <x v="8"/>
    <x v="3"/>
    <s v="D:\images\2021-CHG-CBA-Saccharin 1\plaque 1/@08 Saccharin 0.01/C8_02.tif "/>
    <s v=" 4546.5348 "/>
    <s v=" 68.9187 "/>
    <x v="0"/>
    <n v="313341"/>
    <m/>
    <m/>
  </r>
  <r>
    <x v="8"/>
    <x v="3"/>
    <s v="D:\images\2021-CHG-CBA-Saccharin 1\plaque 1/@08 Saccharin 0.01/C8_03.tif "/>
    <s v=" 4764.0723 "/>
    <s v=" 69.2237 "/>
    <x v="0"/>
    <n v="329787"/>
    <m/>
    <m/>
  </r>
  <r>
    <x v="8"/>
    <x v="4"/>
    <s v="D:\images\2021-CHG-CBA-Saccharin 1\plaque 1/@08 Saccharin 0.01/D8_01.tif "/>
    <s v=" 13052.253 "/>
    <s v=" 78.1633 "/>
    <x v="0"/>
    <n v="1020208"/>
    <m/>
    <m/>
  </r>
  <r>
    <x v="8"/>
    <x v="4"/>
    <s v="D:\images\2021-CHG-CBA-Saccharin 1\plaque 1/@08 Saccharin 0.01/D8_02.tif "/>
    <s v=" 1261.7178 "/>
    <n v="65"/>
    <x v="0"/>
    <n v="82012"/>
    <m/>
    <m/>
  </r>
  <r>
    <x v="8"/>
    <x v="4"/>
    <s v="D:\images\2021-CHG-CBA-Saccharin 1\plaque 1/@08 Saccharin 0.01/D8_03.tif "/>
    <s v=" 15118.8597 "/>
    <s v=" 80.2475 "/>
    <x v="0"/>
    <n v="1213250"/>
    <m/>
    <m/>
  </r>
  <r>
    <x v="8"/>
    <x v="5"/>
    <s v="D:\images\2021-CHG-CBA-Saccharin 1\plaque 1/@08 Saccharin 0.01/E8_01.tif "/>
    <s v=" 13878.8957 "/>
    <s v=" 92.5893 "/>
    <x v="0"/>
    <n v="1285038"/>
    <m/>
    <m/>
  </r>
  <r>
    <x v="8"/>
    <x v="5"/>
    <s v="D:\images\2021-CHG-CBA-Saccharin 1\plaque 1/@08 Saccharin 0.01/E8_02.tif "/>
    <s v=" 14444.4933 "/>
    <s v=" 100.3961 "/>
    <x v="0"/>
    <n v="1450171"/>
    <m/>
    <m/>
  </r>
  <r>
    <x v="8"/>
    <x v="5"/>
    <s v="D:\images\2021-CHG-CBA-Saccharin 1\plaque 1/@08 Saccharin 0.01/E8_03- exclu.tif"/>
    <m/>
    <m/>
    <x v="1"/>
    <m/>
    <m/>
    <m/>
  </r>
  <r>
    <x v="8"/>
    <x v="6"/>
    <s v="D:\images\2021-CHG-CBA-Saccharin 1\plaque 1/@08 Saccharin 0.01/F8_01.tif "/>
    <s v=" 2479.9281 "/>
    <s v=" 65.0965 "/>
    <x v="0"/>
    <n v="161435"/>
    <m/>
    <m/>
  </r>
  <r>
    <x v="8"/>
    <x v="6"/>
    <s v="D:\images\2021-CHG-CBA-Saccharin 1\plaque 1/@08 Saccharin 0.01/F8_02.tif "/>
    <s v=" 2197.1293 "/>
    <s v=" 64.1881 "/>
    <x v="0"/>
    <n v="141030"/>
    <m/>
    <m/>
  </r>
  <r>
    <x v="8"/>
    <x v="6"/>
    <s v="D:\images\2021-CHG-CBA-Saccharin 1\plaque 1/@08 Saccharin 0.01/F8_03.tif "/>
    <s v=" 3089.0332 "/>
    <s v=" 65.0423 "/>
    <x v="0"/>
    <n v="200918"/>
    <m/>
    <m/>
  </r>
  <r>
    <x v="8"/>
    <x v="7"/>
    <s v="D:\images\2021-CHG-CBA-Saccharin 1\plaque 1/@08 Saccharin 0.01/G8_01.tif "/>
    <s v=" 1218.2103 "/>
    <s v=" 63.6786 "/>
    <x v="0"/>
    <n v="77574"/>
    <m/>
    <m/>
  </r>
  <r>
    <x v="8"/>
    <x v="7"/>
    <s v="D:\images\2021-CHG-CBA-Saccharin 1\plaque 1/@08 Saccharin 0.01/G8_02.tif "/>
    <s v=" 1109.4415 "/>
    <s v=" 66.2157 "/>
    <x v="0"/>
    <n v="73462"/>
    <m/>
    <m/>
  </r>
  <r>
    <x v="8"/>
    <x v="7"/>
    <s v="D:\images\2021-CHG-CBA-Saccharin 1\plaque 1/@08 Saccharin 0.01/G8_03.tif "/>
    <s v=" 826.6427 "/>
    <s v=" 65.3947 "/>
    <x v="0"/>
    <n v="54058"/>
    <m/>
    <m/>
  </r>
  <r>
    <x v="8"/>
    <x v="8"/>
    <s v="D:\images\2021-CHG-CBA-Saccharin 1\plaque 1/@08 Saccharin 0.01/H8_01.tif "/>
    <s v=" 4133.2135 "/>
    <s v=" 65.8789 "/>
    <x v="0"/>
    <n v="272292"/>
    <m/>
    <m/>
  </r>
  <r>
    <x v="8"/>
    <x v="8"/>
    <s v="D:\images\2021-CHG-CBA-Saccharin 1\plaque 1/@08 Saccharin 0.01/H8_02.tif "/>
    <s v=" 5438.4388 "/>
    <s v=" 66.236 "/>
    <x v="0"/>
    <n v="360220"/>
    <m/>
    <m/>
  </r>
  <r>
    <x v="8"/>
    <x v="8"/>
    <s v="D:\images\2021-CHG-CBA-Saccharin 1\plaque 1/@08 Saccharin 0.01/H8_03.tif "/>
    <s v=" 1892.5767 "/>
    <s v=" 64.7356 "/>
    <x v="0"/>
    <n v="122517"/>
    <m/>
    <m/>
  </r>
  <r>
    <x v="0"/>
    <x v="0"/>
    <s v=" "/>
    <m/>
    <m/>
    <x v="1"/>
    <m/>
    <m/>
    <m/>
  </r>
  <r>
    <x v="0"/>
    <x v="0"/>
    <s v="group "/>
    <s v=" "/>
    <s v=" mean of mean fluo "/>
    <x v="2"/>
    <s v=" mean of total fluo "/>
    <s v=" SD total fluo "/>
    <s v=" n fluorescent "/>
  </r>
  <r>
    <x v="8"/>
    <x v="9"/>
    <s v="D:\images\2021-CHG-CBA-Saccharin 1\plaque 1/@08 Saccharin 0.01/ "/>
    <s v=" "/>
    <s v=" 69.5468 "/>
    <x v="10"/>
    <s v=" 368740.667 "/>
    <s v=" 414524.299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9"/>
    <x v="1"/>
    <s v="D:\images\2021-CHG-CBA-Saccharin 1\plaque 1/@09 Saccharin 0.1/A9_01.tif "/>
    <s v=" 1239.964 "/>
    <s v=" 64.0351 "/>
    <x v="0"/>
    <n v="79401"/>
    <m/>
    <m/>
  </r>
  <r>
    <x v="9"/>
    <x v="1"/>
    <s v="D:\images\2021-CHG-CBA-Saccharin 1\plaque 1/@09 Saccharin 0.1/A9_02.tif "/>
    <s v=" 1631.5316 "/>
    <s v=" 66.76 "/>
    <x v="0"/>
    <n v="108921"/>
    <m/>
    <m/>
  </r>
  <r>
    <x v="9"/>
    <x v="1"/>
    <s v="D:\images\2021-CHG-CBA-Saccharin 1\plaque 1/@09 Saccharin 0.1/A9_03.tif "/>
    <s v=" 891.904 "/>
    <s v=" 65.8293 "/>
    <x v="0"/>
    <n v="58713"/>
    <m/>
    <m/>
  </r>
  <r>
    <x v="9"/>
    <x v="2"/>
    <s v="D:\images\2021-CHG-CBA-Saccharin 1\plaque 1/@09 Saccharin 0.1/B9_01.tif "/>
    <s v=" 2001.3455 "/>
    <s v=" 66.3152 "/>
    <x v="0"/>
    <n v="132720"/>
    <m/>
    <m/>
  </r>
  <r>
    <x v="9"/>
    <x v="2"/>
    <s v="D:\images\2021-CHG-CBA-Saccharin 1\plaque 1/@09 Saccharin 0.1/B9_02.tif "/>
    <s v=" 652.6127 "/>
    <s v=" 63.9 "/>
    <x v="0"/>
    <n v="41702"/>
    <m/>
    <m/>
  </r>
  <r>
    <x v="9"/>
    <x v="2"/>
    <s v="D:\images\2021-CHG-CBA-Saccharin 1\plaque 1/@09 Saccharin 0.1/B9_03.tif "/>
    <s v=" 1588.0241 "/>
    <s v=" 64.4932 "/>
    <x v="0"/>
    <n v="102417"/>
    <m/>
    <m/>
  </r>
  <r>
    <x v="9"/>
    <x v="3"/>
    <s v="D:\images\2021-CHG-CBA-Saccharin 1\plaque 1/@09 Saccharin 0.1/C9_01.tif "/>
    <s v=" 935.4115 "/>
    <s v=" 64.0233 "/>
    <x v="0"/>
    <n v="59888"/>
    <m/>
    <m/>
  </r>
  <r>
    <x v="9"/>
    <x v="3"/>
    <s v="D:\images\2021-CHG-CBA-Saccharin 1\plaque 1/@09 Saccharin 0.1/C9_02.tif "/>
    <s v=" 1675.0391 "/>
    <s v=" 65.1299 "/>
    <x v="0"/>
    <n v="109095"/>
    <m/>
    <m/>
  </r>
  <r>
    <x v="9"/>
    <x v="3"/>
    <s v="D:\images\2021-CHG-CBA-Saccharin 1\plaque 1/@09 Saccharin 0.1/C9_03.tif "/>
    <s v=" 3850.4146 "/>
    <s v=" 67.0226 "/>
    <x v="0"/>
    <n v="258065"/>
    <m/>
    <m/>
  </r>
  <r>
    <x v="9"/>
    <x v="4"/>
    <s v="D:\images\2021-CHG-CBA-Saccharin 1\plaque 1/@09 Saccharin 0.1/D9_01.tif "/>
    <s v=" 587.3514 "/>
    <s v=" 63.4444 "/>
    <x v="0"/>
    <n v="37264"/>
    <m/>
    <m/>
  </r>
  <r>
    <x v="9"/>
    <x v="4"/>
    <s v="D:\images\2021-CHG-CBA-Saccharin 1\plaque 1/@09 Saccharin 0.1/D9_02- exclu.tif"/>
    <m/>
    <m/>
    <x v="1"/>
    <m/>
    <m/>
    <m/>
  </r>
  <r>
    <x v="9"/>
    <x v="4"/>
    <s v="D:\images\2021-CHG-CBA-Saccharin 1\plaque 1/@09 Saccharin 0.1/D9_03.tif "/>
    <s v=" 2414.6668 "/>
    <s v=" 63.8649 "/>
    <x v="0"/>
    <n v="154212"/>
    <m/>
    <m/>
  </r>
  <r>
    <x v="9"/>
    <x v="5"/>
    <s v="D:\images\2021-CHG-CBA-Saccharin 1\plaque 1/@09 Saccharin 0.1/E9_01.tif "/>
    <s v=" 6634.8953 "/>
    <s v=" 74.0131 "/>
    <x v="0"/>
    <n v="491069"/>
    <m/>
    <m/>
  </r>
  <r>
    <x v="9"/>
    <x v="5"/>
    <s v="D:\images\2021-CHG-CBA-Saccharin 1\plaque 1/@09 Saccharin 0.1/E9_02.tif "/>
    <s v=" 8636.2407 "/>
    <s v=" 69.3703 "/>
    <x v="0"/>
    <n v="599098"/>
    <m/>
    <m/>
  </r>
  <r>
    <x v="9"/>
    <x v="5"/>
    <s v="D:\images\2021-CHG-CBA-Saccharin 1\plaque 1/@09 Saccharin 0.1/E9_03.tif "/>
    <s v=" 4002.6909 "/>
    <s v=" 68.212 "/>
    <x v="0"/>
    <n v="273031"/>
    <m/>
    <m/>
  </r>
  <r>
    <x v="9"/>
    <x v="6"/>
    <s v="D:\images\2021-CHG-CBA-Saccharin 1\plaque 1/@09 Saccharin 0.1/F9_01.tif "/>
    <s v=" 4263.736 "/>
    <s v=" 68.5918 "/>
    <x v="0"/>
    <n v="292457"/>
    <m/>
    <m/>
  </r>
  <r>
    <x v="9"/>
    <x v="6"/>
    <s v="D:\images\2021-CHG-CBA-Saccharin 1\plaque 1/@09 Saccharin 0.1/F9_02.tif "/>
    <s v=" 5547.2075 "/>
    <s v=" 69.8627 "/>
    <x v="0"/>
    <n v="387543"/>
    <m/>
    <m/>
  </r>
  <r>
    <x v="9"/>
    <x v="6"/>
    <s v="D:\images\2021-CHG-CBA-Saccharin 1\plaque 1/@09 Saccharin 0.1/F9_03.tif "/>
    <s v=" 3415.3395 "/>
    <s v=" 65.1401 "/>
    <x v="0"/>
    <n v="222476"/>
    <m/>
    <m/>
  </r>
  <r>
    <x v="9"/>
    <x v="7"/>
    <s v="D:\images\2021-CHG-CBA-Saccharin 1\plaque 1/@09 Saccharin 0.1/G9_01.tif "/>
    <s v=" 3371.832 "/>
    <s v=" 65.1613 "/>
    <x v="0"/>
    <n v="219713"/>
    <m/>
    <m/>
  </r>
  <r>
    <x v="9"/>
    <x v="7"/>
    <s v="D:\images\2021-CHG-CBA-Saccharin 1\plaque 1/@09 Saccharin 0.1/G9_02- exclu.tif"/>
    <m/>
    <m/>
    <x v="1"/>
    <m/>
    <m/>
    <m/>
  </r>
  <r>
    <x v="9"/>
    <x v="7"/>
    <s v="D:\images\2021-CHG-CBA-Saccharin 1\plaque 1/@09 Saccharin 0.1/G9_03.tif "/>
    <s v=" 4394.2585 "/>
    <s v=" 65.7525 "/>
    <x v="0"/>
    <n v="288933"/>
    <m/>
    <m/>
  </r>
  <r>
    <x v="9"/>
    <x v="8"/>
    <s v="D:\images\2021-CHG-CBA-Saccharin 1\plaque 1/@09 Saccharin 0.1/H9_01.tif "/>
    <s v=" 1109.4415 "/>
    <s v=" 63.4902 "/>
    <x v="0"/>
    <n v="70439"/>
    <m/>
    <m/>
  </r>
  <r>
    <x v="9"/>
    <x v="8"/>
    <s v="D:\images\2021-CHG-CBA-Saccharin 1\plaque 1/@09 Saccharin 0.1/H9_02.tif "/>
    <s v=" 2001.3455 "/>
    <s v=" 63.5978 "/>
    <x v="0"/>
    <n v="127281"/>
    <m/>
    <m/>
  </r>
  <r>
    <x v="9"/>
    <x v="8"/>
    <s v="D:\images\2021-CHG-CBA-Saccharin 1\plaque 1/@09 Saccharin 0.1/H9_03.tif "/>
    <s v=" 1392.2403 "/>
    <s v=" 64.3281 "/>
    <x v="0"/>
    <n v="89560"/>
    <m/>
    <m/>
  </r>
  <r>
    <x v="0"/>
    <x v="0"/>
    <s v=" "/>
    <m/>
    <m/>
    <x v="1"/>
    <m/>
    <m/>
    <m/>
  </r>
  <r>
    <x v="0"/>
    <x v="0"/>
    <s v="group "/>
    <s v=" "/>
    <s v=" mean of mean fluo "/>
    <x v="2"/>
    <s v=" mean of total fluo "/>
    <s v=" SD total fluo "/>
    <s v=" n fluorescent "/>
  </r>
  <r>
    <x v="9"/>
    <x v="9"/>
    <s v="D:\images\2021-CHG-CBA-Saccharin 1\plaque 1/@09 Saccharin 0.1/ "/>
    <s v=" "/>
    <s v=" 65.7631 "/>
    <x v="11"/>
    <s v=" 178309.083 "/>
    <s v=" 150267.606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0"/>
    <x v="1"/>
    <s v="D:\images\2021-CHG-CBA-Saccharin 1\plaque 1/@10 Saccharin 1/A10_01.tif "/>
    <s v=" 6112.8052 "/>
    <s v=" 70.4057 "/>
    <x v="0"/>
    <n v="430376"/>
    <m/>
    <m/>
  </r>
  <r>
    <x v="10"/>
    <x v="1"/>
    <s v="D:\images\2021-CHG-CBA-Saccharin 1\plaque 1/@10 Saccharin 1/A10_02.tif "/>
    <s v=" 543.8439 "/>
    <s v=" 62.16 "/>
    <x v="0"/>
    <n v="33805"/>
    <m/>
    <m/>
  </r>
  <r>
    <x v="10"/>
    <x v="1"/>
    <s v="D:\images\2021-CHG-CBA-Saccharin 1\plaque 1/@10 Saccharin 1/A10_03- exclu.tif"/>
    <m/>
    <m/>
    <x v="1"/>
    <m/>
    <m/>
    <m/>
  </r>
  <r>
    <x v="10"/>
    <x v="2"/>
    <s v="D:\images\2021-CHG-CBA-Saccharin 1\plaque 1/@10 Saccharin 1/B10_01.tif "/>
    <s v=" 6373.8502 "/>
    <s v=" 70.3174 "/>
    <x v="0"/>
    <n v="448193"/>
    <m/>
    <m/>
  </r>
  <r>
    <x v="10"/>
    <x v="2"/>
    <s v="D:\images\2021-CHG-CBA-Saccharin 1\plaque 1/@10 Saccharin 1/B10_02.tif "/>
    <s v=" 5286.1625 "/>
    <s v=" 68.8971 "/>
    <x v="0"/>
    <n v="364201"/>
    <m/>
    <m/>
  </r>
  <r>
    <x v="10"/>
    <x v="2"/>
    <s v="D:\images\2021-CHG-CBA-Saccharin 1\plaque 1/@10 Saccharin 1/B10_03- exclu.tif"/>
    <m/>
    <m/>
    <x v="1"/>
    <m/>
    <m/>
    <m/>
  </r>
  <r>
    <x v="10"/>
    <x v="3"/>
    <s v="D:\images\2021-CHG-CBA-Saccharin 1\plaque 1/@10 Saccharin 1/C10_01.tif "/>
    <s v=" 1718.5466 "/>
    <s v=" 64.7595 "/>
    <x v="0"/>
    <n v="111292"/>
    <m/>
    <m/>
  </r>
  <r>
    <x v="10"/>
    <x v="3"/>
    <s v="D:\images\2021-CHG-CBA-Saccharin 1\plaque 1/@10 Saccharin 1/C10_02- exclu.tif"/>
    <m/>
    <m/>
    <x v="1"/>
    <m/>
    <m/>
    <m/>
  </r>
  <r>
    <x v="10"/>
    <x v="3"/>
    <s v="D:\images\2021-CHG-CBA-Saccharin 1\plaque 1/@10 Saccharin 1/C10_03.tif "/>
    <s v=" 2153.6217 "/>
    <s v=" 66.7778 "/>
    <x v="0"/>
    <n v="143814"/>
    <m/>
    <m/>
  </r>
  <r>
    <x v="10"/>
    <x v="4"/>
    <s v="D:\images\2021-CHG-CBA-Saccharin 1\plaque 1/@10 Saccharin 1/D10_01.tif "/>
    <s v=" 1588.0241 "/>
    <s v=" 63.8904 "/>
    <x v="0"/>
    <n v="101460"/>
    <m/>
    <m/>
  </r>
  <r>
    <x v="10"/>
    <x v="4"/>
    <s v="D:\images\2021-CHG-CBA-Saccharin 1\plaque 1/@10 Saccharin 1/D10_02.tif "/>
    <s v=" 935.4115 "/>
    <s v=" 64.186 "/>
    <x v="0"/>
    <n v="60040"/>
    <m/>
    <m/>
  </r>
  <r>
    <x v="10"/>
    <x v="4"/>
    <s v="D:\images\2021-CHG-CBA-Saccharin 1\plaque 1/@10 Saccharin 1/D10_03.tif "/>
    <s v=" 804.8889 "/>
    <s v=" 62.3784 "/>
    <x v="0"/>
    <n v="50208"/>
    <m/>
    <m/>
  </r>
  <r>
    <x v="10"/>
    <x v="5"/>
    <s v="D:\images\2021-CHG-CBA-Saccharin 1\plaque 1/@10 Saccharin 1/E10_01.tif "/>
    <s v=" 2392.9131 "/>
    <s v=" 68.3182 "/>
    <x v="0"/>
    <n v="163479"/>
    <m/>
    <m/>
  </r>
  <r>
    <x v="10"/>
    <x v="5"/>
    <s v="D:\images\2021-CHG-CBA-Saccharin 1\plaque 1/@10 Saccharin 1/E10_02.tif "/>
    <s v=" 2305.898 "/>
    <s v=" 65.3113 "/>
    <x v="0"/>
    <n v="150601"/>
    <m/>
    <m/>
  </r>
  <r>
    <x v="10"/>
    <x v="5"/>
    <s v="D:\images\2021-CHG-CBA-Saccharin 1\plaque 1/@10 Saccharin 1/E10_03.tif "/>
    <s v=" 1849.0692 "/>
    <s v=" 65.7412 "/>
    <x v="0"/>
    <n v="121560"/>
    <m/>
    <m/>
  </r>
  <r>
    <x v="10"/>
    <x v="6"/>
    <s v="D:\images\2021-CHG-CBA-Saccharin 1\plaque 1/@10 Saccharin 1/F10_01.tif "/>
    <s v=" 957.1652 "/>
    <s v=" 66.6364 "/>
    <x v="0"/>
    <n v="63782"/>
    <m/>
    <m/>
  </r>
  <r>
    <x v="10"/>
    <x v="6"/>
    <s v="D:\images\2021-CHG-CBA-Saccharin 1\plaque 1/@10 Saccharin 1/F10_02.tif "/>
    <s v=" 1609.7779 "/>
    <s v=" 64.3108 "/>
    <x v="0"/>
    <n v="103526"/>
    <m/>
    <m/>
  </r>
  <r>
    <x v="10"/>
    <x v="6"/>
    <s v="D:\images\2021-CHG-CBA-Saccharin 1\plaque 1/@10 Saccharin 1/F10_03.tif "/>
    <s v=" 413.3213 "/>
    <s v=" 62.8947 "/>
    <x v="0"/>
    <n v="25996"/>
    <m/>
    <m/>
  </r>
  <r>
    <x v="10"/>
    <x v="7"/>
    <s v="D:\images\2021-CHG-CBA-Saccharin 1\plaque 1/@10 Saccharin 1/G10_01.tif "/>
    <s v=" 1392.2403 "/>
    <s v=" 64.5 "/>
    <x v="0"/>
    <n v="89800"/>
    <m/>
    <m/>
  </r>
  <r>
    <x v="10"/>
    <x v="7"/>
    <s v="D:\images\2021-CHG-CBA-Saccharin 1\plaque 1/@10 Saccharin 1/G10_02.tif "/>
    <s v=" 1783.8079 "/>
    <s v=" 65.0854 "/>
    <x v="0"/>
    <n v="116100"/>
    <m/>
    <m/>
  </r>
  <r>
    <x v="10"/>
    <x v="7"/>
    <s v="D:\images\2021-CHG-CBA-Saccharin 1\plaque 1/@10 Saccharin 1/G10_03.tif "/>
    <s v=" 630.8589 "/>
    <s v=" 65.931 "/>
    <x v="0"/>
    <n v="41593"/>
    <m/>
    <m/>
  </r>
  <r>
    <x v="10"/>
    <x v="8"/>
    <s v="D:\images\2021-CHG-CBA-Saccharin 1\plaque 1/@10 Saccharin 1/H10_01.tif "/>
    <s v=" 1109.4415 "/>
    <s v=" 63.2549 "/>
    <x v="0"/>
    <n v="70178"/>
    <m/>
    <m/>
  </r>
  <r>
    <x v="10"/>
    <x v="8"/>
    <s v="D:\images\2021-CHG-CBA-Saccharin 1\plaque 1/@10 Saccharin 1/H10_02.tif "/>
    <s v=" 1348.7328 "/>
    <s v=" 64.371 "/>
    <x v="0"/>
    <n v="86819"/>
    <m/>
    <m/>
  </r>
  <r>
    <x v="10"/>
    <x v="8"/>
    <s v="D:\images\2021-CHG-CBA-Saccharin 1\plaque 1/@10 Saccharin 1/H10_03.tif "/>
    <s v=" 913.6577 "/>
    <n v="65"/>
    <x v="0"/>
    <n v="59388"/>
    <m/>
    <m/>
  </r>
  <r>
    <x v="0"/>
    <x v="0"/>
    <s v=" "/>
    <m/>
    <m/>
    <x v="1"/>
    <m/>
    <m/>
    <m/>
  </r>
  <r>
    <x v="0"/>
    <x v="0"/>
    <s v="group "/>
    <s v=" "/>
    <s v=" mean of mean fluo "/>
    <x v="2"/>
    <s v=" mean of total fluo "/>
    <s v=" SD total fluo "/>
    <s v=" n fluorescent "/>
  </r>
  <r>
    <x v="10"/>
    <x v="9"/>
    <s v="D:\images\2021-CHG-CBA-Saccharin 1\plaque 1/@10 Saccharin 1/ "/>
    <s v=" "/>
    <s v=" 65.5464 "/>
    <x v="12"/>
    <s v=" 135999.042 "/>
    <s v=" 128023.642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1"/>
    <x v="1"/>
    <s v="D:\images\2021-CHG-CBA-Saccharin 1\plaque 1/@11 Saccharin 10/A11_01.tif "/>
    <s v=" 1152.949 "/>
    <s v=" 63.1509 "/>
    <x v="0"/>
    <n v="72810"/>
    <m/>
    <m/>
  </r>
  <r>
    <x v="11"/>
    <x v="1"/>
    <s v="D:\images\2021-CHG-CBA-Saccharin 1\plaque 1/@11 Saccharin 10/A11_02.tif "/>
    <s v=" 870.1502 "/>
    <s v=" 64.975 "/>
    <x v="0"/>
    <n v="56538"/>
    <m/>
    <m/>
  </r>
  <r>
    <x v="11"/>
    <x v="1"/>
    <s v="D:\images\2021-CHG-CBA-Saccharin 1\plaque 1/@11 Saccharin 10/A11_03.tif "/>
    <s v=" 1283.4715 "/>
    <s v=" 63.9322 "/>
    <x v="0"/>
    <n v="82055"/>
    <m/>
    <m/>
  </r>
  <r>
    <x v="11"/>
    <x v="2"/>
    <s v="D:\images\2021-CHG-CBA-Saccharin 1\plaque 1/@11 Saccharin 10/B11_01.tif "/>
    <s v=" 1326.9791 "/>
    <s v=" 63.2623 "/>
    <x v="0"/>
    <n v="83948"/>
    <m/>
    <m/>
  </r>
  <r>
    <x v="11"/>
    <x v="2"/>
    <s v="D:\images\2021-CHG-CBA-Saccharin 1\plaque 1/@11 Saccharin 10/B11_02.tif "/>
    <s v=" 348.0601 "/>
    <s v=" 63.8125 "/>
    <x v="0"/>
    <n v="22211"/>
    <m/>
    <m/>
  </r>
  <r>
    <x v="11"/>
    <x v="2"/>
    <s v="D:\images\2021-CHG-CBA-Saccharin 1\plaque 1/@11 Saccharin 10/B11_03.tif "/>
    <s v=" 1392.2403 "/>
    <s v=" 66.9062 "/>
    <x v="0"/>
    <n v="93150"/>
    <m/>
    <m/>
  </r>
  <r>
    <x v="11"/>
    <x v="3"/>
    <s v="D:\images\2021-CHG-CBA-Saccharin 1\plaque 1/@11 Saccharin 10/C11_01- exclu.tif"/>
    <m/>
    <m/>
    <x v="1"/>
    <m/>
    <m/>
    <m/>
  </r>
  <r>
    <x v="11"/>
    <x v="3"/>
    <s v="D:\images\2021-CHG-CBA-Saccharin 1\plaque 1/@11 Saccharin 10/C11_02- exclu.tif"/>
    <m/>
    <m/>
    <x v="1"/>
    <m/>
    <m/>
    <m/>
  </r>
  <r>
    <x v="11"/>
    <x v="3"/>
    <s v="D:\images\2021-CHG-CBA-Saccharin 1\plaque 1/@11 Saccharin 10/C11_03- exclu.tif"/>
    <m/>
    <m/>
    <x v="1"/>
    <m/>
    <m/>
    <m/>
  </r>
  <r>
    <x v="11"/>
    <x v="4"/>
    <s v="D:\images\2021-CHG-CBA-Saccharin 1\plaque 1/@11 Saccharin 10/D11_01.tif "/>
    <s v=" 913.6577 "/>
    <s v=" 63.6667 "/>
    <x v="0"/>
    <n v="58170"/>
    <m/>
    <m/>
  </r>
  <r>
    <x v="11"/>
    <x v="4"/>
    <s v="D:\images\2021-CHG-CBA-Saccharin 1\plaque 1/@11 Saccharin 10/D11_02.tif "/>
    <s v=" 1000.6727 "/>
    <s v=" 64.1304 "/>
    <x v="0"/>
    <n v="64174"/>
    <m/>
    <m/>
  </r>
  <r>
    <x v="11"/>
    <x v="4"/>
    <s v="D:\images\2021-CHG-CBA-Saccharin 1\plaque 1/@11 Saccharin 10/D11_03.tif "/>
    <s v=" 1065.934 "/>
    <s v=" 63.7755 "/>
    <x v="0"/>
    <n v="67980"/>
    <m/>
    <m/>
  </r>
  <r>
    <x v="11"/>
    <x v="5"/>
    <s v="D:\images\2021-CHG-CBA-Saccharin 1\plaque 1/@11 Saccharin 10/E11_01.tif "/>
    <s v=" 3437.0933 "/>
    <s v=" 63.5886 "/>
    <x v="0"/>
    <n v="218560"/>
    <m/>
    <m/>
  </r>
  <r>
    <x v="11"/>
    <x v="5"/>
    <s v="D:\images\2021-CHG-CBA-Saccharin 1\plaque 1/@11 Saccharin 10/E11_02.tif "/>
    <s v=" 1696.7929 "/>
    <s v=" 63.7179 "/>
    <x v="0"/>
    <n v="108116"/>
    <m/>
    <m/>
  </r>
  <r>
    <x v="11"/>
    <x v="5"/>
    <s v="D:\images\2021-CHG-CBA-Saccharin 1\plaque 1/@11 Saccharin 10/E11_03.tif "/>
    <s v=" 1936.0842 "/>
    <s v=" 63.4045 "/>
    <x v="0"/>
    <n v="122756"/>
    <m/>
    <m/>
  </r>
  <r>
    <x v="11"/>
    <x v="6"/>
    <s v="D:\images\2021-CHG-CBA-Saccharin 1\plaque 1/@11 Saccharin 10/F11_01.tif "/>
    <s v=" 2871.4957 "/>
    <s v=" 64.8409 "/>
    <x v="0"/>
    <n v="186190"/>
    <m/>
    <m/>
  </r>
  <r>
    <x v="11"/>
    <x v="6"/>
    <s v="D:\images\2021-CHG-CBA-Saccharin 1\plaque 1/@11 Saccharin 10/F11_02.tif "/>
    <s v=" 2044.853 "/>
    <s v=" 64.3617 "/>
    <x v="0"/>
    <n v="131610"/>
    <m/>
    <m/>
  </r>
  <r>
    <x v="11"/>
    <x v="6"/>
    <s v="D:\images\2021-CHG-CBA-Saccharin 1\plaque 1/@11 Saccharin 10/F11_03.tif "/>
    <s v=" 3415.3395 "/>
    <s v=" 67.4013 "/>
    <x v="0"/>
    <n v="230198"/>
    <m/>
    <m/>
  </r>
  <r>
    <x v="11"/>
    <x v="7"/>
    <s v="D:\images\2021-CHG-CBA-Saccharin 1\plaque 1/@11 Saccharin 10/G11_01.tif "/>
    <s v=" 2523.4356 "/>
    <s v=" 65.569 "/>
    <x v="0"/>
    <n v="165459"/>
    <m/>
    <m/>
  </r>
  <r>
    <x v="11"/>
    <x v="7"/>
    <s v="D:\images\2021-CHG-CBA-Saccharin 1\plaque 1/@11 Saccharin 10/G11_02.tif "/>
    <s v=" 2088.3605 "/>
    <s v=" 64.6146 "/>
    <x v="0"/>
    <n v="134939"/>
    <m/>
    <m/>
  </r>
  <r>
    <x v="11"/>
    <x v="7"/>
    <s v="D:\images\2021-CHG-CBA-Saccharin 1\plaque 1/@11 Saccharin 10/G11_03.tif "/>
    <s v=" 1566.2704 "/>
    <s v=" 65.7361 "/>
    <x v="0"/>
    <n v="102961"/>
    <m/>
    <m/>
  </r>
  <r>
    <x v="11"/>
    <x v="8"/>
    <s v="D:\images\2021-CHG-CBA-Saccharin 1\plaque 1/@11 Saccharin 10/H11_01.tif "/>
    <s v=" 1696.7929 "/>
    <s v=" 67.6923 "/>
    <x v="0"/>
    <n v="114860"/>
    <m/>
    <m/>
  </r>
  <r>
    <x v="11"/>
    <x v="8"/>
    <s v="D:\images\2021-CHG-CBA-Saccharin 1\plaque 1/@11 Saccharin 10/H11_02.tif "/>
    <s v=" 6547.8803 "/>
    <s v=" 64.8272 "/>
    <x v="0"/>
    <n v="424481"/>
    <m/>
    <m/>
  </r>
  <r>
    <x v="11"/>
    <x v="8"/>
    <s v="D:\images\2021-CHG-CBA-Saccharin 1\plaque 1/@11 Saccharin 10/H11_03.tif "/>
    <s v=" 804.8889 "/>
    <s v=" 63.6216 "/>
    <x v="0"/>
    <n v="51208"/>
    <m/>
    <m/>
  </r>
  <r>
    <x v="0"/>
    <x v="0"/>
    <s v=" "/>
    <m/>
    <m/>
    <x v="1"/>
    <m/>
    <m/>
    <m/>
  </r>
  <r>
    <x v="0"/>
    <x v="0"/>
    <s v="group "/>
    <s v=" "/>
    <s v=" mean of mean fluo "/>
    <x v="2"/>
    <s v=" mean of total fluo "/>
    <s v=" SD total fluo "/>
    <s v=" n fluorescent "/>
  </r>
  <r>
    <x v="11"/>
    <x v="9"/>
    <s v="D:\images\2021-CHG-CBA-Saccharin 1\plaque 1/@11 Saccharin 10/ "/>
    <s v=" "/>
    <s v=" 67.7648 "/>
    <x v="13"/>
    <s v=" 262016.75 "/>
    <s v=" 385449.829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2"/>
    <x v="1"/>
    <s v="D:\images\2021-CHG-CBA-Saccharin 1\plaque 1/@12 Saccharin 100/A12_01.tif "/>
    <s v=" 3415.3395 "/>
    <s v=" 67.8981 "/>
    <x v="0"/>
    <n v="231895"/>
    <m/>
    <m/>
  </r>
  <r>
    <x v="12"/>
    <x v="1"/>
    <s v="D:\images\2021-CHG-CBA-Saccharin 1\plaque 1/@12 Saccharin 100/A12_02.tif "/>
    <s v=" 1348.7328 "/>
    <s v=" 63.9194 "/>
    <x v="0"/>
    <n v="86210"/>
    <m/>
    <m/>
  </r>
  <r>
    <x v="12"/>
    <x v="1"/>
    <s v="D:\images\2021-CHG-CBA-Saccharin 1\plaque 1/@12 Saccharin 100/A12_03.tif "/>
    <s v=" 478.5826 "/>
    <s v=" 63.9545 "/>
    <x v="0"/>
    <n v="30608"/>
    <m/>
    <m/>
  </r>
  <r>
    <x v="12"/>
    <x v="2"/>
    <s v="D:\images\2021-CHG-CBA-Saccharin 1\plaque 1/@12 Saccharin 100/B12_01- exclu.tif"/>
    <m/>
    <m/>
    <x v="1"/>
    <m/>
    <m/>
    <m/>
  </r>
  <r>
    <x v="12"/>
    <x v="2"/>
    <s v="D:\images\2021-CHG-CBA-Saccharin 1\plaque 1/@12 Saccharin 100/B12_02.tif "/>
    <s v=" 108.7688 "/>
    <s v=" 65.4 "/>
    <x v="0"/>
    <n v="7113"/>
    <m/>
    <m/>
  </r>
  <r>
    <x v="12"/>
    <x v="2"/>
    <s v="D:\images\2021-CHG-CBA-Saccharin 1\plaque 1/@12 Saccharin 100/B12_03.tif "/>
    <s v=" 2697.4656 "/>
    <s v=" 65.9677 "/>
    <x v="0"/>
    <n v="177946"/>
    <m/>
    <m/>
  </r>
  <r>
    <x v="12"/>
    <x v="3"/>
    <s v="D:\images\2021-CHG-CBA-Saccharin 1\plaque 1/@12 Saccharin 100/C12_01.tif "/>
    <s v=" 848.3964 "/>
    <s v=" 63.4615 "/>
    <x v="0"/>
    <n v="53841"/>
    <m/>
    <m/>
  </r>
  <r>
    <x v="12"/>
    <x v="3"/>
    <s v="D:\images\2021-CHG-CBA-Saccharin 1\plaque 1/@12 Saccharin 100/C12_02.tif "/>
    <s v=" 848.3964 "/>
    <s v=" 63.2308 "/>
    <x v="0"/>
    <n v="53645"/>
    <m/>
    <m/>
  </r>
  <r>
    <x v="12"/>
    <x v="3"/>
    <s v="D:\images\2021-CHG-CBA-Saccharin 1\plaque 1/@12 Saccharin 100/C12_03.tif "/>
    <s v=" 717.8739 "/>
    <s v=" 64.2727 "/>
    <x v="0"/>
    <n v="46140"/>
    <m/>
    <m/>
  </r>
  <r>
    <x v="12"/>
    <x v="4"/>
    <s v="D:\images\2021-CHG-CBA-Saccharin 1\plaque 1/@12 Saccharin 100/D12_01.tif "/>
    <s v=" 2501.6818 "/>
    <s v=" 64.7304 "/>
    <x v="0"/>
    <n v="161935"/>
    <m/>
    <m/>
  </r>
  <r>
    <x v="12"/>
    <x v="4"/>
    <s v="D:\images\2021-CHG-CBA-Saccharin 1\plaque 1/@12 Saccharin 100/D12_02.tif "/>
    <s v=" 652.6127 "/>
    <s v=" 63.1 "/>
    <x v="0"/>
    <n v="41180"/>
    <m/>
    <m/>
  </r>
  <r>
    <x v="12"/>
    <x v="4"/>
    <s v="D:\images\2021-CHG-CBA-Saccharin 1\plaque 1/@12 Saccharin 100/D12_03- exclu.tif"/>
    <m/>
    <m/>
    <x v="1"/>
    <m/>
    <m/>
    <m/>
  </r>
  <r>
    <x v="12"/>
    <x v="5"/>
    <s v="D:\images\2021-CHG-CBA-Saccharin 1\plaque 1/@12 Saccharin 100/E12_01.tif "/>
    <s v=" 1174.7028 "/>
    <s v=" 63.3889 "/>
    <x v="0"/>
    <n v="74463"/>
    <m/>
    <m/>
  </r>
  <r>
    <x v="12"/>
    <x v="5"/>
    <s v="D:\images\2021-CHG-CBA-Saccharin 1\plaque 1/@12 Saccharin 100/E12_02.tif "/>
    <s v=" 783.1352 "/>
    <s v=" 64.5278 "/>
    <x v="0"/>
    <n v="50534"/>
    <m/>
    <m/>
  </r>
  <r>
    <x v="12"/>
    <x v="5"/>
    <s v="D:\images\2021-CHG-CBA-Saccharin 1\plaque 1/@12 Saccharin 100/E12_03.tif "/>
    <s v=" 587.3514 "/>
    <s v=" 64.2963 "/>
    <x v="0"/>
    <n v="37765"/>
    <m/>
    <m/>
  </r>
  <r>
    <x v="12"/>
    <x v="6"/>
    <s v="D:\images\2021-CHG-CBA-Saccharin 1\plaque 1/@12 Saccharin 100/F12_01.tif "/>
    <s v=" 1435.7478 "/>
    <s v=" 66.1061 "/>
    <x v="0"/>
    <n v="94912"/>
    <m/>
    <m/>
  </r>
  <r>
    <x v="12"/>
    <x v="6"/>
    <s v="D:\images\2021-CHG-CBA-Saccharin 1\plaque 1/@12 Saccharin 100/F12_02.tif "/>
    <s v=" 1783.8079 "/>
    <s v=" 68.622 "/>
    <x v="0"/>
    <n v="122408"/>
    <m/>
    <m/>
  </r>
  <r>
    <x v="12"/>
    <x v="6"/>
    <s v="D:\images\2021-CHG-CBA-Saccharin 1\plaque 1/@12 Saccharin 100/F12_03.tif "/>
    <s v=" 2305.898 "/>
    <s v=" 66.1415 "/>
    <x v="0"/>
    <n v="152516"/>
    <m/>
    <m/>
  </r>
  <r>
    <x v="12"/>
    <x v="7"/>
    <s v="D:\images\2021-CHG-CBA-Saccharin 1\plaque 1/@12 Saccharin 100/G12_01.tif "/>
    <s v=" 587.3514 "/>
    <s v=" 63.2222 "/>
    <x v="0"/>
    <n v="37134"/>
    <m/>
    <m/>
  </r>
  <r>
    <x v="12"/>
    <x v="7"/>
    <s v="D:\images\2021-CHG-CBA-Saccharin 1\plaque 1/@12 Saccharin 100/G12_02.tif "/>
    <s v=" 413.3213 "/>
    <s v=" 64.3684 "/>
    <x v="0"/>
    <n v="26605"/>
    <m/>
    <m/>
  </r>
  <r>
    <x v="12"/>
    <x v="7"/>
    <s v="D:\images\2021-CHG-CBA-Saccharin 1\plaque 1/@12 Saccharin 100/G12_03.tif "/>
    <s v=" 587.3514 "/>
    <s v=" 64.7037 "/>
    <x v="0"/>
    <n v="38004"/>
    <m/>
    <m/>
  </r>
  <r>
    <x v="12"/>
    <x v="8"/>
    <s v="D:\images\2021-CHG-CBA-Saccharin 1\plaque 1/@12 Saccharin 100/H12_01.tif "/>
    <s v=" 4611.7961 "/>
    <s v=" 67.3443 "/>
    <x v="0"/>
    <n v="310578"/>
    <m/>
    <m/>
  </r>
  <r>
    <x v="12"/>
    <x v="8"/>
    <s v="D:\images\2021-CHG-CBA-Saccharin 1\plaque 1/@12 Saccharin 100/H12_02.tif "/>
    <s v=" 4481.2735 "/>
    <s v=" 68.0825 "/>
    <x v="0"/>
    <n v="305096"/>
    <m/>
    <m/>
  </r>
  <r>
    <x v="12"/>
    <x v="8"/>
    <s v="D:\images\2021-CHG-CBA-Saccharin 1\plaque 1/@12 Saccharin 100/H12_03.tif "/>
    <s v=" 4024.4447 "/>
    <s v=" 67.7189 "/>
    <x v="0"/>
    <n v="272531"/>
    <m/>
    <m/>
  </r>
  <r>
    <x v="0"/>
    <x v="0"/>
    <s v=" "/>
    <m/>
    <m/>
    <x v="1"/>
    <m/>
    <m/>
    <m/>
  </r>
  <r>
    <x v="0"/>
    <x v="0"/>
    <s v="group "/>
    <s v=" "/>
    <s v=" mean of mean fluo "/>
    <x v="2"/>
    <s v=" mean of total fluo "/>
    <s v=" SD total fluo "/>
    <s v=" n fluorescent "/>
  </r>
  <r>
    <x v="12"/>
    <x v="9"/>
    <s v="D:\images\2021-CHG-CBA-Saccharin 1\plaque 1/@12 Saccharin 100/ "/>
    <s v=" "/>
    <s v=" 65.0017 "/>
    <x v="14"/>
    <s v=" 102767.542 "/>
    <s v=" 93679.4552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3"/>
    <x v="1"/>
    <s v="D:\images\2021-CHG-CBA-Saccharin 1\plaque 2/@13 TESTO 30/A1_01.tif "/>
    <s v=" 35241.0831 "/>
    <s v=" 72.3105 "/>
    <x v="0"/>
    <n v="2548300"/>
    <m/>
    <m/>
  </r>
  <r>
    <x v="13"/>
    <x v="1"/>
    <s v="D:\images\2021-CHG-CBA-Saccharin 1\plaque 2/@13 TESTO 30/A1_02.tif "/>
    <s v=" 33196.2301 "/>
    <s v=" 69.5216 "/>
    <x v="0"/>
    <n v="2307856"/>
    <m/>
    <m/>
  </r>
  <r>
    <x v="13"/>
    <x v="1"/>
    <s v="D:\images\2021-CHG-CBA-Saccharin 1\plaque 2/@13 TESTO 30/A1_03.tif "/>
    <s v=" 31695.221 "/>
    <s v=" 69.1332 "/>
    <x v="0"/>
    <n v="2191190"/>
    <m/>
    <m/>
  </r>
  <r>
    <x v="13"/>
    <x v="2"/>
    <s v="D:\images\2021-CHG-CBA-Saccharin 1\plaque 2/@13 TESTO 30/B1_01.tif "/>
    <s v=" 40287.9543 "/>
    <s v=" 73.3591 "/>
    <x v="0"/>
    <n v="2955487"/>
    <m/>
    <m/>
  </r>
  <r>
    <x v="13"/>
    <x v="2"/>
    <s v="D:\images\2021-CHG-CBA-Saccharin 1\plaque 2/@13 TESTO 30/B1_02.tif "/>
    <s v=" 32717.6475 "/>
    <s v=" 73.6769 "/>
    <x v="0"/>
    <n v="2410534"/>
    <m/>
    <m/>
  </r>
  <r>
    <x v="13"/>
    <x v="2"/>
    <s v="D:\images\2021-CHG-CBA-Saccharin 1\plaque 2/@13 TESTO 30/B1_03.tif "/>
    <s v=" 36633.3234 "/>
    <s v=" 71.9394 "/>
    <x v="0"/>
    <n v="2635380"/>
    <m/>
    <m/>
  </r>
  <r>
    <x v="13"/>
    <x v="3"/>
    <s v="D:\images\2021-CHG-CBA-Saccharin 1\plaque 2/@13 TESTO 30/C1_01.tif "/>
    <s v=" 25190.8483 "/>
    <s v=" 66.5466 "/>
    <x v="0"/>
    <n v="1676366"/>
    <m/>
    <m/>
  </r>
  <r>
    <x v="13"/>
    <x v="3"/>
    <s v="D:\images\2021-CHG-CBA-Saccharin 1\plaque 2/@13 TESTO 30/C1_02.tif "/>
    <s v=" 25952.2297 "/>
    <s v=" 66.622 "/>
    <x v="0"/>
    <n v="1728988"/>
    <m/>
    <m/>
  </r>
  <r>
    <x v="13"/>
    <x v="3"/>
    <s v="D:\images\2021-CHG-CBA-Saccharin 1\plaque 2/@13 TESTO 30/C1_03.tif "/>
    <s v=" 23711.593 "/>
    <s v=" 67.4284 "/>
    <x v="0"/>
    <n v="1598836"/>
    <m/>
    <m/>
  </r>
  <r>
    <x v="13"/>
    <x v="4"/>
    <s v="D:\images\2021-CHG-CBA-Saccharin 1\plaque 2/@13 TESTO 30/D1_01.tif "/>
    <s v=" 25386.6321 "/>
    <s v=" 68.3445 "/>
    <x v="0"/>
    <n v="1735036"/>
    <m/>
    <m/>
  </r>
  <r>
    <x v="13"/>
    <x v="4"/>
    <s v="D:\images\2021-CHG-CBA-Saccharin 1\plaque 2/@13 TESTO 30/D1_02.tif "/>
    <s v=" 30346.4882 "/>
    <s v=" 69.5168 "/>
    <x v="0"/>
    <n v="2109592"/>
    <m/>
    <m/>
  </r>
  <r>
    <x v="13"/>
    <x v="4"/>
    <s v="D:\images\2021-CHG-CBA-Saccharin 1\plaque 2/@13 TESTO 30/D1_03.tif "/>
    <s v=" 27257.455 "/>
    <s v=" 68.2873 "/>
    <x v="0"/>
    <n v="1861338"/>
    <m/>
    <m/>
  </r>
  <r>
    <x v="13"/>
    <x v="5"/>
    <s v="D:\images\2021-CHG-CBA-Saccharin 1\plaque 2/@13 TESTO 30/E1_01.tif "/>
    <s v=" 26713.6111 "/>
    <s v=" 67.8388 "/>
    <x v="0"/>
    <n v="1812218"/>
    <m/>
    <m/>
  </r>
  <r>
    <x v="13"/>
    <x v="5"/>
    <s v="D:\images\2021-CHG-CBA-Saccharin 1\plaque 2/@13 TESTO 30/E1_02.tif "/>
    <s v=" 31608.206 "/>
    <s v=" 69.543 "/>
    <x v="0"/>
    <n v="2198130"/>
    <m/>
    <m/>
  </r>
  <r>
    <x v="13"/>
    <x v="5"/>
    <s v="D:\images\2021-CHG-CBA-Saccharin 1\plaque 2/@13 TESTO 30/E1_03.tif "/>
    <s v=" 26670.1036 "/>
    <s v=" 68.8883 "/>
    <x v="0"/>
    <n v="1837257"/>
    <m/>
    <m/>
  </r>
  <r>
    <x v="13"/>
    <x v="6"/>
    <s v="D:\images\2021-CHG-CBA-Saccharin 1\plaque 2/@13 TESTO 30/F1_01.tif "/>
    <s v=" 8679.7482 "/>
    <s v=" 66.0376 "/>
    <x v="0"/>
    <n v="573190"/>
    <m/>
    <m/>
  </r>
  <r>
    <x v="13"/>
    <x v="6"/>
    <s v="D:\images\2021-CHG-CBA-Saccharin 1\plaque 2/@13 TESTO 30/F1_02.tif "/>
    <s v=" 3371.832 "/>
    <s v=" 64.2452 "/>
    <x v="0"/>
    <n v="216624"/>
    <m/>
    <m/>
  </r>
  <r>
    <x v="13"/>
    <x v="6"/>
    <s v="D:\images\2021-CHG-CBA-Saccharin 1\plaque 2/@13 TESTO 30/F1_03- exclu.tif"/>
    <m/>
    <m/>
    <x v="1"/>
    <m/>
    <m/>
    <m/>
  </r>
  <r>
    <x v="13"/>
    <x v="7"/>
    <s v="D:\images\2021-CHG-CBA-Saccharin 1\plaque 2/@13 TESTO 30/G1_01.tif "/>
    <s v=" 31151.3772 "/>
    <s v=" 71.0482 "/>
    <x v="0"/>
    <n v="2213249"/>
    <m/>
    <m/>
  </r>
  <r>
    <x v="13"/>
    <x v="7"/>
    <s v="D:\images\2021-CHG-CBA-Saccharin 1\plaque 2/@13 TESTO 30/G1_02.tif "/>
    <s v=" 33326.7527 "/>
    <s v=" 72.3956 "/>
    <x v="0"/>
    <n v="2412709"/>
    <m/>
    <m/>
  </r>
  <r>
    <x v="13"/>
    <x v="7"/>
    <s v="D:\images\2021-CHG-CBA-Saccharin 1\plaque 2/@13 TESTO 30/G1_03.tif "/>
    <s v=" 34523.2092 "/>
    <s v=" 70.7398 "/>
    <x v="0"/>
    <n v="2442164"/>
    <m/>
    <m/>
  </r>
  <r>
    <x v="13"/>
    <x v="8"/>
    <s v="D:\images\2021-CHG-CBA-Saccharin 1\plaque 2/@13 TESTO 30/H1_01.tif "/>
    <s v=" 37590.4886 "/>
    <s v=" 73.9948 "/>
    <x v="0"/>
    <n v="2781500"/>
    <m/>
    <m/>
  </r>
  <r>
    <x v="13"/>
    <x v="8"/>
    <s v="D:\images\2021-CHG-CBA-Saccharin 1\plaque 2/@13 TESTO 30/H1_02.tif "/>
    <s v=" 33566.044 "/>
    <s v=" 69.7764 "/>
    <x v="0"/>
    <n v="2342118"/>
    <m/>
    <m/>
  </r>
  <r>
    <x v="13"/>
    <x v="8"/>
    <s v="D:\images\2021-CHG-CBA-Saccharin 1\plaque 2/@13 TESTO 30/H1_03.tif "/>
    <s v=" 42724.3748 "/>
    <s v=" 70.8274 "/>
    <x v="0"/>
    <n v="3026056"/>
    <m/>
    <m/>
  </r>
  <r>
    <x v="0"/>
    <x v="0"/>
    <s v=" "/>
    <m/>
    <m/>
    <x v="1"/>
    <m/>
    <m/>
    <m/>
  </r>
  <r>
    <x v="0"/>
    <x v="0"/>
    <s v="group "/>
    <s v=" "/>
    <s v=" mean of mean fluo "/>
    <x v="2"/>
    <s v=" mean of total fluo "/>
    <s v=" SD total fluo "/>
    <s v=" n fluorescent "/>
  </r>
  <r>
    <x v="13"/>
    <x v="9"/>
    <s v="D:\images\2021-CHG-CBA-Saccharin 1\plaque 2/@13 TESTO 30/ "/>
    <s v=" "/>
    <s v=" 69.4362 "/>
    <x v="15"/>
    <s v=" 1988478.08 "/>
    <s v=" 764374.84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4"/>
    <x v="1"/>
    <s v="D:\images\2021-CHG-CBA-Saccharin 1\plaque 2/@14 TESTO 30/A2_01.tif "/>
    <s v=" 43790.3088 "/>
    <s v=" 79.4441 "/>
    <x v="0"/>
    <n v="3478882"/>
    <m/>
    <m/>
  </r>
  <r>
    <x v="14"/>
    <x v="1"/>
    <s v="D:\images\2021-CHG-CBA-Saccharin 1\plaque 2/@14 TESTO 30/A2_02.tif "/>
    <s v=" 40570.7531 "/>
    <s v=" 81.6021 "/>
    <x v="0"/>
    <n v="3310660"/>
    <m/>
    <m/>
  </r>
  <r>
    <x v="14"/>
    <x v="1"/>
    <s v="D:\images\2021-CHG-CBA-Saccharin 1\plaque 2/@14 TESTO 30/A2_03.tif "/>
    <s v=" 38699.9302 "/>
    <s v=" 81.3052 "/>
    <x v="0"/>
    <n v="3146507"/>
    <m/>
    <m/>
  </r>
  <r>
    <x v="14"/>
    <x v="2"/>
    <s v="D:\images\2021-CHG-CBA-Saccharin 1\plaque 2/@14 TESTO 30/B2_01.tif "/>
    <s v=" 53100.916 "/>
    <s v=" 73.7964 "/>
    <x v="0"/>
    <n v="3918656"/>
    <m/>
    <m/>
  </r>
  <r>
    <x v="14"/>
    <x v="2"/>
    <s v="D:\images\2021-CHG-CBA-Saccharin 1\plaque 2/@14 TESTO 30/B2_02.tif "/>
    <s v=" 47618.9697 "/>
    <s v=" 75.2312 "/>
    <x v="0"/>
    <n v="3582430"/>
    <m/>
    <m/>
  </r>
  <r>
    <x v="14"/>
    <x v="2"/>
    <s v="D:\images\2021-CHG-CBA-Saccharin 1\plaque 2/@14 TESTO 30/B2_03.tif "/>
    <s v=" 45269.5642 "/>
    <s v=" 72.1605 "/>
    <x v="0"/>
    <n v="3266674"/>
    <m/>
    <m/>
  </r>
  <r>
    <x v="14"/>
    <x v="3"/>
    <s v="D:\images\2021-CHG-CBA-Saccharin 1\plaque 2/@14 TESTO 30/C2_01.tif "/>
    <s v=" 24951.557 "/>
    <s v=" 70.4394 "/>
    <x v="0"/>
    <n v="1757573"/>
    <m/>
    <m/>
  </r>
  <r>
    <x v="14"/>
    <x v="3"/>
    <s v="D:\images\2021-CHG-CBA-Saccharin 1\plaque 2/@14 TESTO 30/C2_02.tif "/>
    <s v=" 21688.4937 "/>
    <s v=" 68.4473 "/>
    <x v="0"/>
    <n v="1484520"/>
    <m/>
    <m/>
  </r>
  <r>
    <x v="14"/>
    <x v="3"/>
    <s v="D:\images\2021-CHG-CBA-Saccharin 1\plaque 2/@14 TESTO 30/C2_03.tif "/>
    <s v=" 24668.7582 "/>
    <s v=" 69.7919 "/>
    <x v="0"/>
    <n v="1721679"/>
    <m/>
    <m/>
  </r>
  <r>
    <x v="14"/>
    <x v="4"/>
    <s v="D:\images\2021-CHG-CBA-Saccharin 1\plaque 2/@14 TESTO 30/D2_01.tif "/>
    <s v=" 15749.7186 "/>
    <s v=" 71.7182 "/>
    <x v="0"/>
    <n v="1129542"/>
    <m/>
    <m/>
  </r>
  <r>
    <x v="14"/>
    <x v="4"/>
    <s v="D:\images\2021-CHG-CBA-Saccharin 1\plaque 2/@14 TESTO 30/D2_02.tif "/>
    <s v=" 23646.3317 "/>
    <s v=" 72.2162 "/>
    <x v="0"/>
    <n v="1707648"/>
    <m/>
    <m/>
  </r>
  <r>
    <x v="14"/>
    <x v="4"/>
    <s v="D:\images\2021-CHG-CBA-Saccharin 1\plaque 2/@14 TESTO 30/D2_03- exclu.tif"/>
    <m/>
    <m/>
    <x v="1"/>
    <m/>
    <m/>
    <m/>
  </r>
  <r>
    <x v="14"/>
    <x v="5"/>
    <s v="D:\images\2021-CHG-CBA-Saccharin 1\plaque 2/@14 TESTO 30/E2_01.tif "/>
    <s v=" 19556.6257 "/>
    <s v=" 73.2236 "/>
    <x v="0"/>
    <n v="1432006"/>
    <m/>
    <m/>
  </r>
  <r>
    <x v="14"/>
    <x v="5"/>
    <s v="D:\images\2021-CHG-CBA-Saccharin 1\plaque 2/@14 TESTO 30/E2_02.tif "/>
    <s v=" 17859.8329 "/>
    <s v=" 68.0171 "/>
    <x v="0"/>
    <n v="1214773"/>
    <m/>
    <m/>
  </r>
  <r>
    <x v="14"/>
    <x v="5"/>
    <s v="D:\images\2021-CHG-CBA-Saccharin 1\plaque 2/@14 TESTO 30/E2_03.tif "/>
    <s v=" 12530.1629 "/>
    <s v=" 65.0295 "/>
    <x v="0"/>
    <n v="814830"/>
    <m/>
    <m/>
  </r>
  <r>
    <x v="14"/>
    <x v="6"/>
    <s v="D:\images\2021-CHG-CBA-Saccharin 1\plaque 2/@14 TESTO 30/F2_01.tif "/>
    <s v=" 29237.0467 "/>
    <s v=" 71.657 "/>
    <x v="0"/>
    <n v="2095039"/>
    <m/>
    <m/>
  </r>
  <r>
    <x v="14"/>
    <x v="6"/>
    <s v="D:\images\2021-CHG-CBA-Saccharin 1\plaque 2/@14 TESTO 30/F2_02.tif "/>
    <s v=" 31716.9748 "/>
    <s v=" 72.0288 "/>
    <x v="0"/>
    <n v="2284536"/>
    <m/>
    <m/>
  </r>
  <r>
    <x v="14"/>
    <x v="6"/>
    <s v="D:\images\2021-CHG-CBA-Saccharin 1\plaque 2/@14 TESTO 30/F2_03.tif "/>
    <s v=" 34479.7017 "/>
    <s v=" 71.5098 "/>
    <x v="0"/>
    <n v="2465636"/>
    <m/>
    <m/>
  </r>
  <r>
    <x v="14"/>
    <x v="7"/>
    <s v="D:\images\2021-CHG-CBA-Saccharin 1\plaque 2/@14 TESTO 30/G2_01.tif "/>
    <s v=" 36241.7558 "/>
    <s v=" 80.0966 "/>
    <x v="0"/>
    <n v="2902843"/>
    <m/>
    <m/>
  </r>
  <r>
    <x v="14"/>
    <x v="7"/>
    <s v="D:\images\2021-CHG-CBA-Saccharin 1\plaque 2/@14 TESTO 30/G2_02.tif "/>
    <s v=" 33587.7977 "/>
    <s v=" 80.4514 "/>
    <x v="0"/>
    <n v="2702186"/>
    <m/>
    <m/>
  </r>
  <r>
    <x v="14"/>
    <x v="7"/>
    <s v="D:\images\2021-CHG-CBA-Saccharin 1\plaque 2/@14 TESTO 30/G2_03.tif "/>
    <s v=" 44442.9215 "/>
    <s v=" 72.254 "/>
    <x v="0"/>
    <n v="3211181"/>
    <m/>
    <m/>
  </r>
  <r>
    <x v="14"/>
    <x v="8"/>
    <s v="D:\images\2021-CHG-CBA-Saccharin 1\plaque 2/@14 TESTO 30/H2_01- exclu.tif"/>
    <m/>
    <m/>
    <x v="1"/>
    <m/>
    <m/>
    <m/>
  </r>
  <r>
    <x v="14"/>
    <x v="8"/>
    <s v="D:\images\2021-CHG-CBA-Saccharin 1\plaque 2/@14 TESTO 30/H2_02- exclu.tif"/>
    <m/>
    <m/>
    <x v="1"/>
    <m/>
    <m/>
    <m/>
  </r>
  <r>
    <x v="14"/>
    <x v="8"/>
    <s v="D:\images\2021-CHG-CBA-Saccharin 1\plaque 2/@14 TESTO 30/H2_03- exclu.tif"/>
    <m/>
    <m/>
    <x v="1"/>
    <m/>
    <m/>
    <m/>
  </r>
  <r>
    <x v="0"/>
    <x v="0"/>
    <s v=" "/>
    <m/>
    <m/>
    <x v="1"/>
    <m/>
    <m/>
    <m/>
  </r>
  <r>
    <x v="0"/>
    <x v="0"/>
    <s v="group "/>
    <s v=" "/>
    <s v=" mean of mean fluo "/>
    <x v="2"/>
    <s v=" mean of total fluo "/>
    <s v=" SD total fluo "/>
    <s v=" n fluorescent "/>
  </r>
  <r>
    <x v="14"/>
    <x v="9"/>
    <s v="D:\images\2021-CHG-CBA-Saccharin 1\plaque 2/@14 TESTO 30/ "/>
    <s v=" "/>
    <s v=" 72.3548 "/>
    <x v="16"/>
    <s v=" 2038464.58 "/>
    <s v=" 1167568.16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5"/>
    <x v="1"/>
    <s v="D:\images\2021-CHG-CBA-Saccharin 1\plaque 2/@15 TESTO + EE2/A3_01.tif "/>
    <s v=" 35719.6657 "/>
    <s v=" 71.7192 "/>
    <x v="0"/>
    <n v="2561787"/>
    <m/>
    <m/>
  </r>
  <r>
    <x v="15"/>
    <x v="1"/>
    <s v="D:\images\2021-CHG-CBA-Saccharin 1\plaque 2/@15 TESTO + EE2/A3_02.tif "/>
    <s v=" 41179.8582 "/>
    <s v=" 73.8278 "/>
    <x v="0"/>
    <n v="3040218"/>
    <m/>
    <m/>
  </r>
  <r>
    <x v="15"/>
    <x v="1"/>
    <s v="D:\images\2021-CHG-CBA-Saccharin 1\plaque 2/@15 TESTO + EE2/A3_03.tif "/>
    <s v=" 41049.3357 "/>
    <s v=" 74.1722 "/>
    <x v="0"/>
    <n v="3044721"/>
    <m/>
    <m/>
  </r>
  <r>
    <x v="15"/>
    <x v="2"/>
    <s v="D:\images\2021-CHG-CBA-Saccharin 1\plaque 2/@15 TESTO + EE2/B3_01- exclu.tif"/>
    <m/>
    <m/>
    <x v="1"/>
    <m/>
    <m/>
    <m/>
  </r>
  <r>
    <x v="15"/>
    <x v="2"/>
    <s v="D:\images\2021-CHG-CBA-Saccharin 1\plaque 2/@15 TESTO + EE2/B3_02- exclu.tif"/>
    <m/>
    <m/>
    <x v="1"/>
    <m/>
    <m/>
    <m/>
  </r>
  <r>
    <x v="15"/>
    <x v="2"/>
    <s v="D:\images\2021-CHG-CBA-Saccharin 1\plaque 2/@15 TESTO + EE2/B3_03- exclu.tif"/>
    <m/>
    <m/>
    <x v="1"/>
    <m/>
    <m/>
    <m/>
  </r>
  <r>
    <x v="15"/>
    <x v="3"/>
    <s v="D:\images\2021-CHG-CBA-Saccharin 1\plaque 2/@15 TESTO + EE2/C3_01.tif "/>
    <s v=" 10594.0787 "/>
    <s v=" 68.9138 "/>
    <x v="0"/>
    <n v="730078"/>
    <m/>
    <m/>
  </r>
  <r>
    <x v="15"/>
    <x v="3"/>
    <s v="D:\images\2021-CHG-CBA-Saccharin 1\plaque 2/@15 TESTO + EE2/C3_02.tif "/>
    <s v=" 11725.2739 "/>
    <s v=" 66.5065 "/>
    <x v="0"/>
    <n v="779807"/>
    <m/>
    <m/>
  </r>
  <r>
    <x v="15"/>
    <x v="3"/>
    <s v="D:\images\2021-CHG-CBA-Saccharin 1\plaque 2/@15 TESTO + EE2/C3_03.tif "/>
    <s v=" 11203.1838 "/>
    <s v=" 65.5748 "/>
    <x v="0"/>
    <n v="734646"/>
    <m/>
    <m/>
  </r>
  <r>
    <x v="15"/>
    <x v="4"/>
    <s v="D:\images\2021-CHG-CBA-Saccharin 1\plaque 2/@15 TESTO + EE2/D3_01.tif "/>
    <s v=" 19034.5356 "/>
    <s v=" 72.4114 "/>
    <x v="0"/>
    <n v="1378318"/>
    <m/>
    <m/>
  </r>
  <r>
    <x v="15"/>
    <x v="4"/>
    <s v="D:\images\2021-CHG-CBA-Saccharin 1\plaque 2/@15 TESTO + EE2/D3_02.tif "/>
    <s v=" 21057.6348 "/>
    <s v=" 71.2376 "/>
    <x v="0"/>
    <n v="1500095"/>
    <m/>
    <m/>
  </r>
  <r>
    <x v="15"/>
    <x v="4"/>
    <s v="D:\images\2021-CHG-CBA-Saccharin 1\plaque 2/@15 TESTO + EE2/D3_03.tif "/>
    <s v=" 21797.2625 "/>
    <s v=" 71.7794 "/>
    <x v="0"/>
    <n v="1564595"/>
    <m/>
    <m/>
  </r>
  <r>
    <x v="15"/>
    <x v="5"/>
    <s v="D:\images\2021-CHG-CBA-Saccharin 1\plaque 2/@15 TESTO + EE2/E3_01.tif "/>
    <s v=" 39417.8041 "/>
    <s v=" 79.9525 "/>
    <x v="0"/>
    <n v="3151554"/>
    <m/>
    <m/>
  </r>
  <r>
    <x v="15"/>
    <x v="5"/>
    <s v="D:\images\2021-CHG-CBA-Saccharin 1\plaque 2/@15 TESTO + EE2/E3_02.tif "/>
    <s v=" 38373.6238 "/>
    <s v=" 80.195 "/>
    <x v="0"/>
    <n v="3077373"/>
    <m/>
    <m/>
  </r>
  <r>
    <x v="15"/>
    <x v="5"/>
    <s v="D:\images\2021-CHG-CBA-Saccharin 1\plaque 2/@15 TESTO + EE2/E3_03.tif "/>
    <s v=" 40092.1705 "/>
    <s v=" 78.338 "/>
    <x v="0"/>
    <n v="3140742"/>
    <m/>
    <m/>
  </r>
  <r>
    <x v="15"/>
    <x v="6"/>
    <s v="D:\images\2021-CHG-CBA-Saccharin 1\plaque 2/@15 TESTO + EE2/F3_01.tif "/>
    <s v=" 67567.163 "/>
    <s v=" 80.6565 "/>
    <x v="0"/>
    <n v="5449729"/>
    <m/>
    <m/>
  </r>
  <r>
    <x v="15"/>
    <x v="6"/>
    <s v="D:\images\2021-CHG-CBA-Saccharin 1\plaque 2/@15 TESTO + EE2/F3_02.tif "/>
    <s v=" 64978.4662 "/>
    <s v=" 80.5631 "/>
    <x v="0"/>
    <n v="5234867"/>
    <m/>
    <m/>
  </r>
  <r>
    <x v="15"/>
    <x v="6"/>
    <s v="D:\images\2021-CHG-CBA-Saccharin 1\plaque 2/@15 TESTO + EE2/F3_03.tif "/>
    <s v=" 59496.5199 "/>
    <s v=" 80.2252 "/>
    <x v="0"/>
    <n v="4773122"/>
    <m/>
    <m/>
  </r>
  <r>
    <x v="15"/>
    <x v="7"/>
    <s v="D:\images\2021-CHG-CBA-Saccharin 1\plaque 2/@15 TESTO + EE2/G3_01.tif "/>
    <s v=" 59866.3338 "/>
    <s v=" 81.7129 "/>
    <x v="0"/>
    <n v="4891854"/>
    <m/>
    <m/>
  </r>
  <r>
    <x v="15"/>
    <x v="7"/>
    <s v="D:\images\2021-CHG-CBA-Saccharin 1\plaque 2/@15 TESTO + EE2/G3_02.tif "/>
    <s v=" 60692.9765 "/>
    <s v=" 81.2376 "/>
    <x v="0"/>
    <n v="4930554"/>
    <m/>
    <m/>
  </r>
  <r>
    <x v="15"/>
    <x v="7"/>
    <s v="D:\images\2021-CHG-CBA-Saccharin 1\plaque 2/@15 TESTO + EE2/G3_03.tif "/>
    <s v=" 58343.5709 "/>
    <s v=" 80.6667 "/>
    <x v="0"/>
    <n v="4706381"/>
    <m/>
    <m/>
  </r>
  <r>
    <x v="15"/>
    <x v="8"/>
    <s v="D:\images\2021-CHG-CBA-Saccharin 1\plaque 2/@15 TESTO + EE2/H3_01.tif "/>
    <s v=" 19926.4396 "/>
    <s v=" 70.0022 "/>
    <x v="0"/>
    <n v="1394894"/>
    <m/>
    <m/>
  </r>
  <r>
    <x v="15"/>
    <x v="8"/>
    <s v="D:\images\2021-CHG-CBA-Saccharin 1\plaque 2/@15 TESTO + EE2/H3_02.tif "/>
    <s v=" 15010.091 "/>
    <s v=" 67.4957 "/>
    <x v="0"/>
    <n v="1013116"/>
    <m/>
    <m/>
  </r>
  <r>
    <x v="15"/>
    <x v="8"/>
    <s v="D:\images\2021-CHG-CBA-Saccharin 1\plaque 2/@15 TESTO + EE2/H3_03.tif "/>
    <s v=" 12812.9617 "/>
    <s v=" 67.0255 "/>
    <x v="0"/>
    <n v="858795"/>
    <m/>
    <m/>
  </r>
  <r>
    <x v="0"/>
    <x v="0"/>
    <s v=" "/>
    <m/>
    <m/>
    <x v="1"/>
    <m/>
    <m/>
    <m/>
  </r>
  <r>
    <x v="0"/>
    <x v="0"/>
    <s v="group "/>
    <s v=" "/>
    <s v=" mean of mean fluo "/>
    <x v="2"/>
    <s v=" mean of total fluo "/>
    <s v=" SD total fluo "/>
    <s v=" n fluorescent "/>
  </r>
  <r>
    <x v="15"/>
    <x v="9"/>
    <s v="D:\images\2021-CHG-CBA-Saccharin 1\plaque 2/@15 TESTO + EE2/ "/>
    <s v=" "/>
    <s v=" 73.9695 "/>
    <x v="17"/>
    <s v=" 2841569.75 "/>
    <s v=" 1588304.95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6"/>
    <x v="1"/>
    <s v="D:\images\2021-CHG-CBA-Saccharin 1\plaque 2/@16 TESTO + FAD/A4_01.tif "/>
    <s v=" 4872.8411 "/>
    <s v=" 66.3304 "/>
    <x v="0"/>
    <n v="323217"/>
    <m/>
    <m/>
  </r>
  <r>
    <x v="16"/>
    <x v="1"/>
    <s v="D:\images\2021-CHG-CBA-Saccharin 1\plaque 2/@16 TESTO + FAD/A4_02.tif "/>
    <s v=" 12682.4392 "/>
    <s v=" 86.5849 "/>
    <x v="0"/>
    <n v="1098108"/>
    <m/>
    <m/>
  </r>
  <r>
    <x v="16"/>
    <x v="1"/>
    <s v="D:\images\2021-CHG-CBA-Saccharin 1\plaque 2/@16 TESTO + FAD/A4_03.tif "/>
    <s v=" 12312.6253 "/>
    <s v=" 81.8922 "/>
    <x v="0"/>
    <n v="1008308"/>
    <m/>
    <m/>
  </r>
  <r>
    <x v="16"/>
    <x v="2"/>
    <s v="D:\images\2021-CHG-CBA-Saccharin 1\plaque 2/@16 TESTO + FAD/B4_01- exclu.tif"/>
    <m/>
    <m/>
    <x v="1"/>
    <m/>
    <m/>
    <m/>
  </r>
  <r>
    <x v="16"/>
    <x v="2"/>
    <s v="D:\images\2021-CHG-CBA-Saccharin 1\plaque 2/@16 TESTO + FAD/B4_02.tif "/>
    <s v=" 3089.0332 "/>
    <s v=" 65.5 "/>
    <x v="0"/>
    <n v="202332"/>
    <m/>
    <m/>
  </r>
  <r>
    <x v="16"/>
    <x v="2"/>
    <s v="D:\images\2021-CHG-CBA-Saccharin 1\plaque 2/@16 TESTO + FAD/B4_03.tif "/>
    <s v=" 4328.9972 "/>
    <s v=" 67.3568 "/>
    <x v="0"/>
    <n v="291587"/>
    <m/>
    <m/>
  </r>
  <r>
    <x v="16"/>
    <x v="3"/>
    <s v="D:\images\2021-CHG-CBA-Saccharin 1\plaque 2/@16 TESTO + FAD/C4_01.tif "/>
    <s v=" 6656.649 "/>
    <s v=" 72.1928 "/>
    <x v="0"/>
    <n v="480562"/>
    <m/>
    <m/>
  </r>
  <r>
    <x v="16"/>
    <x v="3"/>
    <s v="D:\images\2021-CHG-CBA-Saccharin 1\plaque 2/@16 TESTO + FAD/C4_02.tif "/>
    <s v=" 4198.4747 "/>
    <s v=" 67.4041 "/>
    <x v="0"/>
    <n v="282995"/>
    <m/>
    <m/>
  </r>
  <r>
    <x v="16"/>
    <x v="3"/>
    <s v="D:\images\2021-CHG-CBA-Saccharin 1\plaque 2/@16 TESTO + FAD/C4_03.tif "/>
    <s v=" 5046.8712 "/>
    <s v=" 70.1034 "/>
    <x v="0"/>
    <n v="353803"/>
    <m/>
    <m/>
  </r>
  <r>
    <x v="16"/>
    <x v="4"/>
    <s v="D:\images\2021-CHG-CBA-Saccharin 1\plaque 2/@16 TESTO + FAD/D4_01.tif "/>
    <s v=" 1065.934 "/>
    <s v=" 64.2653 "/>
    <x v="0"/>
    <n v="68503"/>
    <m/>
    <m/>
  </r>
  <r>
    <x v="16"/>
    <x v="4"/>
    <s v="D:\images\2021-CHG-CBA-Saccharin 1\plaque 2/@16 TESTO + FAD/D4_02.tif "/>
    <s v=" 1370.4866 "/>
    <s v=" 63.2381 "/>
    <x v="0"/>
    <n v="86667"/>
    <m/>
    <m/>
  </r>
  <r>
    <x v="16"/>
    <x v="4"/>
    <s v="D:\images\2021-CHG-CBA-Saccharin 1\plaque 2/@16 TESTO + FAD/D4_03.tif "/>
    <s v=" 1718.5466 "/>
    <s v=" 66.8987 "/>
    <x v="0"/>
    <n v="114969"/>
    <m/>
    <m/>
  </r>
  <r>
    <x v="16"/>
    <x v="5"/>
    <s v="D:\images\2021-CHG-CBA-Saccharin 1\plaque 2/@16 TESTO + FAD/E4_01.tif "/>
    <s v=" 696.1202 "/>
    <s v=" 62.7812 "/>
    <x v="0"/>
    <n v="43703"/>
    <m/>
    <m/>
  </r>
  <r>
    <x v="16"/>
    <x v="5"/>
    <s v="D:\images\2021-CHG-CBA-Saccharin 1\plaque 2/@16 TESTO + FAD/E4_02.tif "/>
    <s v=" 413.3213 "/>
    <s v=" 62.6842 "/>
    <x v="0"/>
    <n v="25909"/>
    <m/>
    <m/>
  </r>
  <r>
    <x v="16"/>
    <x v="5"/>
    <s v="D:\images\2021-CHG-CBA-Saccharin 1\plaque 2/@16 TESTO + FAD/E4_03.tif "/>
    <s v=" 391.5676 "/>
    <s v=" 61.8333 "/>
    <x v="0"/>
    <n v="24212"/>
    <m/>
    <m/>
  </r>
  <r>
    <x v="16"/>
    <x v="6"/>
    <s v="D:\images\2021-CHG-CBA-Saccharin 1\plaque 2/@16 TESTO + FAD/F4_01.tif "/>
    <s v=" 3567.6158 "/>
    <s v=" 67.4451 "/>
    <x v="0"/>
    <n v="240618"/>
    <m/>
    <m/>
  </r>
  <r>
    <x v="16"/>
    <x v="6"/>
    <s v="D:\images\2021-CHG-CBA-Saccharin 1\plaque 2/@16 TESTO + FAD/F4_02.tif "/>
    <s v=" 8027.1356 "/>
    <s v=" 73.4201 "/>
    <x v="0"/>
    <n v="589353"/>
    <m/>
    <m/>
  </r>
  <r>
    <x v="16"/>
    <x v="6"/>
    <s v="D:\images\2021-CHG-CBA-Saccharin 1\plaque 2/@16 TESTO + FAD/F4_03.tif "/>
    <s v=" 6460.8652 "/>
    <s v=" 75.4276 "/>
    <x v="0"/>
    <n v="487328"/>
    <m/>
    <m/>
  </r>
  <r>
    <x v="16"/>
    <x v="7"/>
    <s v="D:\images\2021-CHG-CBA-Saccharin 1\plaque 2/@16 TESTO + FAD/G4_01.tif "/>
    <s v=" 1827.3154 "/>
    <s v=" 64.1548 "/>
    <x v="0"/>
    <n v="117231"/>
    <m/>
    <m/>
  </r>
  <r>
    <x v="16"/>
    <x v="7"/>
    <s v="D:\images\2021-CHG-CBA-Saccharin 1\plaque 2/@16 TESTO + FAD/G4_02.tif "/>
    <s v=" 3241.3095 "/>
    <s v=" 65.255 "/>
    <x v="0"/>
    <n v="211512"/>
    <m/>
    <m/>
  </r>
  <r>
    <x v="16"/>
    <x v="7"/>
    <s v="D:\images\2021-CHG-CBA-Saccharin 1\plaque 2/@16 TESTO + FAD/G4_03.tif "/>
    <s v=" 1805.5617 "/>
    <s v=" 63.3855 "/>
    <x v="0"/>
    <n v="114447"/>
    <m/>
    <m/>
  </r>
  <r>
    <x v="16"/>
    <x v="8"/>
    <s v="D:\images\2021-CHG-CBA-Saccharin 1\plaque 2/@16 TESTO + FAD/H4_01.tif "/>
    <s v=" 848.3964 "/>
    <s v=" 65.2308 "/>
    <x v="0"/>
    <n v="55342"/>
    <m/>
    <m/>
  </r>
  <r>
    <x v="16"/>
    <x v="8"/>
    <s v="D:\images\2021-CHG-CBA-Saccharin 1\plaque 2/@16 TESTO + FAD/H4_02.tif "/>
    <s v=" 739.6277 "/>
    <s v=" 62.4706 "/>
    <x v="0"/>
    <n v="46205"/>
    <m/>
    <m/>
  </r>
  <r>
    <x v="16"/>
    <x v="8"/>
    <s v="D:\images\2021-CHG-CBA-Saccharin 1\plaque 2/@16 TESTO + FAD/H4_03.tif "/>
    <s v=" 652.6127 "/>
    <s v=" 65.7333 "/>
    <x v="0"/>
    <n v="42898"/>
    <m/>
    <m/>
  </r>
  <r>
    <x v="0"/>
    <x v="0"/>
    <s v=" "/>
    <m/>
    <m/>
    <x v="1"/>
    <m/>
    <m/>
    <m/>
  </r>
  <r>
    <x v="0"/>
    <x v="0"/>
    <s v="group "/>
    <s v=" "/>
    <s v=" mean of mean fluo "/>
    <x v="2"/>
    <s v=" mean of total fluo "/>
    <s v=" SD total fluo "/>
    <s v=" n fluorescent "/>
  </r>
  <r>
    <x v="16"/>
    <x v="9"/>
    <s v="D:\images\2021-CHG-CBA-Saccharin 1\plaque 2/@16 TESTO + FAD/ "/>
    <s v=" "/>
    <s v=" 67.7266 "/>
    <x v="18"/>
    <s v=" 268348.958 "/>
    <s v=" 289517.358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7"/>
    <x v="1"/>
    <s v="D:\images\2021-CHG-CBA-Saccharin 1\plaque 2/@17 Saccharin 0.01 + Testo/A5_01.tif "/>
    <s v=" 6656.649 "/>
    <s v=" 65.3007 "/>
    <x v="0"/>
    <n v="434684"/>
    <m/>
    <m/>
  </r>
  <r>
    <x v="17"/>
    <x v="1"/>
    <s v="D:\images\2021-CHG-CBA-Saccharin 1\plaque 2/@17 Saccharin 0.01 + Testo/A5_02.tif "/>
    <s v=" 4328.9972 "/>
    <s v=" 64.2513 "/>
    <x v="0"/>
    <n v="278144"/>
    <m/>
    <m/>
  </r>
  <r>
    <x v="17"/>
    <x v="1"/>
    <s v="D:\images\2021-CHG-CBA-Saccharin 1\plaque 2/@17 Saccharin 0.01 + Testo/A5_03- exclu.tif"/>
    <m/>
    <m/>
    <x v="1"/>
    <m/>
    <m/>
    <m/>
  </r>
  <r>
    <x v="17"/>
    <x v="2"/>
    <s v="D:\images\2021-CHG-CBA-Saccharin 1\plaque 2/@17 Saccharin 0.01 + Testo/B5_01.tif "/>
    <s v=" 22449.8752 "/>
    <s v=" 68.3188 "/>
    <x v="0"/>
    <n v="1533748"/>
    <m/>
    <m/>
  </r>
  <r>
    <x v="17"/>
    <x v="2"/>
    <s v="D:\images\2021-CHG-CBA-Saccharin 1\plaque 2/@17 Saccharin 0.01 + Testo/B5_02.tif "/>
    <s v=" 26757.1187 "/>
    <s v=" 70.1065 "/>
    <x v="0"/>
    <n v="1875848"/>
    <m/>
    <m/>
  </r>
  <r>
    <x v="17"/>
    <x v="2"/>
    <s v="D:\images\2021-CHG-CBA-Saccharin 1\plaque 2/@17 Saccharin 0.01 + Testo/B5_03- exclu.tif"/>
    <m/>
    <m/>
    <x v="1"/>
    <m/>
    <m/>
    <m/>
  </r>
  <r>
    <x v="17"/>
    <x v="3"/>
    <s v="D:\images\2021-CHG-CBA-Saccharin 1\plaque 2/@17 Saccharin 0.01 + Testo/C5_01.tif "/>
    <s v=" 14857.8147 "/>
    <s v=" 66.8521 "/>
    <x v="0"/>
    <n v="993276"/>
    <m/>
    <m/>
  </r>
  <r>
    <x v="17"/>
    <x v="3"/>
    <s v="D:\images\2021-CHG-CBA-Saccharin 1\plaque 2/@17 Saccharin 0.01 + Testo/C5_02.tif "/>
    <s v=" 15227.6285 "/>
    <s v=" 66.6071 "/>
    <x v="0"/>
    <n v="1014269"/>
    <m/>
    <m/>
  </r>
  <r>
    <x v="17"/>
    <x v="3"/>
    <s v="D:\images\2021-CHG-CBA-Saccharin 1\plaque 2/@17 Saccharin 0.01 + Testo/C5_03.tif "/>
    <s v=" 18207.8929 "/>
    <s v=" 67.3154 "/>
    <x v="0"/>
    <n v="1225672"/>
    <m/>
    <m/>
  </r>
  <r>
    <x v="17"/>
    <x v="4"/>
    <s v="D:\images\2021-CHG-CBA-Saccharin 1\plaque 2/@17 Saccharin 0.01 + Testo/D5_01.tif "/>
    <s v=" 29367.5693 "/>
    <s v=" 71.5637 "/>
    <x v="0"/>
    <n v="2101652"/>
    <m/>
    <m/>
  </r>
  <r>
    <x v="17"/>
    <x v="4"/>
    <s v="D:\images\2021-CHG-CBA-Saccharin 1\plaque 2/@17 Saccharin 0.01 + Testo/D5_02.tif "/>
    <s v=" 31020.8546 "/>
    <s v=" 71.1255 "/>
    <x v="0"/>
    <n v="2206375"/>
    <m/>
    <m/>
  </r>
  <r>
    <x v="17"/>
    <x v="4"/>
    <s v="D:\images\2021-CHG-CBA-Saccharin 1\plaque 2/@17 Saccharin 0.01 + Testo/D5_03.tif "/>
    <s v=" 29585.1068 "/>
    <s v=" 70.3287 "/>
    <x v="0"/>
    <n v="2080681"/>
    <m/>
    <m/>
  </r>
  <r>
    <x v="17"/>
    <x v="5"/>
    <s v="D:\images\2021-CHG-CBA-Saccharin 1\plaque 2/@17 Saccharin 0.01 + Testo/E5_01.tif "/>
    <s v=" 43137.6962 "/>
    <s v=" 73.8795 "/>
    <x v="0"/>
    <n v="3186990"/>
    <m/>
    <m/>
  </r>
  <r>
    <x v="17"/>
    <x v="5"/>
    <s v="D:\images\2021-CHG-CBA-Saccharin 1\plaque 2/@17 Saccharin 0.01 + Testo/E5_02.tif "/>
    <s v=" 37873.2875 "/>
    <s v=" 74.2366 "/>
    <x v="0"/>
    <n v="2811586"/>
    <m/>
    <m/>
  </r>
  <r>
    <x v="17"/>
    <x v="5"/>
    <s v="D:\images\2021-CHG-CBA-Saccharin 1\plaque 2/@17 Saccharin 0.01 + Testo/E5_03.tif "/>
    <s v=" 40592.5068 "/>
    <s v=" 74.6484 "/>
    <x v="0"/>
    <n v="3030168"/>
    <m/>
    <m/>
  </r>
  <r>
    <x v="17"/>
    <x v="6"/>
    <s v="D:\images\2021-CHG-CBA-Saccharin 1\plaque 2/@17 Saccharin 0.01 + Testo/F5_01.tif "/>
    <s v=" 24146.6681 "/>
    <s v=" 70.0649 "/>
    <x v="0"/>
    <n v="1691833"/>
    <m/>
    <m/>
  </r>
  <r>
    <x v="17"/>
    <x v="6"/>
    <s v="D:\images\2021-CHG-CBA-Saccharin 1\plaque 2/@17 Saccharin 0.01 + Testo/F5_02.tif "/>
    <s v=" 19600.1333 "/>
    <s v=" 69.8735 "/>
    <x v="0"/>
    <n v="1369529"/>
    <m/>
    <m/>
  </r>
  <r>
    <x v="17"/>
    <x v="6"/>
    <s v="D:\images\2021-CHG-CBA-Saccharin 1\plaque 2/@17 Saccharin 0.01 + Testo/F5_03.tif "/>
    <s v=" 17533.5265 "/>
    <s v=" 69.4566 "/>
    <x v="0"/>
    <n v="1217819"/>
    <m/>
    <m/>
  </r>
  <r>
    <x v="17"/>
    <x v="7"/>
    <s v="D:\images\2021-CHG-CBA-Saccharin 1\plaque 2/@17 Saccharin 0.01 + Testo/G5_01.tif "/>
    <s v=" 40853.5519 "/>
    <s v=" 74.6794 "/>
    <x v="0"/>
    <n v="3050921"/>
    <m/>
    <m/>
  </r>
  <r>
    <x v="17"/>
    <x v="7"/>
    <s v="D:\images\2021-CHG-CBA-Saccharin 1\plaque 2/@17 Saccharin 0.01 + Testo/G5_02.tif "/>
    <s v=" 40309.708 "/>
    <s v=" 75.6098 "/>
    <x v="0"/>
    <n v="3047810"/>
    <m/>
    <m/>
  </r>
  <r>
    <x v="17"/>
    <x v="7"/>
    <s v="D:\images\2021-CHG-CBA-Saccharin 1\plaque 2/@17 Saccharin 0.01 + Testo/G5_03.tif "/>
    <s v=" 31782.2361 "/>
    <s v=" 70.9103 "/>
    <x v="0"/>
    <n v="2253689"/>
    <m/>
    <m/>
  </r>
  <r>
    <x v="17"/>
    <x v="8"/>
    <s v="D:\images\2021-CHG-CBA-Saccharin 1\plaque 2/@17 Saccharin 0.01 + Testo/H5_01.tif "/>
    <s v=" 39722.3566 "/>
    <s v=" 73.149 "/>
    <x v="0"/>
    <n v="2905649"/>
    <m/>
    <m/>
  </r>
  <r>
    <x v="17"/>
    <x v="8"/>
    <s v="D:\images\2021-CHG-CBA-Saccharin 1\plaque 2/@17 Saccharin 0.01 + Testo/H5_02.tif "/>
    <s v=" 44464.6752 "/>
    <s v=" 72.4843 "/>
    <x v="0"/>
    <n v="3222993"/>
    <m/>
    <m/>
  </r>
  <r>
    <x v="17"/>
    <x v="8"/>
    <s v="D:\images\2021-CHG-CBA-Saccharin 1\plaque 2/@17 Saccharin 0.01 + Testo/H5_03.tif "/>
    <s v=" 42137.0234 "/>
    <s v=" 74.2834 "/>
    <x v="0"/>
    <n v="3130083"/>
    <m/>
    <m/>
  </r>
  <r>
    <x v="0"/>
    <x v="0"/>
    <s v=" "/>
    <m/>
    <m/>
    <x v="1"/>
    <m/>
    <m/>
    <m/>
  </r>
  <r>
    <x v="0"/>
    <x v="0"/>
    <s v="group "/>
    <s v=" "/>
    <s v=" mean of mean fluo "/>
    <x v="2"/>
    <s v=" mean of total fluo "/>
    <s v=" SD total fluo "/>
    <s v=" n fluorescent "/>
  </r>
  <r>
    <x v="17"/>
    <x v="9"/>
    <s v="D:\images\2021-CHG-CBA-Saccharin 1\plaque 2/@17 Saccharin 0.01 + Testo/ "/>
    <s v=" "/>
    <s v=" 70.1493 "/>
    <x v="19"/>
    <s v=" 1902978.67 "/>
    <s v=" 998841.605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18"/>
    <x v="1"/>
    <s v="D:\images\2021-CHG-CBA-Saccharin 1\plaque 2/@18 Saccharin 0.1 + Testo/A6_01.tif "/>
    <s v=" 16967.9289 "/>
    <s v=" 70.1885 "/>
    <x v="0"/>
    <n v="1190953"/>
    <m/>
    <m/>
  </r>
  <r>
    <x v="18"/>
    <x v="1"/>
    <s v="D:\images\2021-CHG-CBA-Saccharin 1\plaque 2/@18 Saccharin 0.1 + Testo/A6_02.tif "/>
    <s v=" 19078.0431 "/>
    <s v=" 72.0536 "/>
    <x v="0"/>
    <n v="1374642"/>
    <m/>
    <m/>
  </r>
  <r>
    <x v="18"/>
    <x v="1"/>
    <s v="D:\images\2021-CHG-CBA-Saccharin 1\plaque 2/@18 Saccharin 0.1 + Testo/A6_03.tif "/>
    <s v=" 20339.7609 "/>
    <s v=" 69.3775 "/>
    <x v="0"/>
    <n v="1411123"/>
    <m/>
    <m/>
  </r>
  <r>
    <x v="18"/>
    <x v="2"/>
    <s v="D:\images\2021-CHG-CBA-Saccharin 1\plaque 2/@18 Saccharin 0.1 + Testo/B6_01.tif "/>
    <s v=" 54993.4926 "/>
    <s v=" 73.7532 "/>
    <x v="0"/>
    <n v="4055944"/>
    <m/>
    <m/>
  </r>
  <r>
    <x v="18"/>
    <x v="2"/>
    <s v="D:\images\2021-CHG-CBA-Saccharin 1\plaque 2/@18 Saccharin 0.1 + Testo/B6_02.tif "/>
    <s v=" 56102.9342 "/>
    <s v=" 73.4354 "/>
    <x v="0"/>
    <n v="4119944"/>
    <m/>
    <m/>
  </r>
  <r>
    <x v="18"/>
    <x v="2"/>
    <s v="D:\images\2021-CHG-CBA-Saccharin 1\plaque 2/@18 Saccharin 0.1 + Testo/B6_03.tif "/>
    <s v=" 53557.7448 "/>
    <s v=" 74.3603 "/>
    <x v="0"/>
    <n v="3982569"/>
    <m/>
    <m/>
  </r>
  <r>
    <x v="18"/>
    <x v="3"/>
    <s v="D:\images\2021-CHG-CBA-Saccharin 1\plaque 2/@18 Saccharin 0.1 + Testo/C6_01.tif "/>
    <s v=" 20753.0823 "/>
    <s v=" 67.6551 "/>
    <x v="0"/>
    <n v="1404053"/>
    <m/>
    <m/>
  </r>
  <r>
    <x v="18"/>
    <x v="3"/>
    <s v="D:\images\2021-CHG-CBA-Saccharin 1\plaque 2/@18 Saccharin 0.1 + Testo/C6_02.tif "/>
    <s v=" 18490.6918 "/>
    <s v=" 67.1165 "/>
    <x v="0"/>
    <n v="1241030"/>
    <m/>
    <m/>
  </r>
  <r>
    <x v="18"/>
    <x v="3"/>
    <s v="D:\images\2021-CHG-CBA-Saccharin 1\plaque 2/@18 Saccharin 0.1 + Testo/C6_03.tif "/>
    <s v=" 21383.9412 "/>
    <s v=" 68.1556 "/>
    <x v="0"/>
    <n v="1457436"/>
    <m/>
    <m/>
  </r>
  <r>
    <x v="18"/>
    <x v="4"/>
    <s v="D:\images\2021-CHG-CBA-Saccharin 1\plaque 2/@18 Saccharin 0.1 + Testo/D6_01.tif "/>
    <s v=" 40483.7381 "/>
    <s v=" 75.8732 "/>
    <x v="0"/>
    <n v="3071630"/>
    <m/>
    <m/>
  </r>
  <r>
    <x v="18"/>
    <x v="4"/>
    <s v="D:\images\2021-CHG-CBA-Saccharin 1\plaque 2/@18 Saccharin 0.1 + Testo/D6_02.tif "/>
    <s v=" 35523.8819 "/>
    <s v=" 73.1604 "/>
    <x v="0"/>
    <n v="2598943"/>
    <m/>
    <m/>
  </r>
  <r>
    <x v="18"/>
    <x v="4"/>
    <s v="D:\images\2021-CHG-CBA-Saccharin 1\plaque 2/@18 Saccharin 0.1 + Testo/D6_03.tif "/>
    <s v=" 34762.5005 "/>
    <s v=" 74.0131 "/>
    <x v="0"/>
    <n v="2572882"/>
    <m/>
    <m/>
  </r>
  <r>
    <x v="18"/>
    <x v="5"/>
    <s v="D:\images\2021-CHG-CBA-Saccharin 1\plaque 2/@18 Saccharin 0.1 + Testo/E6_01.tif "/>
    <s v=" 37808.0262 "/>
    <s v=" 70.3049 "/>
    <x v="0"/>
    <n v="2658091"/>
    <m/>
    <m/>
  </r>
  <r>
    <x v="18"/>
    <x v="5"/>
    <s v="D:\images\2021-CHG-CBA-Saccharin 1\plaque 2/@18 Saccharin 0.1 + Testo/E6_02.tif "/>
    <s v=" 32456.6025 "/>
    <s v=" 69.004 "/>
    <x v="0"/>
    <n v="2239636"/>
    <m/>
    <m/>
  </r>
  <r>
    <x v="18"/>
    <x v="5"/>
    <s v="D:\images\2021-CHG-CBA-Saccharin 1\plaque 2/@18 Saccharin 0.1 + Testo/E6_03.tif "/>
    <s v=" 26670.1036 "/>
    <s v=" 68.5498 "/>
    <x v="0"/>
    <n v="1828229"/>
    <m/>
    <m/>
  </r>
  <r>
    <x v="18"/>
    <x v="6"/>
    <s v="D:\images\2021-CHG-CBA-Saccharin 1\plaque 2/@18 Saccharin 0.1 + Testo/F6_01.tif "/>
    <s v=" 13726.6194 "/>
    <s v=" 66.6513 "/>
    <x v="0"/>
    <n v="914898"/>
    <m/>
    <m/>
  </r>
  <r>
    <x v="18"/>
    <x v="6"/>
    <s v="D:\images\2021-CHG-CBA-Saccharin 1\plaque 2/@18 Saccharin 0.1 + Testo/F6_02.tif "/>
    <s v=" 20600.806 "/>
    <s v=" 66.4076 "/>
    <x v="0"/>
    <n v="1368050"/>
    <m/>
    <m/>
  </r>
  <r>
    <x v="18"/>
    <x v="6"/>
    <s v="D:\images\2021-CHG-CBA-Saccharin 1\plaque 2/@18 Saccharin 0.1 + Testo/F6_03.tif "/>
    <s v=" 23189.5028 "/>
    <s v=" 67.1229 "/>
    <x v="0"/>
    <n v="1556546"/>
    <m/>
    <m/>
  </r>
  <r>
    <x v="18"/>
    <x v="7"/>
    <s v="D:\images\2021-CHG-CBA-Saccharin 1\plaque 2/@18 Saccharin 0.1 + Testo/G6_01.tif "/>
    <s v=" 19534.872 "/>
    <s v=" 66.0535 "/>
    <x v="0"/>
    <n v="1290346"/>
    <m/>
    <m/>
  </r>
  <r>
    <x v="18"/>
    <x v="7"/>
    <s v="D:\images\2021-CHG-CBA-Saccharin 1\plaque 2/@18 Saccharin 0.1 + Testo/G6_02.tif "/>
    <s v=" 15597.4423 "/>
    <s v=" 65.5049 "/>
    <x v="0"/>
    <n v="1021709"/>
    <m/>
    <m/>
  </r>
  <r>
    <x v="18"/>
    <x v="7"/>
    <s v="D:\images\2021-CHG-CBA-Saccharin 1\plaque 2/@18 Saccharin 0.1 + Testo/G6_03.tif "/>
    <s v=" 17294.2352 "/>
    <s v=" 66.5358 "/>
    <x v="0"/>
    <n v="1150687"/>
    <m/>
    <m/>
  </r>
  <r>
    <x v="18"/>
    <x v="8"/>
    <s v="D:\images\2021-CHG-CBA-Saccharin 1\plaque 2/@18 Saccharin 0.1 + Testo/H6_01- exclu.tif"/>
    <m/>
    <m/>
    <x v="1"/>
    <m/>
    <m/>
    <m/>
  </r>
  <r>
    <x v="18"/>
    <x v="8"/>
    <s v="D:\images\2021-CHG-CBA-Saccharin 1\plaque 2/@18 Saccharin 0.1 + Testo/H6_02.tif "/>
    <s v=" 38003.81 "/>
    <s v=" 72.407 "/>
    <x v="0"/>
    <n v="2751741"/>
    <m/>
    <m/>
  </r>
  <r>
    <x v="18"/>
    <x v="8"/>
    <s v="D:\images\2021-CHG-CBA-Saccharin 1\plaque 2/@18 Saccharin 0.1 + Testo/H6_03.tif "/>
    <s v=" 39156.759 "/>
    <s v=" 73.6411 "/>
    <x v="0"/>
    <n v="2883547"/>
    <m/>
    <m/>
  </r>
  <r>
    <x v="0"/>
    <x v="0"/>
    <s v=" "/>
    <m/>
    <m/>
    <x v="1"/>
    <m/>
    <m/>
    <m/>
  </r>
  <r>
    <x v="0"/>
    <x v="0"/>
    <s v="group "/>
    <s v=" "/>
    <s v=" mean of mean fluo "/>
    <x v="2"/>
    <s v=" mean of total fluo "/>
    <s v=" SD total fluo "/>
    <s v=" n fluorescent "/>
  </r>
  <r>
    <x v="18"/>
    <x v="9"/>
    <s v="D:\images\2021-CHG-CBA-Saccharin 1\plaque 2/@18 Saccharin 0.1 + Testo/ "/>
    <s v=" "/>
    <s v=" 70.1689 "/>
    <x v="20"/>
    <s v=" 2111894.5 "/>
    <s v=" 998219.949 "/>
    <n v="24"/>
  </r>
  <r>
    <x v="0"/>
    <x v="0"/>
    <s v=" "/>
    <m/>
    <m/>
    <x v="1"/>
    <m/>
    <m/>
    <m/>
  </r>
  <r>
    <x v="0"/>
    <x v="0"/>
    <s v=" "/>
    <m/>
    <m/>
    <x v="1"/>
    <m/>
    <m/>
    <m/>
  </r>
  <r>
    <x v="0"/>
    <x v="0"/>
    <s v=" "/>
    <m/>
    <m/>
    <x v="1"/>
    <m/>
    <m/>
    <m/>
  </r>
  <r>
    <x v="0"/>
    <x v="0"/>
    <s v=" "/>
    <m/>
    <m/>
    <x v="1"/>
    <m/>
    <m/>
    <m/>
  </r>
  <r>
    <x v="0"/>
    <x v="0"/>
    <s v="file name "/>
    <s v=" total area "/>
    <s v=" mean intensity "/>
    <x v="0"/>
    <s v=" total fluorescence"/>
    <m/>
    <m/>
  </r>
  <r>
    <x v="19"/>
    <x v="1"/>
    <s v="F:\Données chgh\2020-CHG-CZA-Saccharin-2\plaque 2/@19 Testo +  Saccharin 1/A7_01.tif "/>
    <s v=" 28637.9805 "/>
    <s v=" 71.469 "/>
    <x v="0"/>
    <n v="2046729"/>
    <m/>
    <m/>
  </r>
  <r>
    <x v="19"/>
    <x v="1"/>
    <s v="F:\Données chgh\2020-CHG-CZA-Saccharin-2\plaque 2/@19 Testo +  Saccharin 1/A7_02.tif "/>
    <s v=" 19228.9763 "/>
    <s v=" 68.3082 "/>
    <x v="0"/>
    <n v="1313497"/>
    <m/>
    <m/>
  </r>
  <r>
    <x v="19"/>
    <x v="1"/>
    <s v="F:\Données chgh\2020-CHG-CZA-Saccharin-2\plaque 2/@19 Testo +  Saccharin 1/A7_03.tif "/>
    <s v=" 17693.2538 "/>
    <s v=" 68.4254 "/>
    <x v="0"/>
    <n v="1210668"/>
    <m/>
    <m/>
  </r>
  <r>
    <x v="19"/>
    <x v="2"/>
    <s v="F:\Données chgh\2020-CHG-CZA-Saccharin-2\plaque 2/@19 Testo +  Saccharin 1/B7_01.tif "/>
    <s v=" 7959.8012 "/>
    <s v=" 66.9946 "/>
    <x v="0"/>
    <n v="533263"/>
    <m/>
    <m/>
  </r>
  <r>
    <x v="19"/>
    <x v="2"/>
    <s v="F:\Données chgh\2020-CHG-CZA-Saccharin-2\plaque 2/@19 Testo +  Saccharin 1/B7_02.tif "/>
    <s v=" 5969.8509 "/>
    <s v=" 64.3152 "/>
    <x v="0"/>
    <n v="383952"/>
    <m/>
    <m/>
  </r>
  <r>
    <x v="19"/>
    <x v="2"/>
    <s v="F:\Données chgh\2020-CHG-CZA-Saccharin-2\plaque 2/@19 Testo +  Saccharin 1/B7_03.tif "/>
    <s v=" 4412.4985 "/>
    <s v=" 65.1471 "/>
    <x v="0"/>
    <n v="287461"/>
    <m/>
    <m/>
  </r>
  <r>
    <x v="19"/>
    <x v="3"/>
    <s v="F:\Données chgh\2020-CHG-CZA-Saccharin-2\plaque 2/@19 Testo +  Saccharin 1/C7_01.tif "/>
    <s v=" 20613.2896 "/>
    <s v=" 75.9433 "/>
    <x v="0"/>
    <n v="1565442"/>
    <m/>
    <m/>
  </r>
  <r>
    <x v="19"/>
    <x v="3"/>
    <s v="F:\Données chgh\2020-CHG-CZA-Saccharin-2\plaque 2/@19 Testo +  Saccharin 1/C7_02.tif "/>
    <s v=" 21240.5565 "/>
    <s v=" 77.6599 "/>
    <x v="0"/>
    <n v="1649539"/>
    <m/>
    <m/>
  </r>
  <r>
    <x v="19"/>
    <x v="3"/>
    <s v="F:\Données chgh\2020-CHG-CZA-Saccharin-2\plaque 2/@19 Testo +  Saccharin 1/C7_03- exclu.tif"/>
    <m/>
    <m/>
    <x v="1"/>
    <m/>
    <m/>
    <m/>
  </r>
  <r>
    <x v="19"/>
    <x v="4"/>
    <s v="F:\Données chgh\2020-CHG-CZA-Saccharin-2\plaque 2/@19 Testo +  Saccharin 1/D7_01.tif "/>
    <s v=" 39388.0381 "/>
    <s v=" 75.5706 "/>
    <x v="0"/>
    <n v="2976576"/>
    <m/>
    <m/>
  </r>
  <r>
    <x v="19"/>
    <x v="4"/>
    <s v="F:\Données chgh\2020-CHG-CZA-Saccharin-2\plaque 2/@19 Testo +  Saccharin 1/D7_02.tif "/>
    <s v=" 40166.7143 "/>
    <s v=" 74.147 "/>
    <x v="0"/>
    <n v="2978242"/>
    <m/>
    <m/>
  </r>
  <r>
    <x v="19"/>
    <x v="4"/>
    <s v="F:\Données chgh\2020-CHG-CZA-Saccharin-2\plaque 2/@19 Testo +  Saccharin 1/D7_03.tif "/>
    <s v=" 29979.034 "/>
    <s v=" 72.1941 "/>
    <x v="0"/>
    <n v="2164309"/>
    <m/>
    <m/>
  </r>
  <r>
    <x v="19"/>
    <x v="5"/>
    <s v="F:\Données chgh\2020-CHG-CZA-Saccharin-2\plaque 2/@19 Testo +  Saccharin 1/E7_01.tif "/>
    <s v=" 41572.6575 "/>
    <s v=" 72.4797 "/>
    <x v="0"/>
    <n v="3013174"/>
    <m/>
    <m/>
  </r>
  <r>
    <x v="19"/>
    <x v="5"/>
    <s v="F:\Données chgh\2020-CHG-CZA-Saccharin-2\plaque 2/@19 Testo +  Saccharin 1/E7_02.tif "/>
    <s v=" 39582.7072 "/>
    <s v=" 70.6475 "/>
    <x v="0"/>
    <n v="2796421"/>
    <m/>
    <m/>
  </r>
  <r>
    <x v="19"/>
    <x v="5"/>
    <s v="F:\Données chgh\2020-CHG-CZA-Saccharin-2\plaque 2/@19 Testo +  Saccharin 1/E7_03.tif "/>
    <s v=" 32379.9523 "/>
    <s v=" 70.8864 "/>
    <x v="0"/>
    <n v="2295300"/>
    <m/>
    <m/>
  </r>
  <r>
    <x v="19"/>
    <x v="6"/>
    <s v="F:\Données chgh\2020-CHG-CZA-Saccharin-2\plaque 2/@19 Testo +  Saccharin 1/F7_01- exclu.tif"/>
    <m/>
    <m/>
    <x v="1"/>
    <m/>
    <m/>
    <m/>
  </r>
  <r>
    <x v="19"/>
    <x v="6"/>
    <s v="F:\Données chgh\2020-CHG-CZA-Saccharin-2\plaque 2/@19 Testo +  Saccharin 1/F7_02.tif "/>
    <s v=" 1860.1709 "/>
    <s v=" 62.9186 "/>
    <x v="0"/>
    <n v="117039"/>
    <m/>
    <m/>
  </r>
  <r>
    <x v="19"/>
    <x v="6"/>
    <s v="F:\Données chgh\2020-CHG-CZA-Saccharin-2\plaque 2/@19 Testo +  Saccharin 1/F7_03.tif "/>
    <s v=" 519.1175 "/>
    <s v=" 62.4167 "/>
    <x v="0"/>
    <n v="32402"/>
    <m/>
    <m/>
  </r>
  <r>
    <x v="19"/>
    <x v="7"/>
    <s v="F:\Données chgh\2020-CHG-CZA-Saccharin-2\plaque 2/@19 Testo +  Saccharin 1/G7_01.tif "/>
    <s v=" 8824.997 "/>
    <s v=" 65.8064 "/>
    <x v="0"/>
    <n v="580741"/>
    <m/>
    <m/>
  </r>
  <r>
    <x v="19"/>
    <x v="7"/>
    <s v="F:\Données chgh\2020-CHG-CZA-Saccharin-2\plaque 2/@19 Testo +  Saccharin 1/G7_02.tif "/>
    <s v=" 7072.9755 "/>
    <s v=" 64.8777 "/>
    <x v="0"/>
    <n v="458878"/>
    <m/>
    <m/>
  </r>
  <r>
    <x v="19"/>
    <x v="7"/>
    <s v="F:\Données chgh\2020-CHG-CZA-Saccharin-2\plaque 2/@19 Testo +  Saccharin 1/G7_03.tif "/>
    <s v=" 8868.2568 "/>
    <s v=" 66.2976 "/>
    <x v="0"/>
    <n v="587944"/>
    <m/>
    <m/>
  </r>
  <r>
    <x v="19"/>
    <x v="8"/>
    <s v="F:\Données chgh\2020-CHG-CZA-Saccharin-2\plaque 2/@19 Testo +  Saccharin 1/H7_01.tif "/>
    <s v=" 32552.9914 "/>
    <s v=" 68.9223 "/>
    <x v="0"/>
    <n v="2243626"/>
    <m/>
    <m/>
  </r>
  <r>
    <x v="19"/>
    <x v="8"/>
    <s v="F:\Données chgh\2020-CHG-CZA-Saccharin-2\plaque 2/@19 Testo +  Saccharin 1/H7_02.tif "/>
    <s v=" 28032.3434 "/>
    <s v=" 67.8981 "/>
    <x v="0"/>
    <n v="1903344"/>
    <m/>
    <m/>
  </r>
  <r>
    <x v="19"/>
    <x v="8"/>
    <s v="F:\Données chgh\2020-CHG-CZA-Saccharin-2\plaque 2/@19 Testo +  Saccharin 1/H7_03.tif "/>
    <s v=" 39690.8566 "/>
    <s v=" 70.5499 "/>
    <x v="0"/>
    <n v="2800185"/>
    <m/>
    <m/>
  </r>
  <r>
    <x v="0"/>
    <x v="0"/>
    <s v=" "/>
    <m/>
    <m/>
    <x v="1"/>
    <m/>
    <m/>
    <m/>
  </r>
  <r>
    <x v="0"/>
    <x v="0"/>
    <s v="group "/>
    <s v=" "/>
    <s v=" mean of mean fluo "/>
    <x v="2"/>
    <s v=" mean of total fluo "/>
    <s v=" SD total fluo "/>
    <s v=" n fluorescent "/>
  </r>
  <r>
    <x v="19"/>
    <x v="9"/>
    <s v="F:\Données chgh\2020-CHG-CZA-Saccharin-2\plaque 2/@19 Testo +  Saccharin 1/ "/>
    <s v=" "/>
    <s v=" 68.7969 "/>
    <x v="21"/>
    <s v=" 1418224.42 "/>
    <s v=" 1079198.75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20"/>
    <x v="1"/>
    <s v="F:\Données chgh\2020-CHG-CZA-Saccharin-2\plaque 2/@20 Testo +  Saccharin 10/A8_01.tif "/>
    <s v=" 48926.8217 "/>
    <s v=" 73.1065 "/>
    <x v="0"/>
    <n v="3576871"/>
    <m/>
    <m/>
  </r>
  <r>
    <x v="20"/>
    <x v="1"/>
    <s v="F:\Données chgh\2020-CHG-CZA-Saccharin-2\plaque 2/@20 Testo +  Saccharin 10/A8_02.tif "/>
    <s v=" 55567.1993 "/>
    <s v=" 74.0319 "/>
    <x v="0"/>
    <n v="4113746"/>
    <m/>
    <m/>
  </r>
  <r>
    <x v="20"/>
    <x v="1"/>
    <s v="F:\Données chgh\2020-CHG-CZA-Saccharin-2\plaque 2/@20 Testo +  Saccharin 10/A8_03.tif "/>
    <s v=" 49208.0103 "/>
    <s v=" 72.2382 "/>
    <x v="0"/>
    <n v="3554700"/>
    <m/>
    <m/>
  </r>
  <r>
    <x v="20"/>
    <x v="2"/>
    <s v="F:\Données chgh\2020-CHG-CZA-Saccharin-2\plaque 2/@20 Testo +  Saccharin 10/B8_01.tif "/>
    <s v=" 53750.2882 "/>
    <s v=" 76.2435 "/>
    <x v="0"/>
    <n v="4098108"/>
    <m/>
    <m/>
  </r>
  <r>
    <x v="20"/>
    <x v="2"/>
    <s v="F:\Données chgh\2020-CHG-CZA-Saccharin-2\plaque 2/@20 Testo +  Saccharin 10/B8_02.tif "/>
    <s v=" 43800.5366 "/>
    <s v=" 76.3951 "/>
    <x v="0"/>
    <n v="3346145"/>
    <m/>
    <m/>
  </r>
  <r>
    <x v="20"/>
    <x v="2"/>
    <s v="F:\Données chgh\2020-CHG-CZA-Saccharin-2\plaque 2/@20 Testo +  Saccharin 10/B8_03.tif "/>
    <s v=" 48148.1454 "/>
    <s v=" 72.2498 "/>
    <x v="0"/>
    <n v="3478693"/>
    <m/>
    <m/>
  </r>
  <r>
    <x v="20"/>
    <x v="3"/>
    <s v="F:\Données chgh\2020-CHG-CZA-Saccharin-2\plaque 2/@20 Testo +  Saccharin 10/C8_01.tif "/>
    <s v=" 5558.8829 "/>
    <s v=" 65.0895 "/>
    <x v="0"/>
    <n v="361825"/>
    <m/>
    <m/>
  </r>
  <r>
    <x v="20"/>
    <x v="3"/>
    <s v="F:\Données chgh\2020-CHG-CZA-Saccharin-2\plaque 2/@20 Testo +  Saccharin 10/C8_02.tif "/>
    <s v=" 4563.9078 "/>
    <s v=" 65.0521 "/>
    <x v="0"/>
    <n v="296892"/>
    <m/>
    <m/>
  </r>
  <r>
    <x v="20"/>
    <x v="3"/>
    <s v="F:\Données chgh\2020-CHG-CZA-Saccharin-2\plaque 2/@20 Testo +  Saccharin 10/C8_03.tif "/>
    <s v=" 2703.7368 "/>
    <s v=" 63.984 "/>
    <x v="0"/>
    <n v="172996"/>
    <m/>
    <m/>
  </r>
  <r>
    <x v="20"/>
    <x v="4"/>
    <s v="F:\Données chgh\2020-CHG-CZA-Saccharin-2\plaque 2/@20 Testo +  Saccharin 10/D8_01.tif "/>
    <s v=" 15465.3747 "/>
    <s v=" 70.5189 "/>
    <x v="0"/>
    <n v="1090601"/>
    <m/>
    <m/>
  </r>
  <r>
    <x v="20"/>
    <x v="4"/>
    <s v="F:\Données chgh\2020-CHG-CZA-Saccharin-2\plaque 2/@20 Testo +  Saccharin 10/D8_02.tif "/>
    <s v=" 12977.9368 "/>
    <s v=" 67.5417 "/>
    <x v="0"/>
    <n v="876551"/>
    <m/>
    <m/>
  </r>
  <r>
    <x v="20"/>
    <x v="4"/>
    <s v="F:\Données chgh\2020-CHG-CZA-Saccharin-2\plaque 2/@20 Testo +  Saccharin 10/D8_03.tif "/>
    <s v=" 10598.6484 "/>
    <s v=" 65.6449 "/>
    <x v="0"/>
    <n v="695747"/>
    <m/>
    <m/>
  </r>
  <r>
    <x v="20"/>
    <x v="5"/>
    <s v="F:\Données chgh\2020-CHG-CZA-Saccharin-2\plaque 2/@20 Testo +  Saccharin 10/E8_01- exclu.tif"/>
    <m/>
    <m/>
    <x v="1"/>
    <m/>
    <m/>
    <m/>
  </r>
  <r>
    <x v="20"/>
    <x v="5"/>
    <s v="F:\Données chgh\2020-CHG-CZA-Saccharin-2\plaque 2/@20 Testo +  Saccharin 10/E8_02.tif "/>
    <s v=" 36597.7817 "/>
    <s v=" 73.2719 "/>
    <x v="0"/>
    <n v="2681588"/>
    <m/>
    <m/>
  </r>
  <r>
    <x v="20"/>
    <x v="5"/>
    <s v="F:\Données chgh\2020-CHG-CZA-Saccharin-2\plaque 2/@20 Testo +  Saccharin 10/E8_03.tif "/>
    <s v=" 32769.2904 "/>
    <s v=" 71.3347 "/>
    <x v="0"/>
    <n v="2337586"/>
    <m/>
    <m/>
  </r>
  <r>
    <x v="20"/>
    <x v="6"/>
    <s v="F:\Données chgh\2020-CHG-CZA-Saccharin-2\plaque 2/@20 Testo +  Saccharin 10/F8_01.tif "/>
    <s v=" 21024.2576 "/>
    <s v=" 73.3395 "/>
    <x v="0"/>
    <n v="1541909"/>
    <m/>
    <m/>
  </r>
  <r>
    <x v="20"/>
    <x v="6"/>
    <s v="F:\Données chgh\2020-CHG-CZA-Saccharin-2\plaque 2/@20 Testo +  Saccharin 10/F8_02.tif "/>
    <s v=" 20916.1081 "/>
    <s v=" 71.1758 "/>
    <x v="0"/>
    <n v="1488721"/>
    <m/>
    <m/>
  </r>
  <r>
    <x v="20"/>
    <x v="6"/>
    <s v="F:\Données chgh\2020-CHG-CZA-Saccharin-2\plaque 2/@20 Testo +  Saccharin 10/F8_03.tif "/>
    <s v=" 20894.4782 "/>
    <s v=" 74.8458 "/>
    <x v="0"/>
    <n v="1563863"/>
    <m/>
    <m/>
  </r>
  <r>
    <x v="20"/>
    <x v="7"/>
    <s v="F:\Données chgh\2020-CHG-CZA-Saccharin-2\plaque 2/@20 Testo +  Saccharin 10/G8_01.tif "/>
    <s v=" 42697.412 "/>
    <s v=" 78.3455 "/>
    <x v="0"/>
    <n v="3345150"/>
    <m/>
    <m/>
  </r>
  <r>
    <x v="20"/>
    <x v="7"/>
    <s v="F:\Données chgh\2020-CHG-CZA-Saccharin-2\plaque 2/@20 Testo +  Saccharin 10/G8_02.tif "/>
    <s v=" 44103.3551 "/>
    <s v=" 79.0932 "/>
    <x v="0"/>
    <n v="3488275"/>
    <m/>
    <m/>
  </r>
  <r>
    <x v="20"/>
    <x v="7"/>
    <s v="F:\Données chgh\2020-CHG-CZA-Saccharin-2\plaque 2/@20 Testo +  Saccharin 10/G8_03.tif "/>
    <s v=" 38501.2124 "/>
    <s v=" 78.9309 "/>
    <x v="0"/>
    <n v="3038935"/>
    <m/>
    <m/>
  </r>
  <r>
    <x v="20"/>
    <x v="8"/>
    <s v="F:\Données chgh\2020-CHG-CZA-Saccharin-2\plaque 2/@20 Testo +  Saccharin 10/H8_01.tif "/>
    <s v=" 40837.2411 "/>
    <s v=" 72.6377 "/>
    <x v="0"/>
    <n v="2966324"/>
    <m/>
    <m/>
  </r>
  <r>
    <x v="20"/>
    <x v="8"/>
    <s v="F:\Données chgh\2020-CHG-CZA-Saccharin-2\plaque 2/@20 Testo +  Saccharin 10/H8_02.tif "/>
    <s v=" 39885.5257 "/>
    <s v=" 72.7749 "/>
    <x v="0"/>
    <n v="2902667"/>
    <m/>
    <m/>
  </r>
  <r>
    <x v="20"/>
    <x v="8"/>
    <s v="F:\Données chgh\2020-CHG-CZA-Saccharin-2\plaque 2/@20 Testo +  Saccharin 10/H8_03.tif "/>
    <s v=" 36489.6322 "/>
    <s v=" 71.4582 "/>
    <x v="0"/>
    <n v="2607484"/>
    <m/>
    <m/>
  </r>
  <r>
    <x v="0"/>
    <x v="0"/>
    <s v=" "/>
    <m/>
    <m/>
    <x v="1"/>
    <m/>
    <m/>
    <m/>
  </r>
  <r>
    <x v="0"/>
    <x v="0"/>
    <s v="group "/>
    <s v=" "/>
    <s v=" mean of mean fluo "/>
    <x v="2"/>
    <s v=" mean of total fluo "/>
    <s v=" SD total fluo "/>
    <s v=" n fluorescent "/>
  </r>
  <r>
    <x v="20"/>
    <x v="9"/>
    <s v="F:\Données chgh\2020-CHG-CZA-Saccharin-2\plaque 2/@20 Testo +  Saccharin 10/ "/>
    <s v=" "/>
    <s v=" 72.13 "/>
    <x v="22"/>
    <s v=" 2293094.25 "/>
    <s v=" 1272343.01 "/>
    <n v="24"/>
  </r>
  <r>
    <x v="0"/>
    <x v="0"/>
    <s v=" "/>
    <m/>
    <m/>
    <x v="1"/>
    <m/>
    <m/>
    <m/>
  </r>
  <r>
    <x v="0"/>
    <x v="0"/>
    <s v=" "/>
    <m/>
    <m/>
    <x v="1"/>
    <m/>
    <m/>
    <m/>
  </r>
  <r>
    <x v="0"/>
    <x v="0"/>
    <s v=" "/>
    <m/>
    <m/>
    <x v="1"/>
    <m/>
    <m/>
    <m/>
  </r>
  <r>
    <x v="0"/>
    <x v="0"/>
    <s v=" "/>
    <m/>
    <m/>
    <x v="1"/>
    <m/>
    <m/>
    <m/>
  </r>
  <r>
    <x v="0"/>
    <x v="0"/>
    <s v=" "/>
    <m/>
    <m/>
    <x v="1"/>
    <m/>
    <m/>
    <m/>
  </r>
  <r>
    <x v="0"/>
    <x v="0"/>
    <s v="file name "/>
    <s v=" total area "/>
    <s v=" mean intensity "/>
    <x v="0"/>
    <s v=" total fluorescence"/>
    <m/>
    <m/>
  </r>
  <r>
    <x v="21"/>
    <x v="1"/>
    <s v="F:\Données chgh\2020-CHG-CZA-Saccharin-2\plaque 2/@21 Testo +   Saccharin 100/A9_01.tif "/>
    <s v=" 12653.4884 "/>
    <s v=" 69.8821 "/>
    <x v="0"/>
    <n v="884252"/>
    <m/>
    <m/>
  </r>
  <r>
    <x v="21"/>
    <x v="1"/>
    <s v="F:\Données chgh\2020-CHG-CZA-Saccharin-2\plaque 2/@21 Testo +   Saccharin 100/A9_02.tif "/>
    <s v=" 12610.2286 "/>
    <s v=" 69.3739 "/>
    <x v="0"/>
    <n v="874821"/>
    <m/>
    <m/>
  </r>
  <r>
    <x v="21"/>
    <x v="1"/>
    <s v="F:\Données chgh\2020-CHG-CZA-Saccharin-2\plaque 2/@21 Testo +   Saccharin 100/A9_03.tif "/>
    <s v=" 7570.4631 "/>
    <s v=" 66.2543 "/>
    <x v="0"/>
    <n v="501576"/>
    <m/>
    <m/>
  </r>
  <r>
    <x v="21"/>
    <x v="2"/>
    <s v="F:\Données chgh\2020-CHG-CZA-Saccharin-2\plaque 2/@21 Testo +   Saccharin 100/B9_01.tif "/>
    <s v=" 43281.4192 "/>
    <s v=" 72.8046 "/>
    <x v="0"/>
    <n v="3151086"/>
    <m/>
    <m/>
  </r>
  <r>
    <x v="21"/>
    <x v="2"/>
    <s v="F:\Données chgh\2020-CHG-CZA-Saccharin-2\plaque 2/@21 Testo +   Saccharin 100/B9_02.tif "/>
    <s v=" 42199.9244 "/>
    <s v=" 72.3685 "/>
    <x v="0"/>
    <n v="3053946"/>
    <m/>
    <m/>
  </r>
  <r>
    <x v="21"/>
    <x v="2"/>
    <s v="F:\Données chgh\2020-CHG-CZA-Saccharin-2\plaque 2/@21 Testo +   Saccharin 100/B9_03.tif "/>
    <s v=" 33699.3758 "/>
    <s v=" 74.7317 "/>
    <x v="0"/>
    <n v="2518412"/>
    <m/>
    <m/>
  </r>
  <r>
    <x v="21"/>
    <x v="3"/>
    <s v="F:\Données chgh\2020-CHG-CZA-Saccharin-2\plaque 2/@21 Testo +   Saccharin 100/C9_01.tif "/>
    <s v=" 10750.0576 "/>
    <s v=" 68.1127 "/>
    <x v="0"/>
    <n v="732215"/>
    <m/>
    <m/>
  </r>
  <r>
    <x v="21"/>
    <x v="3"/>
    <s v="F:\Données chgh\2020-CHG-CZA-Saccharin-2\plaque 2/@21 Testo +   Saccharin 100/C9_02.tif "/>
    <s v=" 12610.2286 "/>
    <s v=" 67.0652 "/>
    <x v="0"/>
    <n v="845707"/>
    <m/>
    <m/>
  </r>
  <r>
    <x v="21"/>
    <x v="3"/>
    <s v="F:\Données chgh\2020-CHG-CZA-Saccharin-2\plaque 2/@21 Testo +   Saccharin 100/C9_03.tif "/>
    <s v=" 692.1566 "/>
    <s v=" 64.3438 "/>
    <x v="0"/>
    <n v="44536"/>
    <m/>
    <m/>
  </r>
  <r>
    <x v="21"/>
    <x v="4"/>
    <s v="F:\Données chgh\2020-CHG-CZA-Saccharin-2\plaque 2/@21 Testo +   Saccharin 100/D9_01.tif "/>
    <s v=" 12631.8585 "/>
    <s v=" 66.0034 "/>
    <x v="0"/>
    <n v="833746"/>
    <m/>
    <m/>
  </r>
  <r>
    <x v="21"/>
    <x v="4"/>
    <s v="F:\Données chgh\2020-CHG-CZA-Saccharin-2\plaque 2/@21 Testo +   Saccharin 100/D9_02.tif "/>
    <s v=" 7548.8332 "/>
    <s v=" 66.5272 "/>
    <x v="0"/>
    <n v="502203"/>
    <m/>
    <m/>
  </r>
  <r>
    <x v="21"/>
    <x v="4"/>
    <s v="F:\Données chgh\2020-CHG-CZA-Saccharin-2\plaque 2/@21 Testo +   Saccharin 100/D9_03.tif "/>
    <s v=" 17649.994 "/>
    <s v=" 67.8358 "/>
    <x v="0"/>
    <n v="1197301"/>
    <m/>
    <m/>
  </r>
  <r>
    <x v="21"/>
    <x v="5"/>
    <s v="F:\Données chgh\2020-CHG-CZA-Saccharin-2\plaque 2/@21 Testo +   Saccharin 100/E9_01.tif "/>
    <s v=" 5407.4737 "/>
    <s v=" 63.22 "/>
    <x v="0"/>
    <n v="341860"/>
    <m/>
    <m/>
  </r>
  <r>
    <x v="21"/>
    <x v="5"/>
    <s v="F:\Données chgh\2020-CHG-CZA-Saccharin-2\plaque 2/@21 Testo +   Saccharin 100/E9_02.tif "/>
    <s v=" 1838.541 "/>
    <s v=" 62.9176 "/>
    <x v="0"/>
    <n v="115677"/>
    <m/>
    <m/>
  </r>
  <r>
    <x v="21"/>
    <x v="5"/>
    <s v="F:\Données chgh\2020-CHG-CZA-Saccharin-2\plaque 2/@21 Testo +   Saccharin 100/E9_03.tif "/>
    <s v=" 648.8968 "/>
    <s v=" 61.8667 "/>
    <x v="0"/>
    <n v="40145"/>
    <m/>
    <m/>
  </r>
  <r>
    <x v="21"/>
    <x v="6"/>
    <s v="F:\Données chgh\2020-CHG-CZA-Saccharin-2\plaque 2/@21 Testo +   Saccharin 100/F9_01.tif "/>
    <s v=" 42243.1842 "/>
    <s v=" 73.3425 "/>
    <x v="0"/>
    <n v="3098223"/>
    <m/>
    <m/>
  </r>
  <r>
    <x v="21"/>
    <x v="6"/>
    <s v="F:\Données chgh\2020-CHG-CZA-Saccharin-2\plaque 2/@21 Testo +   Saccharin 100/F9_02.tif "/>
    <s v=" 41961.9956 "/>
    <s v=" 73.901 "/>
    <x v="0"/>
    <n v="3101035"/>
    <m/>
    <m/>
  </r>
  <r>
    <x v="21"/>
    <x v="6"/>
    <s v="F:\Données chgh\2020-CHG-CZA-Saccharin-2\plaque 2/@21 Testo +   Saccharin 100/F9_03.tif "/>
    <s v=" 37333.1981 "/>
    <s v=" 70.9623 "/>
    <x v="0"/>
    <n v="2649251"/>
    <m/>
    <m/>
  </r>
  <r>
    <x v="21"/>
    <x v="7"/>
    <s v="F:\Données chgh\2020-CHG-CZA-Saccharin-2\plaque 2/@21 Testo +   Saccharin 100/G9_01.tif "/>
    <s v=" 60866.5235 "/>
    <s v=" 73.2424 "/>
    <x v="0"/>
    <n v="4458008"/>
    <m/>
    <m/>
  </r>
  <r>
    <x v="21"/>
    <x v="7"/>
    <s v="F:\Données chgh\2020-CHG-CZA-Saccharin-2\plaque 2/@21 Testo +   Saccharin 100/G9_02.tif "/>
    <s v=" 58573.7547 "/>
    <s v=" 73.1839 "/>
    <x v="0"/>
    <n v="4286656"/>
    <m/>
    <m/>
  </r>
  <r>
    <x v="21"/>
    <x v="7"/>
    <s v="F:\Données chgh\2020-CHG-CZA-Saccharin-2\plaque 2/@21 Testo +   Saccharin 100/G9_03.tif "/>
    <s v=" 49467.569 "/>
    <s v=" 70.2886 "/>
    <x v="0"/>
    <n v="3477006"/>
    <m/>
    <m/>
  </r>
  <r>
    <x v="21"/>
    <x v="8"/>
    <s v="F:\Données chgh\2020-CHG-CZA-Saccharin-2\plaque 2/@21 Testo +   Saccharin 100/H9_01- exclu.tif"/>
    <m/>
    <m/>
    <x v="1"/>
    <m/>
    <m/>
    <m/>
  </r>
  <r>
    <x v="21"/>
    <x v="8"/>
    <s v="F:\Données chgh\2020-CHG-CZA-Saccharin-2\plaque 2/@21 Testo +   Saccharin 100/H9_02.tif "/>
    <s v=" 8176.1002 "/>
    <s v=" 66.328 "/>
    <x v="0"/>
    <n v="542305"/>
    <m/>
    <m/>
  </r>
  <r>
    <x v="21"/>
    <x v="8"/>
    <s v="F:\Données chgh\2020-CHG-CZA-Saccharin-2\plaque 2/@21 Testo +   Saccharin 100/H9_03.tif "/>
    <s v=" 5602.1427 "/>
    <s v=" 65.6525 "/>
    <x v="0"/>
    <n v="367795"/>
    <m/>
    <m/>
  </r>
  <r>
    <x v="0"/>
    <x v="0"/>
    <s v=" "/>
    <m/>
    <m/>
    <x v="1"/>
    <m/>
    <m/>
    <m/>
  </r>
  <r>
    <x v="0"/>
    <x v="0"/>
    <s v="group "/>
    <s v=" "/>
    <s v=" mean of mean fluo "/>
    <x v="2"/>
    <s v=" mean of total fluo "/>
    <s v=" SD total fluo "/>
    <s v=" n fluorescent "/>
  </r>
  <r>
    <x v="21"/>
    <x v="9"/>
    <s v="F:\Données chgh\2020-CHG-CZA-Saccharin-2\plaque 2/@21 Testo +   Saccharin 100/ "/>
    <s v=" "/>
    <s v=" 68.5743 "/>
    <x v="23"/>
    <s v=" 1580999.33 "/>
    <s v=" 1448872.56 "/>
    <n v="24"/>
  </r>
  <r>
    <x v="0"/>
    <x v="0"/>
    <s v=" "/>
    <m/>
    <m/>
    <x v="1"/>
    <m/>
    <m/>
    <m/>
  </r>
  <r>
    <x v="0"/>
    <x v="0"/>
    <s v=" "/>
    <m/>
    <m/>
    <x v="1"/>
    <m/>
    <m/>
    <m/>
  </r>
  <r>
    <x v="0"/>
    <x v="0"/>
    <s v=" "/>
    <m/>
    <m/>
    <x v="1"/>
    <m/>
    <m/>
    <m/>
  </r>
  <r>
    <x v="0"/>
    <x v="0"/>
    <s v=" "/>
    <m/>
    <m/>
    <x v="1"/>
    <m/>
    <m/>
    <m/>
  </r>
  <r>
    <x v="0"/>
    <x v="0"/>
    <s v=" "/>
    <m/>
    <m/>
    <x v="1"/>
    <m/>
    <m/>
    <m/>
  </r>
  <r>
    <x v="0"/>
    <x v="0"/>
    <s v=" "/>
    <m/>
    <m/>
    <x v="1"/>
    <m/>
    <m/>
    <m/>
  </r>
  <r>
    <x v="0"/>
    <x v="0"/>
    <m/>
    <s v=" n total analysed"/>
    <m/>
    <x v="1"/>
    <m/>
    <m/>
    <m/>
  </r>
  <r>
    <x v="0"/>
    <x v="0"/>
    <m/>
    <n v="504"/>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r>
    <x v="0"/>
    <x v="0"/>
    <m/>
    <m/>
    <m/>
    <x v="1"/>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Données chgh\2020-CHG-CZA-Saccharin-3\plaque 1/@01 TS/A1_01.tif "/>
    <s v=" 410.968 "/>
    <s v=" 65.3684 "/>
    <x v="0"/>
    <n v="26864"/>
    <m/>
    <m/>
  </r>
  <r>
    <x v="0"/>
    <x v="0"/>
    <s v="F:\Données chgh\2020-CHG-CZA-Saccharin-3\plaque 1/@01 TS/A1_02.tif "/>
    <s v=" 1016.605 "/>
    <s v=" 67.5532 "/>
    <x v="0"/>
    <n v="68675"/>
    <m/>
    <m/>
  </r>
  <r>
    <x v="0"/>
    <x v="0"/>
    <s v="F:\Données chgh\2020-CHG-CZA-Saccharin-3\plaque 1/@01 TS/A1_03.tif "/>
    <s v=" 2400.9183 "/>
    <s v=" 66.4054 "/>
    <x v="0"/>
    <n v="159434"/>
    <m/>
    <m/>
  </r>
  <r>
    <x v="0"/>
    <x v="1"/>
    <s v="F:\Données chgh\2020-CHG-CZA-Saccharin-3\plaque 1/@01 TS/B1_01.tif "/>
    <s v=" 800.3061 "/>
    <s v=" 64.4054 "/>
    <x v="0"/>
    <n v="51544"/>
    <m/>
    <m/>
  </r>
  <r>
    <x v="0"/>
    <x v="1"/>
    <s v="F:\Données chgh\2020-CHG-CZA-Saccharin-3\plaque 1/@01 TS/B1_02.tif "/>
    <s v=" 2876.776 "/>
    <s v=" 66.7669 "/>
    <x v="0"/>
    <n v="192073"/>
    <m/>
    <m/>
  </r>
  <r>
    <x v="0"/>
    <x v="1"/>
    <s v="F:\Données chgh\2020-CHG-CZA-Saccharin-3\plaque 1/@01 TS/B1_03.tif "/>
    <s v=" 2400.9183 "/>
    <s v=" 65.4775 "/>
    <x v="0"/>
    <n v="157206"/>
    <m/>
    <m/>
  </r>
  <r>
    <x v="0"/>
    <x v="2"/>
    <s v="F:\Données chgh\2020-CHG-CZA-Saccharin-3\plaque 1/@01 TS/C1_01.tif "/>
    <s v=" 4628.7975 "/>
    <s v=" 68.8084 "/>
    <x v="0"/>
    <n v="318500"/>
    <m/>
    <m/>
  </r>
  <r>
    <x v="0"/>
    <x v="2"/>
    <s v="F:\Données chgh\2020-CHG-CZA-Saccharin-3\plaque 1/@01 TS/C1_02.tif "/>
    <s v=" 5602.1427 "/>
    <s v=" 67.973 "/>
    <x v="0"/>
    <n v="380794"/>
    <m/>
    <m/>
  </r>
  <r>
    <x v="0"/>
    <x v="2"/>
    <s v="F:\Données chgh\2020-CHG-CZA-Saccharin-3\plaque 1/@01 TS/C1_03.tif "/>
    <s v=" 3439.1532 "/>
    <s v=" 66.1761 "/>
    <x v="0"/>
    <n v="227590"/>
    <m/>
    <m/>
  </r>
  <r>
    <x v="0"/>
    <x v="3"/>
    <s v="F:\Données chgh\2020-CHG-CZA-Saccharin-3\plaque 1/@01 TS/D1_01.tif "/>
    <s v=" 13561.9439 "/>
    <s v=" 71.7033 "/>
    <x v="0"/>
    <n v="972437"/>
    <m/>
    <m/>
  </r>
  <r>
    <x v="0"/>
    <x v="3"/>
    <s v="F:\Données chgh\2020-CHG-CZA-Saccharin-3\plaque 1/@01 TS/D1_02.tif "/>
    <s v=" 237.9288 "/>
    <s v=" 63.6364 "/>
    <x v="0"/>
    <n v="15141"/>
    <m/>
    <m/>
  </r>
  <r>
    <x v="0"/>
    <x v="3"/>
    <s v="F:\Données chgh\2020-CHG-CZA-Saccharin-3\plaque 1/@01 TS/D1_03.tif "/>
    <s v=" 346.0783 "/>
    <s v=" 62.75 "/>
    <x v="0"/>
    <n v="21716"/>
    <m/>
    <m/>
  </r>
  <r>
    <x v="0"/>
    <x v="4"/>
    <s v="F:\Données chgh\2020-CHG-CZA-Saccharin-3\plaque 1/@01 TS/E1_01.tif "/>
    <s v=" 994.9752 "/>
    <s v=" 62.9565 "/>
    <x v="0"/>
    <n v="62640"/>
    <m/>
    <m/>
  </r>
  <r>
    <x v="0"/>
    <x v="4"/>
    <s v="F:\Données chgh\2020-CHG-CZA-Saccharin-3\plaque 1/@01 TS/E1_02.tif "/>
    <s v=" 3374.2636 "/>
    <s v=" 67.8269 "/>
    <x v="0"/>
    <n v="228866"/>
    <m/>
    <m/>
  </r>
  <r>
    <x v="0"/>
    <x v="4"/>
    <s v="F:\Données chgh\2020-CHG-CZA-Saccharin-3\plaque 1/@01 TS/E1_03.tif "/>
    <s v=" 886.8257 "/>
    <s v=" 63.6829 "/>
    <x v="0"/>
    <n v="56476"/>
    <m/>
    <m/>
  </r>
  <r>
    <x v="0"/>
    <x v="5"/>
    <s v="F:\Données chgh\2020-CHG-CZA-Saccharin-3\plaque 1/@01 TS/F1_01.tif "/>
    <s v=" 1341.0535 "/>
    <s v=" 63.0806 "/>
    <x v="0"/>
    <n v="84595"/>
    <m/>
    <m/>
  </r>
  <r>
    <x v="0"/>
    <x v="5"/>
    <s v="F:\Données chgh\2020-CHG-CZA-Saccharin-3\plaque 1/@01 TS/F1_02.tif "/>
    <s v=" 108.1495 "/>
    <s v=" 65.8 "/>
    <x v="0"/>
    <n v="7116"/>
    <m/>
    <m/>
  </r>
  <r>
    <x v="0"/>
    <x v="5"/>
    <s v="F:\Données chgh\2020-CHG-CZA-Saccharin-3\plaque 1/@01 TS/F1_03- exclu.tif"/>
    <m/>
    <m/>
    <x v="1"/>
    <m/>
    <m/>
    <m/>
  </r>
  <r>
    <x v="0"/>
    <x v="6"/>
    <s v="F:\Données chgh\2020-CHG-CZA-Saccharin-3\plaque 1/@01 TS/G1_01.tif "/>
    <s v=" 4801.8366 "/>
    <s v=" 70.3964 "/>
    <x v="0"/>
    <n v="338032"/>
    <m/>
    <m/>
  </r>
  <r>
    <x v="0"/>
    <x v="6"/>
    <s v="F:\Données chgh\2020-CHG-CZA-Saccharin-3\plaque 1/@01 TS/G1_02.tif "/>
    <s v=" 6467.3385 "/>
    <s v=" 69.5552 "/>
    <x v="0"/>
    <n v="449837"/>
    <m/>
    <m/>
  </r>
  <r>
    <x v="0"/>
    <x v="6"/>
    <s v="F:\Données chgh\2020-CHG-CZA-Saccharin-3\plaque 1/@01 TS/G1_03.tif "/>
    <s v=" 1059.8648 "/>
    <s v=" 64.2245 "/>
    <x v="0"/>
    <n v="68069"/>
    <m/>
    <m/>
  </r>
  <r>
    <x v="0"/>
    <x v="7"/>
    <s v="F:\Données chgh\2020-CHG-CZA-Saccharin-3\plaque 1/@01 TS/H1_01.tif "/>
    <s v=" 2444.1781 "/>
    <s v=" 65.3717 "/>
    <x v="0"/>
    <n v="159780"/>
    <m/>
    <m/>
  </r>
  <r>
    <x v="0"/>
    <x v="7"/>
    <s v="F:\Données chgh\2020-CHG-CZA-Saccharin-3\plaque 1/@01 TS/H1_02.tif "/>
    <s v=" 3460.7831 "/>
    <s v=" 66.0938 "/>
    <x v="0"/>
    <n v="228736"/>
    <m/>
    <m/>
  </r>
  <r>
    <x v="0"/>
    <x v="7"/>
    <s v="F:\Données chgh\2020-CHG-CZA-Saccharin-3\plaque 1/@01 TS/H1_03.tif "/>
    <s v=" 2638.8471 "/>
    <s v=" 64.9672 "/>
    <x v="0"/>
    <n v="171439"/>
    <m/>
    <m/>
  </r>
  <r>
    <x v="1"/>
    <x v="8"/>
    <s v=" "/>
    <m/>
    <m/>
    <x v="1"/>
    <m/>
    <m/>
    <m/>
  </r>
  <r>
    <x v="1"/>
    <x v="8"/>
    <s v="group "/>
    <s v=" "/>
    <s v=" mean of mean fluo "/>
    <x v="2"/>
    <s v=" mean of total fluo "/>
    <s v=" SD total fluo "/>
    <s v=" n fluorescent "/>
  </r>
  <r>
    <x v="0"/>
    <x v="9"/>
    <s v="F:\Données chgh\2020-CHG-CZA-Saccharin-3\plaque 1/@01 TS/ "/>
    <s v=" "/>
    <s v=" 66.0525 "/>
    <x v="3"/>
    <s v=" 187806.042 "/>
    <s v=" 207674.36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Saccharin-3\plaque 1/@02 EE2 34/A2_01.tif "/>
    <s v=" 1470.8328 "/>
    <s v=" 64.4559 "/>
    <x v="0"/>
    <n v="94804"/>
    <m/>
    <m/>
  </r>
  <r>
    <x v="2"/>
    <x v="0"/>
    <s v="F:\Données chgh\2020-CHG-CZA-Saccharin-3\plaque 1/@02 EE2 34/A2_02.tif "/>
    <s v=" 1860.1709 "/>
    <s v=" 65.8605 "/>
    <x v="0"/>
    <n v="122512"/>
    <m/>
    <m/>
  </r>
  <r>
    <x v="2"/>
    <x v="0"/>
    <s v="F:\Données chgh\2020-CHG-CZA-Saccharin-3\plaque 1/@02 EE2 34/A2_03.tif "/>
    <s v=" 237.9288 "/>
    <s v=" 62.4545 "/>
    <x v="0"/>
    <n v="14860"/>
    <m/>
    <m/>
  </r>
  <r>
    <x v="2"/>
    <x v="1"/>
    <s v="F:\Données chgh\2020-CHG-CZA-Saccharin-3\plaque 1/@02 EE2 34/B2_01.tif "/>
    <s v=" 8760.1073 "/>
    <s v=" 73.1185 "/>
    <x v="0"/>
    <n v="640526"/>
    <m/>
    <m/>
  </r>
  <r>
    <x v="2"/>
    <x v="1"/>
    <s v="F:\Données chgh\2020-CHG-CZA-Saccharin-3\plaque 1/@02 EE2 34/B2_02.tif "/>
    <s v=" 6597.1179 "/>
    <s v=" 66.6951 "/>
    <x v="0"/>
    <n v="439995"/>
    <m/>
    <m/>
  </r>
  <r>
    <x v="2"/>
    <x v="1"/>
    <s v="F:\Données chgh\2020-CHG-CZA-Saccharin-3\plaque 1/@02 EE2 34/B2_03.tif "/>
    <s v=" 2811.8863 "/>
    <s v=" 66.0692 "/>
    <x v="0"/>
    <n v="185779"/>
    <m/>
    <m/>
  </r>
  <r>
    <x v="2"/>
    <x v="2"/>
    <s v="F:\Données chgh\2020-CHG-CZA-Saccharin-3\plaque 1/@02 EE2 34/C2_01.tif "/>
    <s v=" 5840.0715 "/>
    <s v=" 73.2926 "/>
    <x v="0"/>
    <n v="428034"/>
    <m/>
    <m/>
  </r>
  <r>
    <x v="2"/>
    <x v="2"/>
    <s v="F:\Données chgh\2020-CHG-CZA-Saccharin-3\plaque 1/@02 EE2 34/C2_02.tif "/>
    <s v=" 5429.1036 "/>
    <s v=" 73.8048 "/>
    <x v="0"/>
    <n v="400694"/>
    <m/>
    <m/>
  </r>
  <r>
    <x v="2"/>
    <x v="2"/>
    <s v="F:\Données chgh\2020-CHG-CZA-Saccharin-3\plaque 1/@02 EE2 34/C2_03.tif "/>
    <s v=" 3460.7831 "/>
    <s v=" 67.1813 "/>
    <x v="0"/>
    <n v="232500"/>
    <m/>
    <m/>
  </r>
  <r>
    <x v="2"/>
    <x v="3"/>
    <s v="F:\Données chgh\2020-CHG-CZA-Saccharin-3\plaque 1/@02 EE2 34/D2_01- exclu.tif"/>
    <m/>
    <m/>
    <x v="1"/>
    <m/>
    <m/>
    <m/>
  </r>
  <r>
    <x v="2"/>
    <x v="3"/>
    <s v="F:\Données chgh\2020-CHG-CZA-Saccharin-3\plaque 1/@02 EE2 34/D2_02.tif "/>
    <s v=" 1059.8648 "/>
    <s v=" 63.6327 "/>
    <x v="0"/>
    <n v="67442"/>
    <m/>
    <m/>
  </r>
  <r>
    <x v="2"/>
    <x v="3"/>
    <s v="F:\Données chgh\2020-CHG-CZA-Saccharin-3\plaque 1/@02 EE2 34/D2_03.tif "/>
    <s v=" 475.8577 "/>
    <s v=" 62.2727 "/>
    <x v="0"/>
    <n v="29633"/>
    <m/>
    <m/>
  </r>
  <r>
    <x v="2"/>
    <x v="4"/>
    <s v="F:\Données chgh\2020-CHG-CZA-Saccharin-3\plaque 1/@02 EE2 34/E2_01.tif "/>
    <s v=" 2573.9575 "/>
    <s v=" 67.5714 "/>
    <x v="0"/>
    <n v="173926"/>
    <m/>
    <m/>
  </r>
  <r>
    <x v="2"/>
    <x v="4"/>
    <s v="F:\Données chgh\2020-CHG-CZA-Saccharin-3\plaque 1/@02 EE2 34/E2_02.tif "/>
    <s v=" 5904.9612 "/>
    <s v=" 71.0513 "/>
    <x v="0"/>
    <n v="419555"/>
    <m/>
    <m/>
  </r>
  <r>
    <x v="2"/>
    <x v="4"/>
    <s v="F:\Données chgh\2020-CHG-CZA-Saccharin-3\plaque 1/@02 EE2 34/E2_03.tif "/>
    <s v=" 821.936 "/>
    <s v=" 63.8947 "/>
    <x v="0"/>
    <n v="52517"/>
    <m/>
    <m/>
  </r>
  <r>
    <x v="2"/>
    <x v="5"/>
    <s v="F:\Données chgh\2020-CHG-CZA-Saccharin-3\plaque 1/@02 EE2 34/F2_01.tif "/>
    <s v=" 8976.4063 "/>
    <s v=" 76.1205 "/>
    <x v="0"/>
    <n v="683288"/>
    <m/>
    <m/>
  </r>
  <r>
    <x v="2"/>
    <x v="5"/>
    <s v="F:\Données chgh\2020-CHG-CZA-Saccharin-3\plaque 1/@02 EE2 34/F2_02- exclu.tif"/>
    <m/>
    <m/>
    <x v="1"/>
    <m/>
    <m/>
    <m/>
  </r>
  <r>
    <x v="2"/>
    <x v="5"/>
    <s v="F:\Données chgh\2020-CHG-CZA-Saccharin-3\plaque 1/@02 EE2 34/F2_03.tif "/>
    <s v=" 6597.1179 "/>
    <s v=" 72.6689 "/>
    <x v="0"/>
    <n v="479405"/>
    <m/>
    <m/>
  </r>
  <r>
    <x v="2"/>
    <x v="6"/>
    <s v="F:\Données chgh\2020-CHG-CZA-Saccharin-3\plaque 1/@02 EE2 34/G2_01.tif "/>
    <s v=" 9127.8155 "/>
    <s v=" 71.1659 "/>
    <x v="0"/>
    <n v="649589"/>
    <m/>
    <m/>
  </r>
  <r>
    <x v="2"/>
    <x v="6"/>
    <s v="F:\Données chgh\2020-CHG-CZA-Saccharin-3\plaque 1/@02 EE2 34/G2_02.tif "/>
    <s v=" 713.7865 "/>
    <s v=" 62.5455 "/>
    <x v="0"/>
    <n v="44644"/>
    <m/>
    <m/>
  </r>
  <r>
    <x v="2"/>
    <x v="6"/>
    <s v="F:\Données chgh\2020-CHG-CZA-Saccharin-3\plaque 1/@02 EE2 34/G2_03.tif "/>
    <s v=" 4909.9861 "/>
    <s v=" 66.4581 "/>
    <x v="0"/>
    <n v="326309"/>
    <m/>
    <m/>
  </r>
  <r>
    <x v="2"/>
    <x v="7"/>
    <s v="F:\Données chgh\2020-CHG-CZA-Saccharin-3\plaque 1/@02 EE2 34/H2_01- exclu.tif"/>
    <m/>
    <m/>
    <x v="1"/>
    <m/>
    <m/>
    <m/>
  </r>
  <r>
    <x v="2"/>
    <x v="7"/>
    <s v="F:\Données chgh\2020-CHG-CZA-Saccharin-3\plaque 1/@02 EE2 34/H2_02.tif "/>
    <s v=" 10620.2783 "/>
    <s v=" 81.6477 "/>
    <x v="0"/>
    <n v="867121"/>
    <m/>
    <m/>
  </r>
  <r>
    <x v="2"/>
    <x v="7"/>
    <s v="F:\Données chgh\2020-CHG-CZA-Saccharin-3\plaque 1/@02 EE2 34/H2_03.tif "/>
    <s v=" 10274.1999 "/>
    <s v=" 71.1789 "/>
    <x v="0"/>
    <n v="731307"/>
    <m/>
    <m/>
  </r>
  <r>
    <x v="1"/>
    <x v="8"/>
    <s v=" "/>
    <m/>
    <m/>
    <x v="1"/>
    <m/>
    <m/>
    <m/>
  </r>
  <r>
    <x v="1"/>
    <x v="8"/>
    <s v="group "/>
    <s v=" "/>
    <s v=" mean of mean fluo "/>
    <x v="2"/>
    <s v=" mean of total fluo "/>
    <s v=" SD total fluo "/>
    <s v=" n fluorescent "/>
  </r>
  <r>
    <x v="2"/>
    <x v="9"/>
    <s v="F:\Données chgh\2020-CHG-CZA-Saccharin-3\plaque 1/@02 EE2 34/ "/>
    <s v=" "/>
    <s v=" 68.3942 "/>
    <x v="4"/>
    <s v=" 339455.083 "/>
    <s v=" 294445.0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Saccharin-3\plaque 1/@03 EE2 51/A3_01.tif "/>
    <s v=" 8132.8404 "/>
    <s v=" 80.8883 "/>
    <x v="0"/>
    <n v="657852"/>
    <m/>
    <m/>
  </r>
  <r>
    <x v="3"/>
    <x v="0"/>
    <s v="F:\Données chgh\2020-CHG-CZA-Saccharin-3\plaque 1/@03 EE2 51/A3_02.tif "/>
    <s v=" 8197.7301 "/>
    <s v=" 82.9763 "/>
    <x v="0"/>
    <n v="680217"/>
    <m/>
    <m/>
  </r>
  <r>
    <x v="3"/>
    <x v="0"/>
    <s v="F:\Données chgh\2020-CHG-CZA-Saccharin-3\plaque 1/@03 EE2 51/A3_03.tif "/>
    <s v=" 1600.6122 "/>
    <s v=" 64.8108 "/>
    <x v="0"/>
    <n v="103737"/>
    <m/>
    <m/>
  </r>
  <r>
    <x v="3"/>
    <x v="1"/>
    <s v="F:\Données chgh\2020-CHG-CZA-Saccharin-3\plaque 1/@03 EE2 51/B3_01.tif "/>
    <s v=" 194.6691 "/>
    <s v=" 61.4444 "/>
    <x v="0"/>
    <n v="11961"/>
    <m/>
    <m/>
  </r>
  <r>
    <x v="3"/>
    <x v="1"/>
    <s v="F:\Données chgh\2020-CHG-CZA-Saccharin-3\plaque 1/@03 EE2 51/B3_02.tif "/>
    <s v=" 3633.8223 "/>
    <s v=" 66.9643 "/>
    <x v="0"/>
    <n v="243336"/>
    <m/>
    <m/>
  </r>
  <r>
    <x v="3"/>
    <x v="1"/>
    <s v="F:\Données chgh\2020-CHG-CZA-Saccharin-3\plaque 1/@03 EE2 51/B3_03.tif "/>
    <s v=" 540.7474 "/>
    <s v=" 63.44 "/>
    <x v="0"/>
    <n v="34305"/>
    <m/>
    <m/>
  </r>
  <r>
    <x v="3"/>
    <x v="2"/>
    <s v="F:\Données chgh\2020-CHG-CZA-Saccharin-3\plaque 1/@03 EE2 51/C3_01.tif "/>
    <s v=" 7505.5734 "/>
    <s v=" 65.6715 "/>
    <x v="0"/>
    <n v="492902"/>
    <m/>
    <m/>
  </r>
  <r>
    <x v="3"/>
    <x v="2"/>
    <s v="F:\Données chgh\2020-CHG-CZA-Saccharin-3\plaque 1/@03 EE2 51/C3_02.tif "/>
    <s v=" 4736.9469 "/>
    <s v=" 65.7169 "/>
    <x v="0"/>
    <n v="311297"/>
    <m/>
    <m/>
  </r>
  <r>
    <x v="3"/>
    <x v="2"/>
    <s v="F:\Données chgh\2020-CHG-CZA-Saccharin-3\plaque 1/@03 EE2 51/C3_03.tif "/>
    <s v=" 2292.7688 "/>
    <s v=" 65.0566 "/>
    <x v="0"/>
    <n v="149160"/>
    <m/>
    <m/>
  </r>
  <r>
    <x v="3"/>
    <x v="3"/>
    <s v="F:\Données chgh\2020-CHG-CZA-Saccharin-3\plaque 1/@03 EE2 51/D3_01.tif "/>
    <s v=" 5147.9149 "/>
    <s v=" 65.3151 "/>
    <x v="0"/>
    <n v="336237"/>
    <m/>
    <m/>
  </r>
  <r>
    <x v="3"/>
    <x v="3"/>
    <s v="F:\Données chgh\2020-CHG-CZA-Saccharin-3\plaque 1/@03 EE2 51/D3_02.tif "/>
    <s v=" 1384.3133 "/>
    <s v=" 64.2188 "/>
    <x v="0"/>
    <n v="88899"/>
    <m/>
    <m/>
  </r>
  <r>
    <x v="3"/>
    <x v="3"/>
    <s v="F:\Données chgh\2020-CHG-CZA-Saccharin-3\plaque 1/@03 EE2 51/D3_03.tif "/>
    <s v=" 302.8185 "/>
    <n v="62"/>
    <x v="0"/>
    <n v="18775"/>
    <m/>
    <m/>
  </r>
  <r>
    <x v="3"/>
    <x v="4"/>
    <s v="F:\Données chgh\2020-CHG-CZA-Saccharin-3\plaque 1/@03 EE2 51/E3_01.tif "/>
    <s v=" 9344.1145 "/>
    <s v=" 70.7546 "/>
    <x v="0"/>
    <n v="661139"/>
    <m/>
    <m/>
  </r>
  <r>
    <x v="3"/>
    <x v="4"/>
    <s v="F:\Données chgh\2020-CHG-CZA-Saccharin-3\plaque 1/@03 EE2 51/E3_02.tif "/>
    <s v=" 1600.6122 "/>
    <s v=" 62.973 "/>
    <x v="0"/>
    <n v="100795"/>
    <m/>
    <m/>
  </r>
  <r>
    <x v="3"/>
    <x v="4"/>
    <s v="F:\Données chgh\2020-CHG-CZA-Saccharin-3\plaque 1/@03 EE2 51/E3_03.tif "/>
    <s v=" 4174.5697 "/>
    <s v=" 64.5181 "/>
    <x v="0"/>
    <n v="269335"/>
    <m/>
    <m/>
  </r>
  <r>
    <x v="3"/>
    <x v="5"/>
    <s v="F:\Données chgh\2020-CHG-CZA-Saccharin-3\plaque 1/@03 EE2 51/F3_01.tif "/>
    <s v=" 14600.1789 "/>
    <s v=" 88.8444 "/>
    <x v="0"/>
    <n v="1297145"/>
    <m/>
    <m/>
  </r>
  <r>
    <x v="3"/>
    <x v="5"/>
    <s v="F:\Données chgh\2020-CHG-CZA-Saccharin-3\plaque 1/@03 EE2 51/F3_02.tif "/>
    <s v=" 10274.1999 "/>
    <s v=" 75.4863 "/>
    <x v="0"/>
    <n v="775562"/>
    <m/>
    <m/>
  </r>
  <r>
    <x v="3"/>
    <x v="5"/>
    <s v="F:\Données chgh\2020-CHG-CZA-Saccharin-3\plaque 1/@03 EE2 51/F3_03.tif "/>
    <s v=" 8889.8867 "/>
    <s v=" 75.9708 "/>
    <x v="0"/>
    <n v="675372"/>
    <m/>
    <m/>
  </r>
  <r>
    <x v="3"/>
    <x v="6"/>
    <s v="F:\Données chgh\2020-CHG-CZA-Saccharin-3\plaque 1/@03 EE2 51/G3_01.tif "/>
    <s v=" 7851.6518 "/>
    <s v=" 72.5455 "/>
    <x v="0"/>
    <n v="569602"/>
    <m/>
    <m/>
  </r>
  <r>
    <x v="3"/>
    <x v="6"/>
    <s v="F:\Données chgh\2020-CHG-CZA-Saccharin-3\plaque 1/@03 EE2 51/G3_02.tif "/>
    <s v=" 4455.7583 "/>
    <s v=" 67.7427 "/>
    <x v="0"/>
    <n v="301845"/>
    <m/>
    <m/>
  </r>
  <r>
    <x v="3"/>
    <x v="6"/>
    <s v="F:\Données chgh\2020-CHG-CZA-Saccharin-3\plaque 1/@03 EE2 51/G3_03.tif "/>
    <s v=" 4953.2459 "/>
    <s v=" 65.7817 "/>
    <x v="0"/>
    <n v="325833"/>
    <m/>
    <m/>
  </r>
  <r>
    <x v="3"/>
    <x v="7"/>
    <s v="F:\Données chgh\2020-CHG-CZA-Saccharin-3\plaque 1/@03 EE2 51/H3_01.tif "/>
    <s v=" 7397.424 "/>
    <s v=" 69.7953 "/>
    <x v="0"/>
    <n v="516306"/>
    <m/>
    <m/>
  </r>
  <r>
    <x v="3"/>
    <x v="7"/>
    <s v="F:\Données chgh\2020-CHG-CZA-Saccharin-3\plaque 1/@03 EE2 51/H3_02.tif "/>
    <s v=" 1297.7937 "/>
    <s v=" 63.8167 "/>
    <x v="0"/>
    <n v="82821"/>
    <m/>
    <m/>
  </r>
  <r>
    <x v="3"/>
    <x v="7"/>
    <s v="F:\Données chgh\2020-CHG-CZA-Saccharin-3\plaque 1/@03 EE2 51/H3_03.tif "/>
    <s v=" 1514.0926 "/>
    <s v=" 63.0286 "/>
    <x v="0"/>
    <n v="95431"/>
    <m/>
    <m/>
  </r>
  <r>
    <x v="1"/>
    <x v="8"/>
    <s v=" "/>
    <m/>
    <m/>
    <x v="1"/>
    <m/>
    <m/>
    <m/>
  </r>
  <r>
    <x v="1"/>
    <x v="8"/>
    <s v="group "/>
    <s v=" "/>
    <s v=" mean of mean fluo "/>
    <x v="2"/>
    <s v=" mean of total fluo "/>
    <s v=" SD total fluo "/>
    <s v=" n fluorescent "/>
  </r>
  <r>
    <x v="3"/>
    <x v="9"/>
    <s v="F:\Données chgh\2020-CHG-CZA-Saccharin-3\plaque 1/@03 EE2 51/ "/>
    <s v=" "/>
    <s v=" 68.74 "/>
    <x v="5"/>
    <n v="366661"/>
    <s v=" 315393.87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Saccharin-3\plaque 1/@04 EE2 76/A4_01.tif "/>
    <s v=" 5385.8438 "/>
    <s v=" 63.8554 "/>
    <x v="0"/>
    <n v="343915"/>
    <m/>
    <m/>
  </r>
  <r>
    <x v="4"/>
    <x v="0"/>
    <s v="F:\Données chgh\2020-CHG-CZA-Saccharin-3\plaque 1/@04 EE2 76/A4_02.tif "/>
    <s v=" 2595.5874 "/>
    <s v=" 63.0917 "/>
    <x v="0"/>
    <n v="163760"/>
    <m/>
    <m/>
  </r>
  <r>
    <x v="4"/>
    <x v="0"/>
    <s v="F:\Données chgh\2020-CHG-CZA-Saccharin-3\plaque 1/@04 EE2 76/A4_03.tif "/>
    <s v=" 2141.3596 "/>
    <s v=" 63.4747 "/>
    <x v="0"/>
    <n v="135922"/>
    <m/>
    <m/>
  </r>
  <r>
    <x v="4"/>
    <x v="1"/>
    <s v="F:\Données chgh\2020-CHG-CZA-Saccharin-3\plaque 1/@04 EE2 76/B4_01.tif "/>
    <s v=" 497.4876 "/>
    <s v=" 62.7391 "/>
    <x v="0"/>
    <n v="31212"/>
    <m/>
    <m/>
  </r>
  <r>
    <x v="4"/>
    <x v="1"/>
    <s v="F:\Données chgh\2020-CHG-CZA-Saccharin-3\plaque 1/@04 EE2 76/B4_02.tif "/>
    <s v=" 475.8577 "/>
    <s v=" 63.5909 "/>
    <x v="0"/>
    <n v="30260"/>
    <m/>
    <m/>
  </r>
  <r>
    <x v="4"/>
    <x v="1"/>
    <s v="F:\Données chgh\2020-CHG-CZA-Saccharin-3\plaque 1/@04 EE2 76/B4_03.tif "/>
    <s v=" 324.4484 "/>
    <s v=" 63.8667 "/>
    <x v="0"/>
    <n v="20721"/>
    <m/>
    <m/>
  </r>
  <r>
    <x v="4"/>
    <x v="2"/>
    <s v="F:\Données chgh\2020-CHG-CZA-Saccharin-3\plaque 1/@04 EE2 76/C4_01.tif "/>
    <s v=" 9365.7444 "/>
    <s v=" 65.7344 "/>
    <x v="0"/>
    <n v="615652"/>
    <m/>
    <m/>
  </r>
  <r>
    <x v="4"/>
    <x v="2"/>
    <s v="F:\Données chgh\2020-CHG-CZA-Saccharin-3\plaque 1/@04 EE2 76/C4_02.tif "/>
    <s v=" 7137.8652 "/>
    <s v=" 64.4727 "/>
    <x v="0"/>
    <n v="460198"/>
    <m/>
    <m/>
  </r>
  <r>
    <x v="4"/>
    <x v="2"/>
    <s v="F:\Données chgh\2020-CHG-CZA-Saccharin-3\plaque 1/@04 EE2 76/C4_03.tif "/>
    <s v=" 7008.0859 "/>
    <s v=" 64.9043 "/>
    <x v="0"/>
    <n v="454855"/>
    <m/>
    <m/>
  </r>
  <r>
    <x v="4"/>
    <x v="3"/>
    <s v="F:\Données chgh\2020-CHG-CZA-Saccharin-3\plaque 1/@04 EE2 76/D4_01.tif "/>
    <s v=" 10512.1288 "/>
    <s v=" 68.0309 "/>
    <x v="0"/>
    <n v="715149"/>
    <m/>
    <m/>
  </r>
  <r>
    <x v="4"/>
    <x v="3"/>
    <s v="F:\Données chgh\2020-CHG-CZA-Saccharin-3\plaque 1/@04 EE2 76/D4_02.tif "/>
    <s v=" 8240.9899 "/>
    <s v=" 68.6115 "/>
    <x v="0"/>
    <n v="565427"/>
    <m/>
    <m/>
  </r>
  <r>
    <x v="4"/>
    <x v="3"/>
    <s v="F:\Données chgh\2020-CHG-CZA-Saccharin-3\plaque 1/@04 EE2 76/D4_03.tif "/>
    <s v=" 7700.2425 "/>
    <s v=" 69.6348 "/>
    <x v="0"/>
    <n v="536205"/>
    <m/>
    <m/>
  </r>
  <r>
    <x v="4"/>
    <x v="4"/>
    <s v="F:\Données chgh\2020-CHG-CZA-Saccharin-3\plaque 1/@04 EE2 76/E4_01.tif "/>
    <s v=" 8824.997 "/>
    <s v=" 66.8211 "/>
    <x v="0"/>
    <n v="589696"/>
    <m/>
    <m/>
  </r>
  <r>
    <x v="4"/>
    <x v="4"/>
    <s v="F:\Données chgh\2020-CHG-CZA-Saccharin-3\plaque 1/@04 EE2 76/E4_02.tif "/>
    <s v=" 13129.346 "/>
    <s v=" 67.2916 "/>
    <x v="0"/>
    <n v="883495"/>
    <m/>
    <m/>
  </r>
  <r>
    <x v="4"/>
    <x v="4"/>
    <s v="F:\Données chgh\2020-CHG-CZA-Saccharin-3\plaque 1/@04 EE2 76/E4_03.tif "/>
    <s v=" 15032.7768 "/>
    <s v=" 67.423 "/>
    <x v="0"/>
    <n v="1013555"/>
    <m/>
    <m/>
  </r>
  <r>
    <x v="4"/>
    <x v="5"/>
    <s v="F:\Données chgh\2020-CHG-CZA-Saccharin-3\plaque 1/@04 EE2 76/F4_01.tif "/>
    <s v=" 2725.3667 "/>
    <s v=" 65.8016 "/>
    <x v="0"/>
    <n v="179333"/>
    <m/>
    <m/>
  </r>
  <r>
    <x v="4"/>
    <x v="5"/>
    <s v="F:\Données chgh\2020-CHG-CZA-Saccharin-3\plaque 1/@04 EE2 76/F4_02.tif "/>
    <s v=" 4650.4273 "/>
    <s v=" 67.2419 "/>
    <x v="0"/>
    <n v="312703"/>
    <m/>
    <m/>
  </r>
  <r>
    <x v="4"/>
    <x v="5"/>
    <s v="F:\Données chgh\2020-CHG-CZA-Saccharin-3\plaque 1/@04 EE2 76/F4_03.tif "/>
    <s v=" 3179.5945 "/>
    <s v=" 68.2041 "/>
    <x v="0"/>
    <n v="216861"/>
    <m/>
    <m/>
  </r>
  <r>
    <x v="4"/>
    <x v="6"/>
    <s v="F:\Données chgh\2020-CHG-CZA-Saccharin-3\plaque 1/@04 EE2 76/G4_01.tif "/>
    <s v=" 302.8185 "/>
    <s v=" 61.7857 "/>
    <x v="0"/>
    <n v="18710"/>
    <m/>
    <m/>
  </r>
  <r>
    <x v="4"/>
    <x v="6"/>
    <s v="F:\Données chgh\2020-CHG-CZA-Saccharin-3\plaque 1/@04 EE2 76/G4_02.tif "/>
    <s v=" 1081.4947 "/>
    <s v=" 63.96 "/>
    <x v="0"/>
    <n v="69172"/>
    <m/>
    <m/>
  </r>
  <r>
    <x v="4"/>
    <x v="6"/>
    <s v="F:\Données chgh\2020-CHG-CZA-Saccharin-3\plaque 1/@04 EE2 76/G4_03.tif "/>
    <s v=" 1946.6905 "/>
    <s v=" 64.7222 "/>
    <x v="0"/>
    <n v="125994"/>
    <m/>
    <m/>
  </r>
  <r>
    <x v="4"/>
    <x v="7"/>
    <s v="F:\Données chgh\2020-CHG-CZA-Saccharin-3\plaque 1/@04 EE2 76/H4_01.tif "/>
    <s v=" 5731.9221 "/>
    <s v=" 75.1887 "/>
    <x v="0"/>
    <n v="430976"/>
    <m/>
    <m/>
  </r>
  <r>
    <x v="4"/>
    <x v="7"/>
    <s v="F:\Données chgh\2020-CHG-CZA-Saccharin-3\plaque 1/@04 EE2 76/H4_02.tif "/>
    <s v=" 6899.9364 "/>
    <s v=" 75.5611 "/>
    <x v="0"/>
    <n v="521367"/>
    <m/>
    <m/>
  </r>
  <r>
    <x v="4"/>
    <x v="7"/>
    <s v="F:\Données chgh\2020-CHG-CZA-Saccharin-3\plaque 1/@04 EE2 76/H4_03.tif "/>
    <s v=" 6034.7406 "/>
    <s v=" 74.6165 "/>
    <x v="0"/>
    <n v="450291"/>
    <m/>
    <m/>
  </r>
  <r>
    <x v="1"/>
    <x v="8"/>
    <s v=" "/>
    <m/>
    <m/>
    <x v="1"/>
    <m/>
    <m/>
    <m/>
  </r>
  <r>
    <x v="1"/>
    <x v="8"/>
    <s v="group "/>
    <s v=" "/>
    <s v=" mean of mean fluo "/>
    <x v="2"/>
    <s v=" mean of total fluo "/>
    <s v=" SD total fluo "/>
    <s v=" n fluorescent "/>
  </r>
  <r>
    <x v="4"/>
    <x v="9"/>
    <s v="F:\Données chgh\2020-CHG-CZA-Saccharin-3\plaque 1/@04 EE2 76/ "/>
    <s v=" "/>
    <s v=" 66.6927 "/>
    <x v="6"/>
    <s v=" 370226.208 "/>
    <s v=" 280259.2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Saccharin-3\plaque 1/@05 EE2 114/A5_01.tif "/>
    <s v=" 9322.4846 "/>
    <s v=" 67.5313 "/>
    <x v="0"/>
    <n v="629560"/>
    <m/>
    <m/>
  </r>
  <r>
    <x v="5"/>
    <x v="0"/>
    <s v="F:\Données chgh\2020-CHG-CZA-Saccharin-3\plaque 1/@05 EE2 114/A5_02.tif "/>
    <s v=" 3374.2636 "/>
    <s v=" 64.4872 "/>
    <x v="0"/>
    <n v="217597"/>
    <m/>
    <m/>
  </r>
  <r>
    <x v="5"/>
    <x v="0"/>
    <s v="F:\Données chgh\2020-CHG-CZA-Saccharin-3\plaque 1/@05 EE2 114/A5_03.tif "/>
    <s v=" 8414.029 "/>
    <s v=" 64.0488 "/>
    <x v="0"/>
    <n v="538909"/>
    <m/>
    <m/>
  </r>
  <r>
    <x v="5"/>
    <x v="1"/>
    <s v="F:\Données chgh\2020-CHG-CZA-Saccharin-3\plaque 1/@05 EE2 114/B5_01.tif "/>
    <s v=" 53339.3202 "/>
    <s v=" 80.4745 "/>
    <x v="0"/>
    <n v="4292453"/>
    <m/>
    <m/>
  </r>
  <r>
    <x v="5"/>
    <x v="1"/>
    <s v="F:\Données chgh\2020-CHG-CZA-Saccharin-3\plaque 1/@05 EE2 114/B5_02.tif "/>
    <s v=" 57686.929 "/>
    <s v=" 77.4777 "/>
    <x v="0"/>
    <n v="4469450"/>
    <m/>
    <m/>
  </r>
  <r>
    <x v="5"/>
    <x v="1"/>
    <s v="F:\Données chgh\2020-CHG-CZA-Saccharin-3\plaque 1/@05 EE2 114/B5_03.tif "/>
    <s v=" 45877.0065 "/>
    <s v=" 79.0712 "/>
    <x v="0"/>
    <n v="3627550"/>
    <m/>
    <m/>
  </r>
  <r>
    <x v="5"/>
    <x v="2"/>
    <s v="F:\Données chgh\2020-CHG-CZA-Saccharin-3\plaque 1/@05 EE2 114/C5_01.tif "/>
    <s v=" 3590.5625 "/>
    <s v=" 63.5361 "/>
    <x v="0"/>
    <n v="228130"/>
    <m/>
    <m/>
  </r>
  <r>
    <x v="5"/>
    <x v="2"/>
    <s v="F:\Données chgh\2020-CHG-CZA-Saccharin-3\plaque 1/@05 EE2 114/C5_02.tif "/>
    <s v=" 5472.3633 "/>
    <s v=" 63.9447 "/>
    <x v="0"/>
    <n v="349928"/>
    <m/>
    <m/>
  </r>
  <r>
    <x v="5"/>
    <x v="2"/>
    <s v="F:\Données chgh\2020-CHG-CZA-Saccharin-3\plaque 1/@05 EE2 114/C5_03.tif "/>
    <s v=" 1427.573 "/>
    <s v=" 63.1667 "/>
    <x v="0"/>
    <n v="90175"/>
    <m/>
    <m/>
  </r>
  <r>
    <x v="5"/>
    <x v="3"/>
    <s v="F:\Données chgh\2020-CHG-CZA-Saccharin-3\plaque 1/@05 EE2 114/D5_01.tif "/>
    <s v=" 24809.4891 "/>
    <s v=" 69.6373 "/>
    <x v="0"/>
    <n v="1727666"/>
    <m/>
    <m/>
  </r>
  <r>
    <x v="5"/>
    <x v="3"/>
    <s v="F:\Données chgh\2020-CHG-CZA-Saccharin-3\plaque 1/@05 EE2 114/D5_02.tif "/>
    <s v=" 20894.4782 "/>
    <s v=" 67.4803 "/>
    <x v="0"/>
    <n v="1409966"/>
    <m/>
    <m/>
  </r>
  <r>
    <x v="5"/>
    <x v="3"/>
    <s v="F:\Données chgh\2020-CHG-CZA-Saccharin-3\plaque 1/@05 EE2 114/D5_03.tif "/>
    <s v=" 21348.706 "/>
    <s v=" 69.6342 "/>
    <x v="0"/>
    <n v="1486601"/>
    <m/>
    <m/>
  </r>
  <r>
    <x v="5"/>
    <x v="4"/>
    <s v="F:\Données chgh\2020-CHG-CZA-Saccharin-3\plaque 1/@05 EE2 114/E5_01.tif "/>
    <s v=" 4888.3562 "/>
    <s v=" 63.5664 "/>
    <x v="0"/>
    <n v="310735"/>
    <m/>
    <m/>
  </r>
  <r>
    <x v="5"/>
    <x v="4"/>
    <s v="F:\Données chgh\2020-CHG-CZA-Saccharin-3\plaque 1/@05 EE2 114/E5_02.tif "/>
    <s v=" 10447.2391 "/>
    <s v=" 73.7909 "/>
    <x v="0"/>
    <n v="770911"/>
    <m/>
    <m/>
  </r>
  <r>
    <x v="5"/>
    <x v="4"/>
    <s v="F:\Données chgh\2020-CHG-CZA-Saccharin-3\plaque 1/@05 EE2 114/E5_03.tif "/>
    <s v=" 5169.5448 "/>
    <s v=" 64.2845 "/>
    <x v="0"/>
    <n v="332322"/>
    <m/>
    <m/>
  </r>
  <r>
    <x v="5"/>
    <x v="5"/>
    <s v="F:\Données chgh\2020-CHG-CZA-Saccharin-3\plaque 1/@05 EE2 114/F5_01.tif "/>
    <s v=" 8435.6589 "/>
    <s v=" 67.6385 "/>
    <x v="0"/>
    <n v="570575"/>
    <m/>
    <m/>
  </r>
  <r>
    <x v="5"/>
    <x v="5"/>
    <s v="F:\Données chgh\2020-CHG-CZA-Saccharin-3\plaque 1/@05 EE2 114/F5_02.tif "/>
    <s v=" 11420.5844 "/>
    <s v=" 73.0625 "/>
    <x v="0"/>
    <n v="834416"/>
    <m/>
    <m/>
  </r>
  <r>
    <x v="5"/>
    <x v="5"/>
    <s v="F:\Données chgh\2020-CHG-CZA-Saccharin-3\plaque 1/@05 EE2 114/F5_03.tif "/>
    <s v=" 3828.4913 "/>
    <s v=" 67.6893 "/>
    <x v="0"/>
    <n v="259148"/>
    <m/>
    <m/>
  </r>
  <r>
    <x v="5"/>
    <x v="6"/>
    <s v="F:\Données chgh\2020-CHG-CZA-Saccharin-3\plaque 1/@05 EE2 114/G5_01.tif "/>
    <s v=" 5407.4737 "/>
    <s v=" 67.844 "/>
    <x v="0"/>
    <n v="366865"/>
    <m/>
    <m/>
  </r>
  <r>
    <x v="5"/>
    <x v="6"/>
    <s v="F:\Données chgh\2020-CHG-CZA-Saccharin-3\plaque 1/@05 EE2 114/G5_02- exclu.tif"/>
    <m/>
    <m/>
    <x v="1"/>
    <m/>
    <m/>
    <m/>
  </r>
  <r>
    <x v="5"/>
    <x v="6"/>
    <s v="F:\Données chgh\2020-CHG-CZA-Saccharin-3\plaque 1/@05 EE2 114/G5_03.tif "/>
    <s v=" 3504.0429 "/>
    <s v=" 64.0679 "/>
    <x v="0"/>
    <n v="224497"/>
    <m/>
    <m/>
  </r>
  <r>
    <x v="5"/>
    <x v="7"/>
    <s v="F:\Données chgh\2020-CHG-CZA-Saccharin-3\plaque 1/@05 EE2 114/H5_01.tif "/>
    <s v=" 11355.6947 "/>
    <s v=" 64.8514 "/>
    <x v="0"/>
    <n v="736433"/>
    <m/>
    <m/>
  </r>
  <r>
    <x v="5"/>
    <x v="7"/>
    <s v="F:\Données chgh\2020-CHG-CZA-Saccharin-3\plaque 1/@05 EE2 114/H5_02.tif "/>
    <s v=" 8933.1465 "/>
    <s v=" 65.0823 "/>
    <x v="0"/>
    <n v="581390"/>
    <m/>
    <m/>
  </r>
  <r>
    <x v="5"/>
    <x v="7"/>
    <s v="F:\Données chgh\2020-CHG-CZA-Saccharin-3\plaque 1/@05 EE2 114/H5_03.tif "/>
    <s v=" 4563.9078 "/>
    <s v=" 64.09 "/>
    <x v="0"/>
    <n v="292501"/>
    <m/>
    <m/>
  </r>
  <r>
    <x v="1"/>
    <x v="8"/>
    <s v=" "/>
    <m/>
    <m/>
    <x v="1"/>
    <m/>
    <m/>
    <m/>
  </r>
  <r>
    <x v="1"/>
    <x v="8"/>
    <s v="group "/>
    <s v=" "/>
    <s v=" mean of mean fluo "/>
    <x v="2"/>
    <s v=" mean of total fluo "/>
    <s v=" SD total fluo "/>
    <s v=" n fluorescent "/>
  </r>
  <r>
    <x v="5"/>
    <x v="9"/>
    <s v="F:\Données chgh\2020-CHG-CZA-Saccharin-3\plaque 1/@05 EE2 114/ "/>
    <s v=" "/>
    <s v=" 67.8674 "/>
    <x v="7"/>
    <s v=" 1015895.79 "/>
    <s v=" 1284236.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Saccharin-3\plaque 1/@06 EE2 171/A6_01.tif "/>
    <s v=" 33850.7851 "/>
    <s v=" 69.3342 "/>
    <x v="0"/>
    <n v="2347017"/>
    <m/>
    <m/>
  </r>
  <r>
    <x v="6"/>
    <x v="0"/>
    <s v="F:\Données chgh\2020-CHG-CZA-Saccharin-3\plaque 1/@06 EE2 171/A6_02.tif "/>
    <s v=" 13626.8336 "/>
    <s v=" 65.3683 "/>
    <x v="0"/>
    <n v="890762"/>
    <m/>
    <m/>
  </r>
  <r>
    <x v="6"/>
    <x v="0"/>
    <s v="F:\Données chgh\2020-CHG-CZA-Saccharin-3\plaque 1/@06 EE2 171/A6_03.tif "/>
    <s v=" 29373.3969 "/>
    <s v=" 70.0442 "/>
    <x v="0"/>
    <n v="2057436"/>
    <m/>
    <m/>
  </r>
  <r>
    <x v="6"/>
    <x v="1"/>
    <s v="F:\Données chgh\2020-CHG-CZA-Saccharin-3\plaque 1/@06 EE2 171/B6_01.tif "/>
    <s v=" 45422.7787 "/>
    <s v=" 70.6738 "/>
    <x v="0"/>
    <n v="3210201"/>
    <m/>
    <m/>
  </r>
  <r>
    <x v="6"/>
    <x v="1"/>
    <s v="F:\Données chgh\2020-CHG-CZA-Saccharin-3\plaque 1/@06 EE2 171/B6_02.tif "/>
    <s v=" 37181.7889 "/>
    <s v=" 69.2245 "/>
    <x v="0"/>
    <n v="2573893"/>
    <m/>
    <m/>
  </r>
  <r>
    <x v="6"/>
    <x v="1"/>
    <s v="F:\Données chgh\2020-CHG-CZA-Saccharin-3\plaque 1/@06 EE2 171/B6_03.tif "/>
    <s v=" 43843.7964 "/>
    <s v=" 69.8515 "/>
    <x v="0"/>
    <n v="3062555"/>
    <m/>
    <m/>
  </r>
  <r>
    <x v="6"/>
    <x v="2"/>
    <s v="F:\Données chgh\2020-CHG-CZA-Saccharin-3\plaque 1/@06 EE2 171/C6_01.tif "/>
    <s v=" 8089.5806 "/>
    <s v=" 65.0508 "/>
    <x v="0"/>
    <n v="526234"/>
    <m/>
    <m/>
  </r>
  <r>
    <x v="6"/>
    <x v="2"/>
    <s v="F:\Données chgh\2020-CHG-CZA-Saccharin-3\plaque 1/@06 EE2 171/C6_02.tif "/>
    <s v=" 13086.0863 "/>
    <s v=" 65.6281 "/>
    <x v="0"/>
    <n v="858815"/>
    <m/>
    <m/>
  </r>
  <r>
    <x v="6"/>
    <x v="2"/>
    <s v="F:\Données chgh\2020-CHG-CZA-Saccharin-3\plaque 1/@06 EE2 171/C6_03.tif "/>
    <s v=" 11571.9936 "/>
    <s v=" 64.7028 "/>
    <x v="0"/>
    <n v="748740"/>
    <m/>
    <m/>
  </r>
  <r>
    <x v="6"/>
    <x v="3"/>
    <s v="F:\Données chgh\2020-CHG-CZA-Saccharin-3\plaque 1/@06 EE2 171/D6_01.tif "/>
    <s v=" 55177.8612 "/>
    <s v=" 73.1399 "/>
    <x v="0"/>
    <n v="4035706"/>
    <m/>
    <m/>
  </r>
  <r>
    <x v="6"/>
    <x v="3"/>
    <s v="F:\Données chgh\2020-CHG-CZA-Saccharin-3\plaque 1/@06 EE2 171/D6_02.tif "/>
    <s v=" 38457.9527 "/>
    <s v=" 72.1445 "/>
    <x v="0"/>
    <n v="2774531"/>
    <m/>
    <m/>
  </r>
  <r>
    <x v="6"/>
    <x v="3"/>
    <s v="F:\Données chgh\2020-CHG-CZA-Saccharin-3\plaque 1/@06 EE2 171/D6_03.tif "/>
    <s v=" 39582.7072 "/>
    <s v=" 68.6164 "/>
    <x v="0"/>
    <n v="2716023"/>
    <m/>
    <m/>
  </r>
  <r>
    <x v="6"/>
    <x v="4"/>
    <s v="F:\Données chgh\2020-CHG-CZA-Saccharin-3\plaque 1/@06 EE2 171/E6_01.tif "/>
    <s v=" 37138.5291 "/>
    <s v=" 69.7595 "/>
    <x v="0"/>
    <n v="2590764"/>
    <m/>
    <m/>
  </r>
  <r>
    <x v="6"/>
    <x v="4"/>
    <s v="F:\Données chgh\2020-CHG-CZA-Saccharin-3\plaque 1/@06 EE2 171/E6_02.tif "/>
    <s v=" 42935.3408 "/>
    <s v=" 73.5305 "/>
    <x v="0"/>
    <n v="3157056"/>
    <m/>
    <m/>
  </r>
  <r>
    <x v="6"/>
    <x v="4"/>
    <s v="F:\Données chgh\2020-CHG-CZA-Saccharin-3\plaque 1/@06 EE2 171/E6_03.tif "/>
    <s v=" 20180.6917 "/>
    <s v=" 66.2572 "/>
    <x v="0"/>
    <n v="1337117"/>
    <m/>
    <m/>
  </r>
  <r>
    <x v="6"/>
    <x v="5"/>
    <s v="F:\Données chgh\2020-CHG-CZA-Saccharin-3\plaque 1/@06 EE2 171/F6_01.tif "/>
    <s v=" 17693.2538 "/>
    <s v=" 66.555 "/>
    <x v="0"/>
    <n v="1177575"/>
    <m/>
    <m/>
  </r>
  <r>
    <x v="6"/>
    <x v="5"/>
    <s v="F:\Données chgh\2020-CHG-CZA-Saccharin-3\plaque 1/@06 EE2 171/F6_02.tif "/>
    <s v=" 18493.5599 "/>
    <s v=" 66.9532 "/>
    <x v="0"/>
    <n v="1238203"/>
    <m/>
    <m/>
  </r>
  <r>
    <x v="6"/>
    <x v="5"/>
    <s v="F:\Données chgh\2020-CHG-CZA-Saccharin-3\plaque 1/@06 EE2 171/F6_03.tif "/>
    <s v=" 21867.8235 "/>
    <s v=" 68.3333 "/>
    <x v="0"/>
    <n v="1494301"/>
    <m/>
    <m/>
  </r>
  <r>
    <x v="6"/>
    <x v="6"/>
    <s v="F:\Données chgh\2020-CHG-CZA-Saccharin-3\plaque 1/@06 EE2 171/G6_01.tif "/>
    <s v=" 34045.4541 "/>
    <s v=" 70.5229 "/>
    <x v="0"/>
    <n v="2400983"/>
    <m/>
    <m/>
  </r>
  <r>
    <x v="6"/>
    <x v="6"/>
    <s v="F:\Données chgh\2020-CHG-CZA-Saccharin-3\plaque 1/@06 EE2 171/G6_02.tif "/>
    <s v=" 36727.5611 "/>
    <s v=" 71.3416 "/>
    <x v="0"/>
    <n v="2620202"/>
    <m/>
    <m/>
  </r>
  <r>
    <x v="6"/>
    <x v="6"/>
    <s v="F:\Données chgh\2020-CHG-CZA-Saccharin-3\plaque 1/@06 EE2 171/G6_03.tif "/>
    <s v=" 32985.5893 "/>
    <s v=" 69.5718 "/>
    <x v="0"/>
    <n v="2294867"/>
    <m/>
    <m/>
  </r>
  <r>
    <x v="6"/>
    <x v="7"/>
    <s v="F:\Données chgh\2020-CHG-CZA-Saccharin-3\plaque 1/@06 EE2 171/H6_01.tif "/>
    <s v=" 52149.676 "/>
    <s v=" 77.8129 "/>
    <x v="0"/>
    <n v="4057920"/>
    <m/>
    <m/>
  </r>
  <r>
    <x v="6"/>
    <x v="7"/>
    <s v="F:\Données chgh\2020-CHG-CZA-Saccharin-3\plaque 1/@06 EE2 171/H6_02.tif "/>
    <s v=" 50311.1349 "/>
    <s v=" 78.8753 "/>
    <x v="0"/>
    <n v="3968307"/>
    <m/>
    <m/>
  </r>
  <r>
    <x v="6"/>
    <x v="7"/>
    <s v="F:\Données chgh\2020-CHG-CZA-Saccharin-3\plaque 1/@06 EE2 171/H6_03.tif "/>
    <s v=" 49727.1278 "/>
    <s v=" 77.7386 "/>
    <x v="0"/>
    <n v="3865716"/>
    <m/>
    <m/>
  </r>
  <r>
    <x v="1"/>
    <x v="8"/>
    <s v=" "/>
    <m/>
    <m/>
    <x v="1"/>
    <m/>
    <m/>
    <m/>
  </r>
  <r>
    <x v="1"/>
    <x v="8"/>
    <s v="group "/>
    <s v=" "/>
    <s v=" mean of mean fluo "/>
    <x v="2"/>
    <s v=" mean of total fluo "/>
    <s v=" SD total fluo "/>
    <s v=" n fluorescent "/>
  </r>
  <r>
    <x v="6"/>
    <x v="9"/>
    <s v="F:\Données chgh\2020-CHG-CZA-Saccharin-3\plaque 1/@06 EE2 171/ "/>
    <s v=" "/>
    <s v=" 70.043 "/>
    <x v="8"/>
    <s v=" 2333538.5 "/>
    <s v=" 1098733.6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Saccharin-3\plaque 1/@07 EE2 488/A7_01.tif "/>
    <s v=" 57319.2208 "/>
    <s v=" 89.263 "/>
    <x v="0"/>
    <n v="5116487"/>
    <m/>
    <m/>
  </r>
  <r>
    <x v="7"/>
    <x v="0"/>
    <s v="F:\Données chgh\2020-CHG-CZA-Saccharin-3\plaque 1/@07 EE2 488/A7_02.tif "/>
    <s v=" 46525.9033 "/>
    <s v=" 86.855 "/>
    <x v="0"/>
    <n v="4041005"/>
    <m/>
    <m/>
  </r>
  <r>
    <x v="7"/>
    <x v="0"/>
    <s v="F:\Données chgh\2020-CHG-CZA-Saccharin-3\plaque 1/@07 EE2 488/A7_03.tif "/>
    <s v=" 58054.6372 "/>
    <s v=" 79.1785 "/>
    <x v="0"/>
    <n v="4596677"/>
    <m/>
    <m/>
  </r>
  <r>
    <x v="7"/>
    <x v="1"/>
    <s v="F:\Données chgh\2020-CHG-CZA-Saccharin-3\plaque 1/@07 EE2 488/B7_01.tif "/>
    <s v=" 54117.9964 "/>
    <s v=" 83.8797 "/>
    <x v="0"/>
    <n v="4539401"/>
    <m/>
    <m/>
  </r>
  <r>
    <x v="7"/>
    <x v="1"/>
    <s v="F:\Données chgh\2020-CHG-CZA-Saccharin-3\plaque 1/@07 EE2 488/B7_02.tif "/>
    <s v=" 54658.7437 "/>
    <s v=" 84.9577 "/>
    <x v="0"/>
    <n v="4643679"/>
    <m/>
    <m/>
  </r>
  <r>
    <x v="7"/>
    <x v="1"/>
    <s v="F:\Données chgh\2020-CHG-CZA-Saccharin-3\plaque 1/@07 EE2 488/B7_03.tif "/>
    <s v=" 51565.6688 "/>
    <s v=" 85.5067 "/>
    <x v="0"/>
    <n v="4409211"/>
    <m/>
    <m/>
  </r>
  <r>
    <x v="7"/>
    <x v="2"/>
    <s v="F:\Données chgh\2020-CHG-CZA-Saccharin-3\plaque 1/@07 EE2 488/C7_01.tif "/>
    <s v=" 69475.2215 "/>
    <s v=" 94.2366 "/>
    <x v="0"/>
    <n v="6547110"/>
    <m/>
    <m/>
  </r>
  <r>
    <x v="7"/>
    <x v="2"/>
    <s v="F:\Données chgh\2020-CHG-CZA-Saccharin-3\plaque 1/@07 EE2 488/C7_02.tif "/>
    <s v=" 60931.4132 "/>
    <s v=" 95.7316 "/>
    <x v="0"/>
    <n v="5833063"/>
    <m/>
    <m/>
  </r>
  <r>
    <x v="7"/>
    <x v="2"/>
    <s v="F:\Données chgh\2020-CHG-CZA-Saccharin-3\plaque 1/@07 EE2 488/C7_03.tif "/>
    <s v=" 67442.0115 "/>
    <s v=" 94.1078 "/>
    <x v="0"/>
    <n v="6346817"/>
    <m/>
    <m/>
  </r>
  <r>
    <x v="7"/>
    <x v="3"/>
    <s v="F:\Données chgh\2020-CHG-CZA-Saccharin-3\plaque 1/@07 EE2 488/D7_01.tif "/>
    <s v=" 64348.9365 "/>
    <s v=" 83.7029 "/>
    <x v="0"/>
    <n v="5386190"/>
    <m/>
    <m/>
  </r>
  <r>
    <x v="7"/>
    <x v="3"/>
    <s v="F:\Données chgh\2020-CHG-CZA-Saccharin-3\plaque 1/@07 EE2 488/D7_02.tif "/>
    <s v=" 52841.8326 "/>
    <s v=" 94.4306 "/>
    <x v="0"/>
    <n v="4989887"/>
    <m/>
    <m/>
  </r>
  <r>
    <x v="7"/>
    <x v="3"/>
    <s v="F:\Données chgh\2020-CHG-CZA-Saccharin-3\plaque 1/@07 EE2 488/D7_03.tif "/>
    <s v=" 56043.057 "/>
    <s v=" 91.144 "/>
    <x v="0"/>
    <n v="5107986"/>
    <m/>
    <m/>
  </r>
  <r>
    <x v="7"/>
    <x v="4"/>
    <s v="F:\Données chgh\2020-CHG-CZA-Saccharin-3\plaque 1/@07 EE2 488/E7_01.tif "/>
    <s v=" 46439.3838 "/>
    <s v=" 87.9842 "/>
    <x v="0"/>
    <n v="4085930"/>
    <m/>
    <m/>
  </r>
  <r>
    <x v="7"/>
    <x v="4"/>
    <s v="F:\Données chgh\2020-CHG-CZA-Saccharin-3\plaque 1/@07 EE2 488/E7_02- exclu.tif"/>
    <m/>
    <m/>
    <x v="1"/>
    <m/>
    <m/>
    <m/>
  </r>
  <r>
    <x v="7"/>
    <x v="4"/>
    <s v="F:\Données chgh\2020-CHG-CZA-Saccharin-3\plaque 1/@07 EE2 488/E7_03.tif "/>
    <s v=" 43000.2305 "/>
    <s v=" 89.5201 "/>
    <x v="0"/>
    <n v="3849386"/>
    <m/>
    <m/>
  </r>
  <r>
    <x v="7"/>
    <x v="5"/>
    <s v="F:\Données chgh\2020-CHG-CZA-Saccharin-3\plaque 1/@07 EE2 488/F7_01.tif "/>
    <s v=" 67939.499 "/>
    <s v=" 85.4909 "/>
    <x v="0"/>
    <n v="5808211"/>
    <m/>
    <m/>
  </r>
  <r>
    <x v="7"/>
    <x v="5"/>
    <s v="F:\Données chgh\2020-CHG-CZA-Saccharin-3\plaque 1/@07 EE2 488/F7_02.tif "/>
    <s v=" 67117.563 "/>
    <s v=" 87.9755 "/>
    <x v="0"/>
    <n v="5904702"/>
    <m/>
    <m/>
  </r>
  <r>
    <x v="7"/>
    <x v="5"/>
    <s v="F:\Données chgh\2020-CHG-CZA-Saccharin-3\plaque 1/@07 EE2 488/F7_03.tif "/>
    <s v=" 53988.217 "/>
    <s v=" 86.2744 "/>
    <x v="0"/>
    <n v="4657803"/>
    <m/>
    <m/>
  </r>
  <r>
    <x v="7"/>
    <x v="6"/>
    <s v="F:\Données chgh\2020-CHG-CZA-Saccharin-3\plaque 1/@07 EE2 488/G7_01.tif "/>
    <s v=" 80506.4678 "/>
    <s v=" 98.1018 "/>
    <x v="0"/>
    <n v="7897832"/>
    <m/>
    <m/>
  </r>
  <r>
    <x v="7"/>
    <x v="6"/>
    <s v="F:\Données chgh\2020-CHG-CZA-Saccharin-3\plaque 1/@07 EE2 488/G7_02.tif "/>
    <s v=" 79598.0122 "/>
    <s v=" 97.7454 "/>
    <x v="0"/>
    <n v="7780338"/>
    <m/>
    <m/>
  </r>
  <r>
    <x v="7"/>
    <x v="6"/>
    <s v="F:\Données chgh\2020-CHG-CZA-Saccharin-3\plaque 1/@07 EE2 488/G7_03.tif "/>
    <s v=" 69778.0401 "/>
    <s v=" 100.5719 "/>
    <x v="0"/>
    <n v="7017711"/>
    <m/>
    <m/>
  </r>
  <r>
    <x v="7"/>
    <x v="7"/>
    <s v="F:\Données chgh\2020-CHG-CZA-Saccharin-3\plaque 1/@07 EE2 488/H7_01.tif "/>
    <s v=" 43000.2305 "/>
    <s v=" 88.917 "/>
    <x v="0"/>
    <n v="3823452"/>
    <m/>
    <m/>
  </r>
  <r>
    <x v="7"/>
    <x v="7"/>
    <s v="F:\Données chgh\2020-CHG-CZA-Saccharin-3\plaque 1/@07 EE2 488/H7_02.tif "/>
    <s v=" 42848.8213 "/>
    <s v=" 90.371 "/>
    <x v="0"/>
    <n v="3872292"/>
    <m/>
    <m/>
  </r>
  <r>
    <x v="7"/>
    <x v="7"/>
    <s v="F:\Données chgh\2020-CHG-CZA-Saccharin-3\plaque 1/@07 EE2 488/H7_03.tif "/>
    <s v=" 42848.8213 "/>
    <s v=" 89.9197 "/>
    <x v="0"/>
    <n v="3852955"/>
    <m/>
    <m/>
  </r>
  <r>
    <x v="1"/>
    <x v="8"/>
    <s v=" "/>
    <m/>
    <m/>
    <x v="1"/>
    <m/>
    <m/>
    <m/>
  </r>
  <r>
    <x v="1"/>
    <x v="8"/>
    <s v="group "/>
    <s v=" "/>
    <s v=" mean of mean fluo "/>
    <x v="2"/>
    <s v=" mean of total fluo "/>
    <s v=" SD total fluo "/>
    <s v=" n fluorescent "/>
  </r>
  <r>
    <x v="7"/>
    <x v="9"/>
    <s v="F:\Données chgh\2020-CHG-CZA-Saccharin-3\plaque 1/@07 EE2 488/ "/>
    <s v=" "/>
    <s v=" 89.7535 "/>
    <x v="9"/>
    <s v=" 5095777.04 "/>
    <s v=" 1358359.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Saccharin-3\plaque 1/@08 Saccharin 0,01/A8_01.tif "/>
    <s v=" 8846.6269 "/>
    <s v=" 70.8191 "/>
    <x v="0"/>
    <n v="626510"/>
    <m/>
    <m/>
  </r>
  <r>
    <x v="8"/>
    <x v="0"/>
    <s v="F:\Données chgh\2020-CHG-CZA-Saccharin-3\plaque 1/@08 Saccharin 0,01/A8_02.tif "/>
    <s v=" 1124.7545 "/>
    <s v=" 64.6538 "/>
    <x v="0"/>
    <n v="72720"/>
    <m/>
    <m/>
  </r>
  <r>
    <x v="8"/>
    <x v="0"/>
    <s v="F:\Données chgh\2020-CHG-CZA-Saccharin-3\plaque 1/@08 Saccharin 0,01/A8_03.tif "/>
    <s v=" 540.7474 "/>
    <s v=" 62.76 "/>
    <x v="0"/>
    <n v="33937"/>
    <m/>
    <m/>
  </r>
  <r>
    <x v="8"/>
    <x v="1"/>
    <s v="F:\Données chgh\2020-CHG-CZA-Saccharin-3\plaque 1/@08 Saccharin 0,01/B8_01.tif "/>
    <s v=" 2465.808 "/>
    <s v=" 65.7719 "/>
    <x v="0"/>
    <n v="162181"/>
    <m/>
    <m/>
  </r>
  <r>
    <x v="8"/>
    <x v="1"/>
    <s v="F:\Données chgh\2020-CHG-CZA-Saccharin-3\plaque 1/@08 Saccharin 0,01/B8_02.tif "/>
    <s v=" 2530.6977 "/>
    <s v=" 65.8889 "/>
    <x v="0"/>
    <n v="166745"/>
    <m/>
    <m/>
  </r>
  <r>
    <x v="8"/>
    <x v="1"/>
    <s v="F:\Données chgh\2020-CHG-CZA-Saccharin-3\plaque 1/@08 Saccharin 0,01/B8_03.tif "/>
    <s v=" 562.3773 "/>
    <s v=" 63.5385 "/>
    <x v="0"/>
    <n v="35733"/>
    <m/>
    <m/>
  </r>
  <r>
    <x v="8"/>
    <x v="2"/>
    <s v="F:\Données chgh\2020-CHG-CZA-Saccharin-3\plaque 1/@08 Saccharin 0,01/C8_01.tif "/>
    <s v=" 2811.8863 "/>
    <s v=" 63.9846 "/>
    <x v="0"/>
    <n v="179917"/>
    <m/>
    <m/>
  </r>
  <r>
    <x v="8"/>
    <x v="2"/>
    <s v="F:\Données chgh\2020-CHG-CZA-Saccharin-3\plaque 1/@08 Saccharin 0,01/C8_02.tif "/>
    <s v=" 540.7474 "/>
    <s v=" 62.8 "/>
    <x v="0"/>
    <n v="33959"/>
    <m/>
    <m/>
  </r>
  <r>
    <x v="8"/>
    <x v="2"/>
    <s v="F:\Données chgh\2020-CHG-CZA-Saccharin-3\plaque 1/@08 Saccharin 0,01/C8_03.tif "/>
    <s v=" 800.3061 "/>
    <s v=" 63.2973 "/>
    <x v="0"/>
    <n v="50657"/>
    <m/>
    <m/>
  </r>
  <r>
    <x v="8"/>
    <x v="3"/>
    <s v="F:\Données chgh\2020-CHG-CZA-Saccharin-3\plaque 1/@08 Saccharin 0,01/D8_01.tif "/>
    <s v=" 6618.7478 "/>
    <s v=" 69.8399 "/>
    <x v="0"/>
    <n v="462252"/>
    <m/>
    <m/>
  </r>
  <r>
    <x v="8"/>
    <x v="3"/>
    <s v="F:\Données chgh\2020-CHG-CZA-Saccharin-3\plaque 1/@08 Saccharin 0,01/D8_02.tif "/>
    <s v=" 2703.7368 "/>
    <s v=" 66.936 "/>
    <x v="0"/>
    <n v="180977"/>
    <m/>
    <m/>
  </r>
  <r>
    <x v="8"/>
    <x v="3"/>
    <s v="F:\Données chgh\2020-CHG-CZA-Saccharin-3\plaque 1/@08 Saccharin 0,01/D8_03.tif "/>
    <s v=" 4369.2387 "/>
    <s v=" 64.2574 "/>
    <x v="0"/>
    <n v="280756"/>
    <m/>
    <m/>
  </r>
  <r>
    <x v="8"/>
    <x v="4"/>
    <s v="F:\Données chgh\2020-CHG-CZA-Saccharin-3\plaque 1/@08 Saccharin 0,01/E8_01.tif "/>
    <s v=" 3828.4913 "/>
    <s v=" 65.7175 "/>
    <x v="0"/>
    <n v="251599"/>
    <m/>
    <m/>
  </r>
  <r>
    <x v="8"/>
    <x v="4"/>
    <s v="F:\Données chgh\2020-CHG-CZA-Saccharin-3\plaque 1/@08 Saccharin 0,01/E8_02.tif "/>
    <s v=" 1146.3844 "/>
    <s v=" 63.0377 "/>
    <x v="0"/>
    <n v="72265"/>
    <m/>
    <m/>
  </r>
  <r>
    <x v="8"/>
    <x v="4"/>
    <s v="F:\Données chgh\2020-CHG-CZA-Saccharin-3\plaque 1/@08 Saccharin 0,01/E8_03.tif "/>
    <s v=" 778.6762 "/>
    <s v=" 63.6389 "/>
    <x v="0"/>
    <n v="49554"/>
    <m/>
    <m/>
  </r>
  <r>
    <x v="8"/>
    <x v="5"/>
    <s v="F:\Données chgh\2020-CHG-CZA-Saccharin-3\plaque 1/@08 Saccharin 0,01/F8_01.tif "/>
    <s v=" 1384.3133 "/>
    <s v=" 64.75 "/>
    <x v="0"/>
    <n v="89634"/>
    <m/>
    <m/>
  </r>
  <r>
    <x v="8"/>
    <x v="5"/>
    <s v="F:\Données chgh\2020-CHG-CZA-Saccharin-3\plaque 1/@08 Saccharin 0,01/F8_02.tif "/>
    <s v=" 1038.2349 "/>
    <s v=" 63.4375 "/>
    <x v="0"/>
    <n v="65863"/>
    <m/>
    <m/>
  </r>
  <r>
    <x v="8"/>
    <x v="5"/>
    <s v="F:\Données chgh\2020-CHG-CZA-Saccharin-3\plaque 1/@08 Saccharin 0,01/F8_03.tif "/>
    <s v=" 1103.1246 "/>
    <s v=" 64.3725 "/>
    <x v="0"/>
    <n v="71011"/>
    <m/>
    <m/>
  </r>
  <r>
    <x v="8"/>
    <x v="6"/>
    <s v="F:\Données chgh\2020-CHG-CZA-Saccharin-3\plaque 1/@08 Saccharin 0,01/G8_01.tif "/>
    <s v=" 8911.5166 "/>
    <s v=" 69.3277 "/>
    <x v="0"/>
    <n v="617815"/>
    <m/>
    <m/>
  </r>
  <r>
    <x v="8"/>
    <x v="6"/>
    <s v="F:\Données chgh\2020-CHG-CZA-Saccharin-3\plaque 1/@08 Saccharin 0,01/G8_02.tif "/>
    <s v=" 5126.285 "/>
    <s v=" 67.6371 "/>
    <x v="0"/>
    <n v="346727"/>
    <m/>
    <m/>
  </r>
  <r>
    <x v="8"/>
    <x v="6"/>
    <s v="F:\Données chgh\2020-CHG-CZA-Saccharin-3\plaque 1/@08 Saccharin 0,01/G8_03.tif "/>
    <s v=" 930.0855 "/>
    <s v=" 66.4651 "/>
    <x v="0"/>
    <n v="61818"/>
    <m/>
    <m/>
  </r>
  <r>
    <x v="8"/>
    <x v="7"/>
    <s v="F:\Données chgh\2020-CHG-CZA-Saccharin-3\plaque 1/@08 Saccharin 0,01/H8_01.tif "/>
    <s v=" 7354.1642 "/>
    <s v=" 73.5176 "/>
    <x v="0"/>
    <n v="540661"/>
    <m/>
    <m/>
  </r>
  <r>
    <x v="8"/>
    <x v="7"/>
    <s v="F:\Données chgh\2020-CHG-CZA-Saccharin-3\plaque 1/@08 Saccharin 0,01/H8_02.tif "/>
    <s v=" 5558.8829 "/>
    <s v=" 68.7393 "/>
    <x v="0"/>
    <n v="382114"/>
    <m/>
    <m/>
  </r>
  <r>
    <x v="8"/>
    <x v="7"/>
    <s v="F:\Données chgh\2020-CHG-CZA-Saccharin-3\plaque 1/@08 Saccharin 0,01/H8_03.tif "/>
    <s v=" 5948.221 "/>
    <s v=" 69.8945 "/>
    <x v="0"/>
    <n v="415748"/>
    <m/>
    <m/>
  </r>
  <r>
    <x v="1"/>
    <x v="8"/>
    <s v=" "/>
    <m/>
    <m/>
    <x v="1"/>
    <m/>
    <m/>
    <m/>
  </r>
  <r>
    <x v="1"/>
    <x v="8"/>
    <s v="group "/>
    <s v=" "/>
    <s v=" mean of mean fluo "/>
    <x v="2"/>
    <s v=" mean of total fluo "/>
    <s v=" SD total fluo "/>
    <s v=" n fluorescent "/>
  </r>
  <r>
    <x v="8"/>
    <x v="9"/>
    <s v="F:\Données chgh\2020-CHG-CZA-Saccharin-3\plaque 1/@08 Saccharin 0,01/ "/>
    <s v=" "/>
    <s v=" 66.0451 "/>
    <x v="10"/>
    <s v=" 218798.042 "/>
    <s v=" 194717.41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Saccharin-3\plaque 1/@09 Saccharin 0,1/A9_01.tif "/>
    <s v=" 670.5267 "/>
    <s v=" 62.3871 "/>
    <x v="0"/>
    <n v="41832"/>
    <m/>
    <m/>
  </r>
  <r>
    <x v="9"/>
    <x v="0"/>
    <s v="F:\Données chgh\2020-CHG-CZA-Saccharin-3\plaque 1/@09 Saccharin 0,1/A9_02.tif "/>
    <s v=" 1016.605 "/>
    <s v=" 63.8723 "/>
    <x v="0"/>
    <n v="64933"/>
    <m/>
    <m/>
  </r>
  <r>
    <x v="9"/>
    <x v="0"/>
    <s v="F:\Données chgh\2020-CHG-CZA-Saccharin-3\plaque 1/@09 Saccharin 0,1/A9_03.tif "/>
    <s v=" 584.0072 "/>
    <s v=" 62.1852 "/>
    <x v="0"/>
    <n v="36317"/>
    <m/>
    <m/>
  </r>
  <r>
    <x v="9"/>
    <x v="1"/>
    <s v="F:\Données chgh\2020-CHG-CZA-Saccharin-3\plaque 1/@09 Saccharin 0,1/B9_01.tif "/>
    <s v=" 367.7082 "/>
    <s v=" 62.7059 "/>
    <x v="0"/>
    <n v="23057"/>
    <m/>
    <m/>
  </r>
  <r>
    <x v="9"/>
    <x v="1"/>
    <s v="F:\Données chgh\2020-CHG-CZA-Saccharin-3\plaque 1/@09 Saccharin 0,1/B9_02.tif "/>
    <s v=" 605.637 "/>
    <s v=" 62.9286 "/>
    <x v="0"/>
    <n v="38112"/>
    <m/>
    <m/>
  </r>
  <r>
    <x v="9"/>
    <x v="1"/>
    <s v="F:\Données chgh\2020-CHG-CZA-Saccharin-3\plaque 1/@09 Saccharin 0,1/B9_03- exclu.tif"/>
    <m/>
    <m/>
    <x v="1"/>
    <m/>
    <m/>
    <m/>
  </r>
  <r>
    <x v="9"/>
    <x v="2"/>
    <s v="F:\Données chgh\2020-CHG-CZA-Saccharin-3\plaque 1/@09 Saccharin 0,1/C9_01.tif "/>
    <s v=" 1059.8648 "/>
    <s v=" 64.7959 "/>
    <x v="0"/>
    <n v="68675"/>
    <m/>
    <m/>
  </r>
  <r>
    <x v="9"/>
    <x v="2"/>
    <s v="F:\Données chgh\2020-CHG-CZA-Saccharin-3\plaque 1/@09 Saccharin 0,1/C9_02.tif "/>
    <s v=" 7072.9755 "/>
    <s v=" 69.3976 "/>
    <x v="0"/>
    <n v="490847"/>
    <m/>
    <m/>
  </r>
  <r>
    <x v="9"/>
    <x v="2"/>
    <s v="F:\Données chgh\2020-CHG-CZA-Saccharin-3\plaque 1/@09 Saccharin 0,1/C9_03.tif "/>
    <s v=" 1124.7545 "/>
    <s v=" 63.8077 "/>
    <x v="0"/>
    <n v="71768"/>
    <m/>
    <m/>
  </r>
  <r>
    <x v="9"/>
    <x v="3"/>
    <s v="F:\Données chgh\2020-CHG-CZA-Saccharin-3\plaque 1/@09 Saccharin 0,1/D9_01.tif "/>
    <s v=" 10706.7978 "/>
    <s v=" 66.3354 "/>
    <x v="0"/>
    <n v="710239"/>
    <m/>
    <m/>
  </r>
  <r>
    <x v="9"/>
    <x v="3"/>
    <s v="F:\Données chgh\2020-CHG-CZA-Saccharin-3\plaque 1/@09 Saccharin 0,1/D9_02.tif "/>
    <s v=" 9863.232 "/>
    <s v=" 66.364 "/>
    <x v="0"/>
    <n v="654564"/>
    <m/>
    <m/>
  </r>
  <r>
    <x v="9"/>
    <x v="3"/>
    <s v="F:\Données chgh\2020-CHG-CZA-Saccharin-3\plaque 1/@09 Saccharin 0,1/D9_03.tif "/>
    <s v=" 8132.8404 "/>
    <s v=" 65.9441 "/>
    <x v="0"/>
    <n v="536313"/>
    <m/>
    <m/>
  </r>
  <r>
    <x v="9"/>
    <x v="4"/>
    <s v="F:\Données chgh\2020-CHG-CZA-Saccharin-3\plaque 1/@09 Saccharin 0,1/E9_01.tif "/>
    <s v=" 129.7794 "/>
    <s v=" 64.1667 "/>
    <x v="0"/>
    <n v="8328"/>
    <m/>
    <m/>
  </r>
  <r>
    <x v="9"/>
    <x v="4"/>
    <s v="F:\Données chgh\2020-CHG-CZA-Saccharin-3\plaque 1/@09 Saccharin 0,1/E9_02.tif "/>
    <s v=" 216.2989 "/>
    <s v=" 61.5 "/>
    <x v="0"/>
    <n v="13302"/>
    <m/>
    <m/>
  </r>
  <r>
    <x v="9"/>
    <x v="4"/>
    <s v="F:\Données chgh\2020-CHG-CZA-Saccharin-3\plaque 1/@09 Saccharin 0,1/E9_03.tif "/>
    <s v=" 302.8185 "/>
    <s v=" 63.7857 "/>
    <x v="0"/>
    <n v="19315"/>
    <m/>
    <m/>
  </r>
  <r>
    <x v="9"/>
    <x v="5"/>
    <s v="F:\Données chgh\2020-CHG-CZA-Saccharin-3\plaque 1/@09 Saccharin 0,1/F9_01.tif "/>
    <s v=" 9495.5237 "/>
    <s v=" 74.1367 "/>
    <x v="0"/>
    <n v="703967"/>
    <m/>
    <m/>
  </r>
  <r>
    <x v="9"/>
    <x v="5"/>
    <s v="F:\Données chgh\2020-CHG-CZA-Saccharin-3\plaque 1/@09 Saccharin 0,1/F9_02.tif "/>
    <s v=" 7267.6446 "/>
    <s v=" 72.5506 "/>
    <x v="0"/>
    <n v="527272"/>
    <m/>
    <m/>
  </r>
  <r>
    <x v="9"/>
    <x v="5"/>
    <s v="F:\Données chgh\2020-CHG-CZA-Saccharin-3\plaque 1/@09 Saccharin 0,1/F9_03.tif "/>
    <s v=" 1059.8648 "/>
    <s v=" 62.3265 "/>
    <x v="0"/>
    <n v="66058"/>
    <m/>
    <m/>
  </r>
  <r>
    <x v="9"/>
    <x v="6"/>
    <s v="F:\Données chgh\2020-CHG-CZA-Saccharin-3\plaque 1/@09 Saccharin 0,1/G9_01.tif "/>
    <s v=" 4953.2459 "/>
    <s v=" 67.0218 "/>
    <x v="0"/>
    <n v="331976"/>
    <m/>
    <m/>
  </r>
  <r>
    <x v="9"/>
    <x v="6"/>
    <s v="F:\Données chgh\2020-CHG-CZA-Saccharin-3\plaque 1/@09 Saccharin 0,1/G9_02- exclu.tif"/>
    <m/>
    <m/>
    <x v="1"/>
    <m/>
    <m/>
    <m/>
  </r>
  <r>
    <x v="9"/>
    <x v="6"/>
    <s v="F:\Données chgh\2020-CHG-CZA-Saccharin-3\plaque 1/@09 Saccharin 0,1/G9_03.tif "/>
    <s v=" 843.5659 "/>
    <s v=" 63.1538 "/>
    <x v="0"/>
    <n v="53274"/>
    <m/>
    <m/>
  </r>
  <r>
    <x v="9"/>
    <x v="7"/>
    <s v="F:\Données chgh\2020-CHG-CZA-Saccharin-3\plaque 1/@09 Saccharin 0,1/H9_01- exclu.tif"/>
    <m/>
    <m/>
    <x v="1"/>
    <m/>
    <m/>
    <m/>
  </r>
  <r>
    <x v="9"/>
    <x v="7"/>
    <s v="F:\Données chgh\2020-CHG-CZA-Saccharin-3\plaque 1/@09 Saccharin 0,1/H9_02- exclu.tif"/>
    <m/>
    <m/>
    <x v="1"/>
    <m/>
    <m/>
    <m/>
  </r>
  <r>
    <x v="9"/>
    <x v="7"/>
    <s v="F:\Données chgh\2020-CHG-CZA-Saccharin-3\plaque 1/@09 Saccharin 0,1/H9_03- exclu.tif"/>
    <m/>
    <m/>
    <x v="1"/>
    <m/>
    <m/>
    <m/>
  </r>
  <r>
    <x v="1"/>
    <x v="8"/>
    <s v=" "/>
    <m/>
    <m/>
    <x v="1"/>
    <m/>
    <m/>
    <m/>
  </r>
  <r>
    <x v="1"/>
    <x v="8"/>
    <s v="group "/>
    <s v=" "/>
    <s v=" mean of mean fluo "/>
    <x v="2"/>
    <s v=" mean of total fluo "/>
    <s v=" SD total fluo "/>
    <s v=" n fluorescent "/>
  </r>
  <r>
    <x v="9"/>
    <x v="9"/>
    <s v="F:\Données chgh\2020-CHG-CZA-Saccharin-3\plaque 1/@09 Saccharin 0,1/ "/>
    <s v=" "/>
    <s v=" 65.9781 "/>
    <x v="11"/>
    <s v=" 263068.125 "/>
    <s v=" 279009.15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Saccharin-3\plaque 1/@10  Saccharin 1/A10_01.tif "/>
    <s v=" 1427.573 "/>
    <s v=" 63.9697 "/>
    <x v="0"/>
    <n v="91321"/>
    <m/>
    <m/>
  </r>
  <r>
    <x v="10"/>
    <x v="0"/>
    <s v="F:\Données chgh\2020-CHG-CZA-Saccharin-3\plaque 1/@10  Saccharin 1/A10_02.tif "/>
    <s v=" 584.0072 "/>
    <s v=" 63.2222 "/>
    <x v="0"/>
    <n v="36922"/>
    <m/>
    <m/>
  </r>
  <r>
    <x v="10"/>
    <x v="0"/>
    <s v="F:\Données chgh\2020-CHG-CZA-Saccharin-3\plaque 1/@10  Saccharin 1/A10_03.tif "/>
    <s v=" 43.2598 "/>
    <s v=" 62.5 "/>
    <x v="0"/>
    <n v="2704"/>
    <m/>
    <m/>
  </r>
  <r>
    <x v="10"/>
    <x v="1"/>
    <s v="F:\Données chgh\2020-CHG-CZA-Saccharin-3\plaque 1/@10  Saccharin 1/B10_01.tif "/>
    <s v=" 11550.3637 "/>
    <s v=" 75.7547 "/>
    <x v="0"/>
    <n v="874994"/>
    <m/>
    <m/>
  </r>
  <r>
    <x v="10"/>
    <x v="1"/>
    <s v="F:\Données chgh\2020-CHG-CZA-Saccharin-3\plaque 1/@10  Saccharin 1/B10_02.tif "/>
    <s v=" 346.0783 "/>
    <s v=" 63.375 "/>
    <x v="0"/>
    <n v="21933"/>
    <m/>
    <m/>
  </r>
  <r>
    <x v="10"/>
    <x v="1"/>
    <s v="F:\Données chgh\2020-CHG-CZA-Saccharin-3\plaque 1/@10  Saccharin 1/B10_03.tif "/>
    <s v=" 173.0392 "/>
    <n v="65"/>
    <x v="0"/>
    <n v="11248"/>
    <m/>
    <m/>
  </r>
  <r>
    <x v="10"/>
    <x v="2"/>
    <s v="F:\Données chgh\2020-CHG-CZA-Saccharin-3\plaque 1/@10  Saccharin 1/C10_01- exclu.tif"/>
    <m/>
    <m/>
    <x v="1"/>
    <m/>
    <m/>
    <m/>
  </r>
  <r>
    <x v="10"/>
    <x v="2"/>
    <s v="F:\Données chgh\2020-CHG-CZA-Saccharin-3\plaque 1/@10  Saccharin 1/C10_02.tif "/>
    <s v=" 4499.0181 "/>
    <s v=" 68.3558 "/>
    <x v="0"/>
    <n v="307534"/>
    <m/>
    <m/>
  </r>
  <r>
    <x v="10"/>
    <x v="2"/>
    <s v="F:\Données chgh\2020-CHG-CZA-Saccharin-3\plaque 1/@10  Saccharin 1/C10_03.tif "/>
    <s v=" 930.0855 "/>
    <s v=" 62.1163 "/>
    <x v="0"/>
    <n v="57773"/>
    <m/>
    <m/>
  </r>
  <r>
    <x v="10"/>
    <x v="3"/>
    <s v="F:\Données chgh\2020-CHG-CZA-Saccharin-3\plaque 1/@10  Saccharin 1/D10_01.tif "/>
    <s v=" 5407.4737 "/>
    <s v=" 65.392 "/>
    <x v="0"/>
    <n v="353606"/>
    <m/>
    <m/>
  </r>
  <r>
    <x v="10"/>
    <x v="3"/>
    <s v="F:\Données chgh\2020-CHG-CZA-Saccharin-3\plaque 1/@10  Saccharin 1/D10_02.tif "/>
    <s v=" 865.1958 "/>
    <s v=" 62.8 "/>
    <x v="0"/>
    <n v="54334"/>
    <m/>
    <m/>
  </r>
  <r>
    <x v="10"/>
    <x v="3"/>
    <s v="F:\Données chgh\2020-CHG-CZA-Saccharin-3\plaque 1/@10  Saccharin 1/D10_03.tif "/>
    <s v=" 821.936 "/>
    <s v=" 63.5789 "/>
    <x v="0"/>
    <n v="52258"/>
    <m/>
    <m/>
  </r>
  <r>
    <x v="10"/>
    <x v="4"/>
    <s v="F:\Données chgh\2020-CHG-CZA-Saccharin-3\plaque 1/@10  Saccharin 1/E10_01.tif "/>
    <s v=" 454.2278 "/>
    <s v=" 63.5714 "/>
    <x v="0"/>
    <n v="28876"/>
    <m/>
    <m/>
  </r>
  <r>
    <x v="10"/>
    <x v="4"/>
    <s v="F:\Données chgh\2020-CHG-CZA-Saccharin-3\plaque 1/@10  Saccharin 1/E10_02.tif "/>
    <s v=" 194.6691 "/>
    <n v="67"/>
    <x v="0"/>
    <n v="13043"/>
    <m/>
    <m/>
  </r>
  <r>
    <x v="10"/>
    <x v="4"/>
    <s v="F:\Données chgh\2020-CHG-CZA-Saccharin-3\plaque 1/@10  Saccharin 1/E10_03.tif "/>
    <s v=" 129.7794 "/>
    <s v=" 62.3333 "/>
    <x v="0"/>
    <n v="8090"/>
    <m/>
    <m/>
  </r>
  <r>
    <x v="10"/>
    <x v="5"/>
    <s v="F:\Données chgh\2020-CHG-CZA-Saccharin-3\plaque 1/@10  Saccharin 1/F10_01.tif "/>
    <s v=" 389.3381 "/>
    <s v=" 63.2222 "/>
    <x v="0"/>
    <n v="24615"/>
    <m/>
    <m/>
  </r>
  <r>
    <x v="10"/>
    <x v="5"/>
    <s v="F:\Données chgh\2020-CHG-CZA-Saccharin-3\plaque 1/@10  Saccharin 1/F10_02.tif "/>
    <s v=" 6835.0467 "/>
    <s v=" 69.9715 "/>
    <x v="0"/>
    <n v="478259"/>
    <m/>
    <m/>
  </r>
  <r>
    <x v="10"/>
    <x v="5"/>
    <s v="F:\Données chgh\2020-CHG-CZA-Saccharin-3\plaque 1/@10  Saccharin 1/F10_03.tif "/>
    <s v=" 519.1175 "/>
    <s v=" 64.75 "/>
    <x v="0"/>
    <n v="33613"/>
    <m/>
    <m/>
  </r>
  <r>
    <x v="10"/>
    <x v="6"/>
    <s v="F:\Données chgh\2020-CHG-CZA-Saccharin-3\plaque 1/@10  Saccharin 1/G10_01.tif "/>
    <s v=" 4455.7583 "/>
    <s v=" 71.3932 "/>
    <x v="0"/>
    <n v="318111"/>
    <m/>
    <m/>
  </r>
  <r>
    <x v="10"/>
    <x v="6"/>
    <s v="F:\Données chgh\2020-CHG-CZA-Saccharin-3\plaque 1/@10  Saccharin 1/G10_02.tif "/>
    <s v=" 1622.2421 "/>
    <s v=" 63.56 "/>
    <x v="0"/>
    <n v="103110"/>
    <m/>
    <m/>
  </r>
  <r>
    <x v="10"/>
    <x v="6"/>
    <s v="F:\Données chgh\2020-CHG-CZA-Saccharin-3\plaque 1/@10  Saccharin 1/G10_03.tif "/>
    <s v=" 7029.7158 "/>
    <s v=" 68.2923 "/>
    <x v="0"/>
    <n v="480076"/>
    <m/>
    <m/>
  </r>
  <r>
    <x v="10"/>
    <x v="7"/>
    <s v="F:\Données chgh\2020-CHG-CZA-Saccharin-3\plaque 1/@10  Saccharin 1/H10_01.tif "/>
    <s v=" 1124.7545 "/>
    <s v=" 63.5 "/>
    <x v="0"/>
    <n v="71422"/>
    <m/>
    <m/>
  </r>
  <r>
    <x v="10"/>
    <x v="7"/>
    <s v="F:\Données chgh\2020-CHG-CZA-Saccharin-3\plaque 1/@10  Saccharin 1/H10_02.tif "/>
    <s v=" 432.5979 "/>
    <n v="62"/>
    <x v="0"/>
    <n v="26821"/>
    <m/>
    <m/>
  </r>
  <r>
    <x v="10"/>
    <x v="7"/>
    <s v="F:\Données chgh\2020-CHG-CZA-Saccharin-3\plaque 1/@10  Saccharin 1/H10_03.tif "/>
    <s v=" 410.968 "/>
    <s v=" 63.5263 "/>
    <x v="0"/>
    <n v="26107"/>
    <m/>
    <m/>
  </r>
  <r>
    <x v="1"/>
    <x v="8"/>
    <s v=" "/>
    <m/>
    <m/>
    <x v="1"/>
    <m/>
    <m/>
    <m/>
  </r>
  <r>
    <x v="1"/>
    <x v="8"/>
    <s v="group "/>
    <s v=" "/>
    <s v=" mean of mean fluo "/>
    <x v="2"/>
    <s v=" mean of total fluo "/>
    <s v=" SD total fluo "/>
    <s v=" n fluorescent "/>
  </r>
  <r>
    <x v="10"/>
    <x v="9"/>
    <s v="F:\Données chgh\2020-CHG-CZA-Saccharin-3\plaque 1/@10  Saccharin 1/ "/>
    <s v=" "/>
    <s v=" 65.0445 "/>
    <x v="12"/>
    <s v=" 145813.542 "/>
    <s v=" 216206.93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Saccharin-3\plaque 1/@11 Saccharin 10/A11_01.tif "/>
    <s v=" 3633.8223 "/>
    <s v=" 65.625 "/>
    <x v="0"/>
    <n v="238470"/>
    <m/>
    <m/>
  </r>
  <r>
    <x v="11"/>
    <x v="0"/>
    <s v="F:\Données chgh\2020-CHG-CZA-Saccharin-3\plaque 1/@11 Saccharin 10/A11_02.tif "/>
    <s v=" 4542.2779 "/>
    <s v=" 69.7429 "/>
    <x v="0"/>
    <n v="316791"/>
    <m/>
    <m/>
  </r>
  <r>
    <x v="11"/>
    <x v="0"/>
    <s v="F:\Données chgh\2020-CHG-CZA-Saccharin-3\plaque 1/@11 Saccharin 10/A11_03.tif "/>
    <s v=" 432.5979 "/>
    <s v=" 62.1 "/>
    <x v="0"/>
    <n v="26864"/>
    <m/>
    <m/>
  </r>
  <r>
    <x v="11"/>
    <x v="1"/>
    <s v="F:\Données chgh\2020-CHG-CZA-Saccharin-3\plaque 1/@11 Saccharin 10/B11_01.tif "/>
    <s v=" 10944.7267 "/>
    <s v=" 65.1285 "/>
    <x v="0"/>
    <n v="712813"/>
    <m/>
    <m/>
  </r>
  <r>
    <x v="11"/>
    <x v="1"/>
    <s v="F:\Données chgh\2020-CHG-CZA-Saccharin-3\plaque 1/@11 Saccharin 10/B11_02.tif "/>
    <s v=" 540.7474 "/>
    <s v=" 64.44 "/>
    <x v="0"/>
    <n v="34846"/>
    <m/>
    <m/>
  </r>
  <r>
    <x v="11"/>
    <x v="1"/>
    <s v="F:\Données chgh\2020-CHG-CZA-Saccharin-3\plaque 1/@11 Saccharin 10/B11_03.tif "/>
    <s v=" 951.7154 "/>
    <s v=" 62.7727 "/>
    <x v="0"/>
    <n v="59742"/>
    <m/>
    <m/>
  </r>
  <r>
    <x v="11"/>
    <x v="2"/>
    <s v="F:\Données chgh\2020-CHG-CZA-Saccharin-3\plaque 1/@11 Saccharin 10/C11_01- exclu.tif"/>
    <m/>
    <m/>
    <x v="1"/>
    <m/>
    <m/>
    <m/>
  </r>
  <r>
    <x v="11"/>
    <x v="2"/>
    <s v="F:\Données chgh\2020-CHG-CZA-Saccharin-3\plaque 1/@11 Saccharin 10/C11_02.tif "/>
    <s v=" 605.637 "/>
    <s v=" 65.0357 "/>
    <x v="0"/>
    <n v="39388"/>
    <m/>
    <m/>
  </r>
  <r>
    <x v="11"/>
    <x v="2"/>
    <s v="F:\Données chgh\2020-CHG-CZA-Saccharin-3\plaque 1/@11 Saccharin 10/C11_03.tif "/>
    <s v=" 410.968 "/>
    <s v=" 62.8421 "/>
    <x v="0"/>
    <n v="25826"/>
    <m/>
    <m/>
  </r>
  <r>
    <x v="11"/>
    <x v="3"/>
    <s v="F:\Données chgh\2020-CHG-CZA-Saccharin-3\plaque 1/@11 Saccharin 10/D11_01.tif "/>
    <s v=" 3482.413 "/>
    <s v=" 63.5528 "/>
    <x v="0"/>
    <n v="221317"/>
    <m/>
    <m/>
  </r>
  <r>
    <x v="11"/>
    <x v="3"/>
    <s v="F:\Données chgh\2020-CHG-CZA-Saccharin-3\plaque 1/@11 Saccharin 10/D11_02.tif "/>
    <s v=" 1449.2029 "/>
    <s v=" 63.597 "/>
    <x v="0"/>
    <n v="92165"/>
    <m/>
    <m/>
  </r>
  <r>
    <x v="11"/>
    <x v="3"/>
    <s v="F:\Données chgh\2020-CHG-CZA-Saccharin-3\plaque 1/@11 Saccharin 10/D11_03.tif "/>
    <s v=" 1211.2741 "/>
    <s v=" 62.7143 "/>
    <x v="0"/>
    <n v="75964"/>
    <m/>
    <m/>
  </r>
  <r>
    <x v="11"/>
    <x v="4"/>
    <s v="F:\Données chgh\2020-CHG-CZA-Saccharin-3\plaque 1/@11 Saccharin 10/E11_01.tif "/>
    <s v=" 8197.7301 "/>
    <s v=" 70.3694 "/>
    <x v="0"/>
    <n v="576869"/>
    <m/>
    <m/>
  </r>
  <r>
    <x v="11"/>
    <x v="4"/>
    <s v="F:\Données chgh\2020-CHG-CZA-Saccharin-3\plaque 1/@11 Saccharin 10/E11_02.tif "/>
    <s v=" 7721.8724 "/>
    <s v=" 72.6779 "/>
    <x v="0"/>
    <n v="561209"/>
    <m/>
    <m/>
  </r>
  <r>
    <x v="11"/>
    <x v="4"/>
    <s v="F:\Données chgh\2020-CHG-CZA-Saccharin-3\plaque 1/@11 Saccharin 10/E11_03.tif "/>
    <s v=" 2227.8791 "/>
    <s v=" 65.7282 "/>
    <x v="0"/>
    <n v="146434"/>
    <m/>
    <m/>
  </r>
  <r>
    <x v="11"/>
    <x v="5"/>
    <s v="F:\Données chgh\2020-CHG-CZA-Saccharin-3\plaque 1/@11 Saccharin 10/F11_01.tif "/>
    <s v=" 692.1566 "/>
    <s v=" 62.5 "/>
    <x v="0"/>
    <n v="43260"/>
    <m/>
    <m/>
  </r>
  <r>
    <x v="11"/>
    <x v="5"/>
    <s v="F:\Données chgh\2020-CHG-CZA-Saccharin-3\plaque 1/@11 Saccharin 10/F11_02- exclu.tif"/>
    <m/>
    <m/>
    <x v="1"/>
    <m/>
    <m/>
    <m/>
  </r>
  <r>
    <x v="11"/>
    <x v="5"/>
    <s v="F:\Données chgh\2020-CHG-CZA-Saccharin-3\plaque 1/@11 Saccharin 10/F11_03.tif "/>
    <s v=" 2141.3596 "/>
    <s v=" 66.5354 "/>
    <x v="0"/>
    <n v="142476"/>
    <m/>
    <m/>
  </r>
  <r>
    <x v="11"/>
    <x v="6"/>
    <s v="F:\Données chgh\2020-CHG-CZA-Saccharin-3\plaque 1/@11 Saccharin 10/G11_01.tif "/>
    <s v=" 10836.5772 "/>
    <s v=" 72.5888 "/>
    <x v="0"/>
    <n v="786614"/>
    <m/>
    <m/>
  </r>
  <r>
    <x v="11"/>
    <x v="6"/>
    <s v="F:\Données chgh\2020-CHG-CZA-Saccharin-3\plaque 1/@11 Saccharin 10/G11_02.tif "/>
    <s v=" 2963.2956 "/>
    <s v=" 67.5693 "/>
    <x v="0"/>
    <n v="200228"/>
    <m/>
    <m/>
  </r>
  <r>
    <x v="11"/>
    <x v="6"/>
    <s v="F:\Données chgh\2020-CHG-CZA-Saccharin-3\plaque 1/@11 Saccharin 10/G11_03.tif "/>
    <s v=" 1232.904 "/>
    <s v=" 64.8421 "/>
    <x v="0"/>
    <n v="79944"/>
    <m/>
    <m/>
  </r>
  <r>
    <x v="11"/>
    <x v="7"/>
    <s v="F:\Données chgh\2020-CHG-CZA-Saccharin-3\plaque 1/@11 Saccharin 10/H11_01.tif "/>
    <s v=" 1665.5019 "/>
    <s v=" 63.7403 "/>
    <x v="0"/>
    <n v="106160"/>
    <m/>
    <m/>
  </r>
  <r>
    <x v="11"/>
    <x v="7"/>
    <s v="F:\Données chgh\2020-CHG-CZA-Saccharin-3\plaque 1/@11 Saccharin 10/H11_02.tif "/>
    <s v=" 281.1886 "/>
    <s v=" 62.5385 "/>
    <x v="0"/>
    <n v="17585"/>
    <m/>
    <m/>
  </r>
  <r>
    <x v="11"/>
    <x v="7"/>
    <s v="F:\Données chgh\2020-CHG-CZA-Saccharin-3\plaque 1/@11 Saccharin 10/H11_03.tif "/>
    <s v=" 151.4093 "/>
    <s v=" 62.8571 "/>
    <x v="0"/>
    <n v="9517"/>
    <m/>
    <m/>
  </r>
  <r>
    <x v="1"/>
    <x v="8"/>
    <s v=" "/>
    <m/>
    <m/>
    <x v="1"/>
    <m/>
    <m/>
    <m/>
  </r>
  <r>
    <x v="1"/>
    <x v="8"/>
    <s v="group "/>
    <s v=" "/>
    <s v=" mean of mean fluo "/>
    <x v="2"/>
    <s v=" mean of total fluo "/>
    <s v=" SD total fluo "/>
    <s v=" n fluorescent "/>
  </r>
  <r>
    <x v="11"/>
    <x v="9"/>
    <s v="F:\Données chgh\2020-CHG-CZA-Saccharin-3\plaque 1/@11 Saccharin 10/ "/>
    <s v=" "/>
    <s v=" 66.2738 "/>
    <x v="13"/>
    <s v=" 238573.208 "/>
    <s v=" 280235.93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Saccharin-3\plaque 1/@12  Saccharin 100/A12_01.tif "/>
    <s v=" 3028.1852 "/>
    <s v=" 65.0214 "/>
    <x v="0"/>
    <n v="196897"/>
    <m/>
    <m/>
  </r>
  <r>
    <x v="12"/>
    <x v="0"/>
    <s v="F:\Données chgh\2020-CHG-CZA-Saccharin-3\plaque 1/@12  Saccharin 100/A12_02.tif "/>
    <s v=" 3049.8151 "/>
    <s v=" 65.9149 "/>
    <x v="0"/>
    <n v="201028"/>
    <m/>
    <m/>
  </r>
  <r>
    <x v="12"/>
    <x v="0"/>
    <s v="F:\Données chgh\2020-CHG-CZA-Saccharin-3\plaque 1/@12  Saccharin 100/A12_03.tif "/>
    <s v=" 2876.776 "/>
    <s v=" 65.3835 "/>
    <x v="0"/>
    <n v="188094"/>
    <m/>
    <m/>
  </r>
  <r>
    <x v="12"/>
    <x v="1"/>
    <s v="F:\Données chgh\2020-CHG-CZA-Saccharin-3\plaque 1/@12  Saccharin 100/B12_01.tif "/>
    <s v=" 259.5587 "/>
    <s v=" 63.5 "/>
    <x v="0"/>
    <n v="16482"/>
    <m/>
    <m/>
  </r>
  <r>
    <x v="12"/>
    <x v="1"/>
    <s v="F:\Données chgh\2020-CHG-CZA-Saccharin-3\plaque 1/@12  Saccharin 100/B12_02.tif "/>
    <s v=" 194.6691 "/>
    <s v=" 63.1111 "/>
    <x v="0"/>
    <n v="12286"/>
    <m/>
    <m/>
  </r>
  <r>
    <x v="12"/>
    <x v="1"/>
    <s v="F:\Données chgh\2020-CHG-CZA-Saccharin-3\plaque 1/@12  Saccharin 100/B12_03.tif "/>
    <s v=" 367.7082 "/>
    <s v=" 63.7647 "/>
    <x v="0"/>
    <n v="23447"/>
    <m/>
    <m/>
  </r>
  <r>
    <x v="12"/>
    <x v="2"/>
    <s v="F:\Données chgh\2020-CHG-CZA-Saccharin-3\plaque 1/@12  Saccharin 100/C12_01.tif "/>
    <s v=" 5018.1356 "/>
    <s v=" 69.9957 "/>
    <x v="0"/>
    <n v="351248"/>
    <m/>
    <m/>
  </r>
  <r>
    <x v="12"/>
    <x v="2"/>
    <s v="F:\Données chgh\2020-CHG-CZA-Saccharin-3\plaque 1/@12  Saccharin 100/C12_02.tif "/>
    <s v=" 4455.7583 "/>
    <s v=" 70.0388 "/>
    <x v="0"/>
    <n v="312076"/>
    <m/>
    <m/>
  </r>
  <r>
    <x v="12"/>
    <x v="2"/>
    <s v="F:\Données chgh\2020-CHG-CZA-Saccharin-3\plaque 1/@12  Saccharin 100/C12_03.tif "/>
    <s v=" 389.3381 "/>
    <s v=" 65.7222 "/>
    <x v="0"/>
    <n v="25588"/>
    <m/>
    <m/>
  </r>
  <r>
    <x v="12"/>
    <x v="3"/>
    <s v="F:\Données chgh\2020-CHG-CZA-Saccharin-3\plaque 1/@12  Saccharin 100/D12_01.tif "/>
    <s v=" 3006.5554 "/>
    <s v=" 65.6043 "/>
    <x v="0"/>
    <n v="197243"/>
    <m/>
    <m/>
  </r>
  <r>
    <x v="12"/>
    <x v="3"/>
    <s v="F:\Données chgh\2020-CHG-CZA-Saccharin-3\plaque 1/@12  Saccharin 100/D12_02.tif "/>
    <s v=" 1730.3916 "/>
    <s v=" 63.8875 "/>
    <x v="0"/>
    <n v="110550"/>
    <m/>
    <m/>
  </r>
  <r>
    <x v="12"/>
    <x v="3"/>
    <s v="F:\Données chgh\2020-CHG-CZA-Saccharin-3\plaque 1/@12  Saccharin 100/D12_03- exclu.tif"/>
    <m/>
    <m/>
    <x v="1"/>
    <m/>
    <m/>
    <m/>
  </r>
  <r>
    <x v="12"/>
    <x v="4"/>
    <s v="F:\Données chgh\2020-CHG-CZA-Saccharin-3\plaque 1/@12  Saccharin 100/E12_01.tif "/>
    <s v=" 8176.1002 "/>
    <s v=" 70.8889 "/>
    <x v="0"/>
    <n v="579595"/>
    <m/>
    <m/>
  </r>
  <r>
    <x v="12"/>
    <x v="4"/>
    <s v="F:\Données chgh\2020-CHG-CZA-Saccharin-3\plaque 1/@12  Saccharin 100/E12_02.tif "/>
    <s v=" 1384.3133 "/>
    <s v=" 64.5156 "/>
    <x v="0"/>
    <n v="89310"/>
    <m/>
    <m/>
  </r>
  <r>
    <x v="12"/>
    <x v="4"/>
    <s v="F:\Données chgh\2020-CHG-CZA-Saccharin-3\plaque 1/@12  Saccharin 100/E12_03.tif "/>
    <s v=" 2119.7297 "/>
    <s v=" 65.7143 "/>
    <x v="0"/>
    <n v="139297"/>
    <m/>
    <m/>
  </r>
  <r>
    <x v="12"/>
    <x v="5"/>
    <s v="F:\Données chgh\2020-CHG-CZA-Saccharin-3\plaque 1/@12  Saccharin 100/F12_01.tif "/>
    <s v=" 886.8257 "/>
    <s v=" 63.9268 "/>
    <x v="0"/>
    <n v="56692"/>
    <m/>
    <m/>
  </r>
  <r>
    <x v="12"/>
    <x v="5"/>
    <s v="F:\Données chgh\2020-CHG-CZA-Saccharin-3\plaque 1/@12  Saccharin 100/F12_02.tif "/>
    <s v=" 2336.0286 "/>
    <s v=" 65.1852 "/>
    <x v="0"/>
    <n v="152274"/>
    <m/>
    <m/>
  </r>
  <r>
    <x v="12"/>
    <x v="5"/>
    <s v="F:\Données chgh\2020-CHG-CZA-Saccharin-3\plaque 1/@12  Saccharin 100/F12_03.tif "/>
    <s v=" 302.8185 "/>
    <s v=" 63.1429 "/>
    <x v="0"/>
    <n v="19121"/>
    <m/>
    <m/>
  </r>
  <r>
    <x v="12"/>
    <x v="6"/>
    <s v="F:\Données chgh\2020-CHG-CZA-Saccharin-3\plaque 1/@12  Saccharin 100/G12_01.tif "/>
    <s v=" 346.0783 "/>
    <s v=" 62.6875 "/>
    <x v="0"/>
    <n v="21695"/>
    <m/>
    <m/>
  </r>
  <r>
    <x v="12"/>
    <x v="6"/>
    <s v="F:\Données chgh\2020-CHG-CZA-Saccharin-3\plaque 1/@12  Saccharin 100/G12_02.tif "/>
    <s v=" 108.1495 "/>
    <s v=" 62.6 "/>
    <x v="0"/>
    <n v="6770"/>
    <m/>
    <m/>
  </r>
  <r>
    <x v="12"/>
    <x v="6"/>
    <s v="F:\Données chgh\2020-CHG-CZA-Saccharin-3\plaque 1/@12  Saccharin 100/G12_03.tif "/>
    <s v=" 151.4093 "/>
    <n v="65"/>
    <x v="0"/>
    <n v="9842"/>
    <m/>
    <m/>
  </r>
  <r>
    <x v="12"/>
    <x v="7"/>
    <s v="F:\Données chgh\2020-CHG-CZA-Saccharin-3\plaque 1/@12  Saccharin 100/H12_01.tif "/>
    <s v=" 12740.0079 "/>
    <s v=" 83.4686 "/>
    <x v="0"/>
    <n v="1063391"/>
    <m/>
    <m/>
  </r>
  <r>
    <x v="12"/>
    <x v="7"/>
    <s v="F:\Données chgh\2020-CHG-CZA-Saccharin-3\plaque 1/@12  Saccharin 100/H12_02.tif "/>
    <s v=" 9841.6021 "/>
    <s v=" 65.1824 "/>
    <x v="0"/>
    <n v="641499"/>
    <m/>
    <m/>
  </r>
  <r>
    <x v="12"/>
    <x v="7"/>
    <s v="F:\Données chgh\2020-CHG-CZA-Saccharin-3\plaque 1/@12  Saccharin 100/H12_03.tif "/>
    <s v=" 3720.3419 "/>
    <s v=" 64.7151 "/>
    <x v="0"/>
    <n v="240762"/>
    <m/>
    <m/>
  </r>
  <r>
    <x v="1"/>
    <x v="8"/>
    <s v=" "/>
    <m/>
    <m/>
    <x v="1"/>
    <m/>
    <m/>
    <m/>
  </r>
  <r>
    <x v="1"/>
    <x v="8"/>
    <s v="group "/>
    <s v=" "/>
    <s v=" mean of mean fluo "/>
    <x v="2"/>
    <s v=" mean of total fluo "/>
    <s v=" SD total fluo "/>
    <s v=" n fluorescent "/>
  </r>
  <r>
    <x v="12"/>
    <x v="9"/>
    <s v="F:\Données chgh\2020-CHG-CZA-Saccharin-3\plaque 1/@12  Saccharin 100/ "/>
    <s v=" "/>
    <s v=" 65.9519 "/>
    <x v="14"/>
    <s v=" 194426.667 "/>
    <s v=" 252976.9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Saccharin-3\plaque 2/@13 Testo 30/A1_01.tif "/>
    <s v=" 605.637 "/>
    <s v=" 62.1429 "/>
    <x v="0"/>
    <n v="37636"/>
    <m/>
    <m/>
  </r>
  <r>
    <x v="13"/>
    <x v="0"/>
    <s v="F:\Données chgh\2020-CHG-CZA-Saccharin-3\plaque 2/@13 Testo 30/A1_02- exclu.tif"/>
    <m/>
    <m/>
    <x v="1"/>
    <m/>
    <m/>
    <m/>
  </r>
  <r>
    <x v="13"/>
    <x v="0"/>
    <s v="F:\Données chgh\2020-CHG-CZA-Saccharin-3\plaque 2/@13 Testo 30/A1_03.tif "/>
    <s v=" 5147.9149 "/>
    <s v=" 67.2563 "/>
    <x v="0"/>
    <n v="346230"/>
    <m/>
    <m/>
  </r>
  <r>
    <x v="13"/>
    <x v="1"/>
    <s v="F:\Données chgh\2020-CHG-CZA-Saccharin-3\plaque 2/@13 Testo 30/B1_01.tif "/>
    <s v=" 2660.477 "/>
    <s v=" 63.6098 "/>
    <x v="0"/>
    <n v="169232"/>
    <m/>
    <m/>
  </r>
  <r>
    <x v="13"/>
    <x v="1"/>
    <s v="F:\Données chgh\2020-CHG-CZA-Saccharin-3\plaque 2/@13 Testo 30/B1_02.tif "/>
    <s v=" 4801.8366 "/>
    <s v=" 64.4009 "/>
    <x v="0"/>
    <n v="309243"/>
    <m/>
    <m/>
  </r>
  <r>
    <x v="13"/>
    <x v="1"/>
    <s v="F:\Données chgh\2020-CHG-CZA-Saccharin-3\plaque 2/@13 Testo 30/B1_03.tif "/>
    <s v=" 497.4876 "/>
    <s v=" 61.8696 "/>
    <x v="0"/>
    <n v="30779"/>
    <m/>
    <m/>
  </r>
  <r>
    <x v="13"/>
    <x v="2"/>
    <s v="F:\Données chgh\2020-CHG-CZA-Saccharin-3\plaque 2/@13 Testo 30/C1_01- exclu.tif"/>
    <m/>
    <m/>
    <x v="1"/>
    <m/>
    <m/>
    <m/>
  </r>
  <r>
    <x v="13"/>
    <x v="2"/>
    <s v="F:\Données chgh\2020-CHG-CZA-Saccharin-3\plaque 2/@13 Testo 30/C1_02- exclu.tif"/>
    <m/>
    <m/>
    <x v="1"/>
    <m/>
    <m/>
    <m/>
  </r>
  <r>
    <x v="13"/>
    <x v="2"/>
    <s v="F:\Données chgh\2020-CHG-CZA-Saccharin-3\plaque 2/@13 Testo 30/C1_03- exclu.tif"/>
    <m/>
    <m/>
    <x v="1"/>
    <m/>
    <m/>
    <m/>
  </r>
  <r>
    <x v="13"/>
    <x v="3"/>
    <s v="F:\Données chgh\2020-CHG-CZA-Saccharin-3\plaque 2/@13 Testo 30/D1_01.tif "/>
    <s v=" 5710.2922 "/>
    <s v=" 64.8371 "/>
    <x v="0"/>
    <n v="370239"/>
    <m/>
    <m/>
  </r>
  <r>
    <x v="13"/>
    <x v="3"/>
    <s v="F:\Données chgh\2020-CHG-CZA-Saccharin-3\plaque 2/@13 Testo 30/D1_02- exclu.tif"/>
    <m/>
    <m/>
    <x v="1"/>
    <m/>
    <m/>
    <m/>
  </r>
  <r>
    <x v="13"/>
    <x v="3"/>
    <s v="F:\Données chgh\2020-CHG-CZA-Saccharin-3\plaque 2/@13 Testo 30/D1_03- exclu.tif"/>
    <m/>
    <m/>
    <x v="1"/>
    <m/>
    <m/>
    <m/>
  </r>
  <r>
    <x v="13"/>
    <x v="4"/>
    <s v="F:\Données chgh\2020-CHG-CZA-Saccharin-3\plaque 2/@13 Testo 30/E1_01.tif "/>
    <s v=" 34283.383 "/>
    <s v=" 68.5748 "/>
    <x v="0"/>
    <n v="2350975"/>
    <m/>
    <m/>
  </r>
  <r>
    <x v="13"/>
    <x v="4"/>
    <s v="F:\Données chgh\2020-CHG-CZA-Saccharin-3\plaque 2/@13 Testo 30/E1_02.tif "/>
    <s v=" 35624.4365 "/>
    <s v=" 68.5082 "/>
    <x v="0"/>
    <n v="2440566"/>
    <m/>
    <m/>
  </r>
  <r>
    <x v="13"/>
    <x v="4"/>
    <s v="F:\Données chgh\2020-CHG-CZA-Saccharin-3\plaque 2/@13 Testo 30/E1_03.tif "/>
    <s v=" 36403.1127 "/>
    <s v=" 70.7421 "/>
    <x v="0"/>
    <n v="2575234"/>
    <m/>
    <m/>
  </r>
  <r>
    <x v="13"/>
    <x v="5"/>
    <s v="F:\Données chgh\2020-CHG-CZA-Saccharin-3\plaque 2/@13 Testo 30/F1_01.tif "/>
    <s v=" 61493.7904 "/>
    <s v=" 76.5248 "/>
    <x v="0"/>
    <n v="4705800"/>
    <m/>
    <m/>
  </r>
  <r>
    <x v="13"/>
    <x v="5"/>
    <s v="F:\Données chgh\2020-CHG-CZA-Saccharin-3\plaque 2/@13 Testo 30/F1_02- exclu.tif"/>
    <m/>
    <m/>
    <x v="1"/>
    <m/>
    <m/>
    <m/>
  </r>
  <r>
    <x v="13"/>
    <x v="5"/>
    <s v="F:\Données chgh\2020-CHG-CZA-Saccharin-3\plaque 2/@13 Testo 30/F1_03.tif "/>
    <s v=" 58119.5269 "/>
    <s v=" 73.7451 "/>
    <x v="0"/>
    <n v="4286029"/>
    <m/>
    <m/>
  </r>
  <r>
    <x v="13"/>
    <x v="6"/>
    <s v="F:\Données chgh\2020-CHG-CZA-Saccharin-3\plaque 2/@13 Testo 30/G1_01.tif "/>
    <s v=" 43216.5295 "/>
    <s v=" 70.8669 "/>
    <x v="0"/>
    <n v="3062620"/>
    <m/>
    <m/>
  </r>
  <r>
    <x v="13"/>
    <x v="6"/>
    <s v="F:\Données chgh\2020-CHG-CZA-Saccharin-3\plaque 2/@13 Testo 30/G1_02.tif "/>
    <s v=" 41810.5863 "/>
    <s v=" 71.4542 "/>
    <x v="0"/>
    <n v="2987543"/>
    <m/>
    <m/>
  </r>
  <r>
    <x v="13"/>
    <x v="6"/>
    <s v="F:\Données chgh\2020-CHG-CZA-Saccharin-3\plaque 2/@13 Testo 30/G1_03.tif "/>
    <s v=" 41983.6255 "/>
    <s v=" 71.5641 "/>
    <x v="0"/>
    <n v="3004522"/>
    <m/>
    <m/>
  </r>
  <r>
    <x v="13"/>
    <x v="7"/>
    <s v="F:\Données chgh\2020-CHG-CZA-Saccharin-3\plaque 2/@13 Testo 30/H1_01.tif "/>
    <s v=" 3114.7048 "/>
    <s v=" 64.7431 "/>
    <x v="0"/>
    <n v="201656"/>
    <m/>
    <m/>
  </r>
  <r>
    <x v="13"/>
    <x v="7"/>
    <s v="F:\Données chgh\2020-CHG-CZA-Saccharin-3\plaque 2/@13 Testo 30/H1_02.tif "/>
    <s v=" 7224.3848 "/>
    <s v=" 68.1257 "/>
    <x v="0"/>
    <n v="492167"/>
    <m/>
    <m/>
  </r>
  <r>
    <x v="13"/>
    <x v="7"/>
    <s v="F:\Données chgh\2020-CHG-CZA-Saccharin-3\plaque 2/@13 Testo 30/H1_03.tif "/>
    <s v=" 2682.1069 "/>
    <s v=" 65.6129 "/>
    <x v="0"/>
    <n v="175981"/>
    <m/>
    <m/>
  </r>
  <r>
    <x v="1"/>
    <x v="8"/>
    <s v=" "/>
    <m/>
    <m/>
    <x v="1"/>
    <m/>
    <m/>
    <m/>
  </r>
  <r>
    <x v="1"/>
    <x v="8"/>
    <s v="group "/>
    <s v=" "/>
    <s v=" mean of mean fluo "/>
    <x v="2"/>
    <s v=" mean of total fluo "/>
    <s v=" SD total fluo "/>
    <s v=" n fluorescent "/>
  </r>
  <r>
    <x v="13"/>
    <x v="9"/>
    <s v="F:\Données chgh\2020-CHG-CZA-Saccharin-3\plaque 2/@13 Testo 30/ "/>
    <s v=" "/>
    <s v=" 66.8504 "/>
    <x v="15"/>
    <s v=" 1278923.54 "/>
    <s v=" 1547701.0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Saccharin-3\plaque 2/@14 Testo 30/A2_01.tif "/>
    <s v=" 58335.8258 "/>
    <s v=" 76.2903 "/>
    <x v="0"/>
    <n v="4450459"/>
    <m/>
    <m/>
  </r>
  <r>
    <x v="14"/>
    <x v="0"/>
    <s v="F:\Données chgh\2020-CHG-CZA-Saccharin-3\plaque 2/@14 Testo 30/A2_02.tif "/>
    <s v=" 58162.7867 "/>
    <s v=" 77.0175 "/>
    <x v="0"/>
    <n v="4479551"/>
    <m/>
    <m/>
  </r>
  <r>
    <x v="14"/>
    <x v="0"/>
    <s v="F:\Données chgh\2020-CHG-CZA-Saccharin-3\plaque 2/@14 Testo 30/A2_03.tif "/>
    <s v=" 55264.3808 "/>
    <s v=" 78.2266 "/>
    <x v="0"/>
    <n v="4323145"/>
    <m/>
    <m/>
  </r>
  <r>
    <x v="14"/>
    <x v="1"/>
    <s v="F:\Données chgh\2020-CHG-CZA-Saccharin-3\plaque 2/@14 Testo 30/B2_01.tif "/>
    <s v=" 66036.0683 "/>
    <s v=" 74.4641 "/>
    <x v="0"/>
    <n v="4917319"/>
    <m/>
    <m/>
  </r>
  <r>
    <x v="14"/>
    <x v="1"/>
    <s v="F:\Données chgh\2020-CHG-CZA-Saccharin-3\plaque 2/@14 Testo 30/B2_02.tif "/>
    <s v=" 60412.2957 "/>
    <s v=" 73.8031 "/>
    <x v="0"/>
    <n v="4458613"/>
    <m/>
    <m/>
  </r>
  <r>
    <x v="14"/>
    <x v="1"/>
    <s v="F:\Données chgh\2020-CHG-CZA-Saccharin-3\plaque 2/@14 Testo 30/B2_03.tif "/>
    <s v=" 57362.4806 "/>
    <s v=" 74.4012 "/>
    <x v="0"/>
    <n v="4267838"/>
    <m/>
    <m/>
  </r>
  <r>
    <x v="14"/>
    <x v="2"/>
    <s v="F:\Données chgh\2020-CHG-CZA-Saccharin-3\plaque 2/@14 Testo 30/C2_01- exclu.tif"/>
    <m/>
    <m/>
    <x v="1"/>
    <m/>
    <m/>
    <m/>
  </r>
  <r>
    <x v="14"/>
    <x v="2"/>
    <s v="F:\Données chgh\2020-CHG-CZA-Saccharin-3\plaque 2/@14 Testo 30/C2_02.tif "/>
    <s v=" 68999.3639 "/>
    <s v=" 74.3784 "/>
    <x v="0"/>
    <n v="5132060"/>
    <m/>
    <m/>
  </r>
  <r>
    <x v="14"/>
    <x v="2"/>
    <s v="F:\Données chgh\2020-CHG-CZA-Saccharin-3\plaque 2/@14 Testo 30/C2_03.tif "/>
    <s v=" 62402.246 "/>
    <s v=" 73.8253 "/>
    <x v="0"/>
    <n v="4606865"/>
    <m/>
    <m/>
  </r>
  <r>
    <x v="14"/>
    <x v="3"/>
    <s v="F:\Données chgh\2020-CHG-CZA-Saccharin-3\plaque 2/@14 Testo 30/D2_01.tif "/>
    <s v=" 35646.0663 "/>
    <s v=" 77.6377 "/>
    <x v="0"/>
    <n v="2767480"/>
    <m/>
    <m/>
  </r>
  <r>
    <x v="14"/>
    <x v="3"/>
    <s v="F:\Données chgh\2020-CHG-CZA-Saccharin-3\plaque 2/@14 Testo 30/D2_02- exclu.tif"/>
    <m/>
    <m/>
    <x v="1"/>
    <m/>
    <m/>
    <m/>
  </r>
  <r>
    <x v="14"/>
    <x v="3"/>
    <s v="F:\Données chgh\2020-CHG-CZA-Saccharin-3\plaque 2/@14 Testo 30/D2_03.tif "/>
    <s v=" 34521.3118 "/>
    <s v=" 75.9386 "/>
    <x v="0"/>
    <n v="2621500"/>
    <m/>
    <m/>
  </r>
  <r>
    <x v="14"/>
    <x v="4"/>
    <s v="F:\Données chgh\2020-CHG-CZA-Saccharin-3\plaque 2/@14 Testo 30/E2_01.tif "/>
    <s v=" 30065.5535 "/>
    <s v=" 70.1475 "/>
    <x v="0"/>
    <n v="2109023"/>
    <m/>
    <m/>
  </r>
  <r>
    <x v="14"/>
    <x v="4"/>
    <s v="F:\Données chgh\2020-CHG-CZA-Saccharin-3\plaque 2/@14 Testo 30/E2_02.tif "/>
    <s v=" 22257.1616 "/>
    <s v=" 66.9534 "/>
    <x v="0"/>
    <n v="1490192"/>
    <m/>
    <m/>
  </r>
  <r>
    <x v="14"/>
    <x v="4"/>
    <s v="F:\Données chgh\2020-CHG-CZA-Saccharin-3\plaque 2/@14 Testo 30/E2_03.tif "/>
    <s v=" 25782.8344 "/>
    <s v=" 68.557 "/>
    <x v="0"/>
    <n v="1767595"/>
    <m/>
    <m/>
  </r>
  <r>
    <x v="14"/>
    <x v="5"/>
    <s v="F:\Données chgh\2020-CHG-CZA-Saccharin-3\plaque 2/@14 Testo 30/F2_01.tif "/>
    <s v=" 42091.7749 "/>
    <s v=" 78.2189 "/>
    <x v="0"/>
    <n v="3292373"/>
    <m/>
    <m/>
  </r>
  <r>
    <x v="14"/>
    <x v="5"/>
    <s v="F:\Données chgh\2020-CHG-CZA-Saccharin-3\plaque 2/@14 Testo 30/F2_02.tif "/>
    <s v=" 42329.7038 "/>
    <s v=" 77.4502 "/>
    <x v="0"/>
    <n v="3278443"/>
    <m/>
    <m/>
  </r>
  <r>
    <x v="14"/>
    <x v="5"/>
    <s v="F:\Données chgh\2020-CHG-CZA-Saccharin-3\plaque 2/@14 Testo 30/F2_03.tif "/>
    <s v=" 38782.4011 "/>
    <s v=" 77.1785 "/>
    <x v="0"/>
    <n v="2993166"/>
    <m/>
    <m/>
  </r>
  <r>
    <x v="14"/>
    <x v="6"/>
    <s v="F:\Données chgh\2020-CHG-CZA-Saccharin-3\plaque 2/@14 Testo 30/G2_01.tif "/>
    <s v=" 46612.4229 "/>
    <s v=" 77.4074 "/>
    <x v="0"/>
    <n v="3608148"/>
    <m/>
    <m/>
  </r>
  <r>
    <x v="14"/>
    <x v="6"/>
    <s v="F:\Données chgh\2020-CHG-CZA-Saccharin-3\plaque 2/@14 Testo 30/G2_02.tif "/>
    <s v=" 44708.9922 "/>
    <s v=" 75.2458 "/>
    <x v="0"/>
    <n v="3364162"/>
    <m/>
    <m/>
  </r>
  <r>
    <x v="14"/>
    <x v="6"/>
    <s v="F:\Données chgh\2020-CHG-CZA-Saccharin-3\plaque 2/@14 Testo 30/G2_03.tif "/>
    <s v=" 47045.0208 "/>
    <s v=" 75.5743 "/>
    <x v="0"/>
    <n v="3555392"/>
    <m/>
    <m/>
  </r>
  <r>
    <x v="14"/>
    <x v="7"/>
    <s v="F:\Données chgh\2020-CHG-CZA-Saccharin-3\plaque 2/@14 Testo 30/H2_01.tif "/>
    <s v=" 45617.4478 "/>
    <s v=" 70.9554 "/>
    <x v="0"/>
    <n v="3236806"/>
    <m/>
    <m/>
  </r>
  <r>
    <x v="14"/>
    <x v="7"/>
    <s v="F:\Données chgh\2020-CHG-CZA-Saccharin-3\plaque 2/@14 Testo 30/H2_02.tif "/>
    <s v=" 42048.5152 "/>
    <s v=" 71.053 "/>
    <x v="0"/>
    <n v="2987672"/>
    <m/>
    <m/>
  </r>
  <r>
    <x v="14"/>
    <x v="7"/>
    <s v="F:\Données chgh\2020-CHG-CZA-Saccharin-3\plaque 2/@14 Testo 30/H2_03.tif "/>
    <s v=" 46785.4621 "/>
    <s v=" 72.1239 "/>
    <x v="0"/>
    <n v="3374350"/>
    <m/>
    <m/>
  </r>
  <r>
    <x v="1"/>
    <x v="8"/>
    <s v=" "/>
    <m/>
    <m/>
    <x v="1"/>
    <m/>
    <m/>
    <m/>
  </r>
  <r>
    <x v="1"/>
    <x v="8"/>
    <s v="group "/>
    <s v=" "/>
    <s v=" mean of mean fluo "/>
    <x v="2"/>
    <s v=" mean of total fluo "/>
    <s v=" SD total fluo "/>
    <s v=" n fluorescent "/>
  </r>
  <r>
    <x v="14"/>
    <x v="9"/>
    <s v="F:\Données chgh\2020-CHG-CZA-Saccharin-3\plaque 2/@14 Testo 30/ "/>
    <s v=" "/>
    <s v=" 74.1832 "/>
    <x v="16"/>
    <s v=" 3402400.42 "/>
    <s v=" 1112129.6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Saccharin-3\plaque 2/@15 Testo + EE2/A3_01.tif "/>
    <s v=" 60780.0039 "/>
    <s v=" 83.1954 "/>
    <x v="0"/>
    <n v="5056615"/>
    <m/>
    <m/>
  </r>
  <r>
    <x v="15"/>
    <x v="0"/>
    <s v="F:\Données chgh\2020-CHG-CZA-Saccharin-3\plaque 2/@15 Testo + EE2/A3_02.tif "/>
    <s v=" 54074.7366 "/>
    <s v=" 87.2432 "/>
    <x v="0"/>
    <n v="4717653"/>
    <m/>
    <m/>
  </r>
  <r>
    <x v="15"/>
    <x v="0"/>
    <s v="F:\Données chgh\2020-CHG-CZA-Saccharin-3\plaque 2/@15 Testo + EE2/A3_03.tif "/>
    <s v=" 53663.7686 "/>
    <s v=" 84.4772 "/>
    <x v="0"/>
    <n v="4533366"/>
    <m/>
    <m/>
  </r>
  <r>
    <x v="15"/>
    <x v="1"/>
    <s v="F:\Données chgh\2020-CHG-CZA-Saccharin-3\plaque 2/@15 Testo + EE2/B3_01.tif "/>
    <s v=" 48645.633 "/>
    <s v=" 83.5091 "/>
    <x v="0"/>
    <n v="4062354"/>
    <m/>
    <m/>
  </r>
  <r>
    <x v="15"/>
    <x v="1"/>
    <s v="F:\Données chgh\2020-CHG-CZA-Saccharin-3\plaque 2/@15 Testo + EE2/B3_02.tif "/>
    <s v=" 50181.3555 "/>
    <s v=" 81.3586 "/>
    <x v="0"/>
    <n v="4082686"/>
    <m/>
    <m/>
  </r>
  <r>
    <x v="15"/>
    <x v="1"/>
    <s v="F:\Données chgh\2020-CHG-CZA-Saccharin-3\plaque 2/@15 Testo + EE2/B3_03.tif "/>
    <s v=" 52971.6119 "/>
    <s v=" 80.4692 "/>
    <x v="0"/>
    <n v="4262582"/>
    <m/>
    <m/>
  </r>
  <r>
    <x v="15"/>
    <x v="2"/>
    <s v="F:\Données chgh\2020-CHG-CZA-Saccharin-3\plaque 2/@15 Testo + EE2/C3_01.tif "/>
    <s v=" 54464.0747 "/>
    <s v=" 75.9293 "/>
    <x v="0"/>
    <n v="4135420"/>
    <m/>
    <m/>
  </r>
  <r>
    <x v="15"/>
    <x v="2"/>
    <s v="F:\Données chgh\2020-CHG-CZA-Saccharin-3\plaque 2/@15 Testo + EE2/C3_02.tif "/>
    <s v=" 50808.6225 "/>
    <s v=" 73.3657 "/>
    <x v="0"/>
    <n v="3727610"/>
    <m/>
    <m/>
  </r>
  <r>
    <x v="15"/>
    <x v="2"/>
    <s v="F:\Données chgh\2020-CHG-CZA-Saccharin-3\plaque 2/@15 Testo + EE2/C3_03.tif "/>
    <s v=" 50722.1029 "/>
    <s v=" 73.7518 "/>
    <x v="0"/>
    <n v="3740847"/>
    <m/>
    <m/>
  </r>
  <r>
    <x v="15"/>
    <x v="3"/>
    <s v="F:\Données chgh\2020-CHG-CZA-Saccharin-3\plaque 2/@15 Testo + EE2/D3_01.tif "/>
    <s v=" 42783.9316 "/>
    <s v=" 84.9095 "/>
    <x v="0"/>
    <n v="3632762"/>
    <m/>
    <m/>
  </r>
  <r>
    <x v="15"/>
    <x v="3"/>
    <s v="F:\Données chgh\2020-CHG-CZA-Saccharin-3\plaque 2/@15 Testo + EE2/D3_02.tif "/>
    <s v=" 42546.0027 "/>
    <s v=" 86.6274 "/>
    <x v="0"/>
    <n v="3685648"/>
    <m/>
    <m/>
  </r>
  <r>
    <x v="15"/>
    <x v="3"/>
    <s v="F:\Données chgh\2020-CHG-CZA-Saccharin-3\plaque 2/@15 Testo + EE2/D3_03.tif "/>
    <s v=" 46352.8642 "/>
    <s v=" 81.0089 "/>
    <x v="0"/>
    <n v="3754993"/>
    <m/>
    <m/>
  </r>
  <r>
    <x v="15"/>
    <x v="4"/>
    <s v="F:\Données chgh\2020-CHG-CZA-Saccharin-3\plaque 2/@15 Testo + EE2/E3_01.tif "/>
    <s v=" 48256.2949 "/>
    <s v=" 74.684 "/>
    <x v="0"/>
    <n v="3603973"/>
    <m/>
    <m/>
  </r>
  <r>
    <x v="15"/>
    <x v="4"/>
    <s v="F:\Données chgh\2020-CHG-CZA-Saccharin-3\plaque 2/@15 Testo + EE2/E3_02.tif "/>
    <s v=" 43303.049 "/>
    <s v=" 77.2423 "/>
    <x v="0"/>
    <n v="3344825"/>
    <m/>
    <m/>
  </r>
  <r>
    <x v="15"/>
    <x v="4"/>
    <s v="F:\Données chgh\2020-CHG-CZA-Saccharin-3\plaque 2/@15 Testo + EE2/E3_03.tif "/>
    <s v=" 41572.6575 "/>
    <s v=" 75.782 "/>
    <x v="0"/>
    <n v="3150459"/>
    <m/>
    <m/>
  </r>
  <r>
    <x v="15"/>
    <x v="5"/>
    <s v="F:\Données chgh\2020-CHG-CZA-Saccharin-3\plaque 2/@15 Testo + EE2/F3_01.tif "/>
    <s v=" 85113.6354 "/>
    <s v=" 89.491 "/>
    <x v="0"/>
    <n v="7616903"/>
    <m/>
    <m/>
  </r>
  <r>
    <x v="15"/>
    <x v="5"/>
    <s v="F:\Données chgh\2020-CHG-CZA-Saccharin-3\plaque 2/@15 Testo + EE2/F3_02.tif "/>
    <s v=" 85849.0518 "/>
    <s v=" 86.5896 "/>
    <x v="0"/>
    <n v="7433632"/>
    <m/>
    <m/>
  </r>
  <r>
    <x v="15"/>
    <x v="5"/>
    <s v="F:\Données chgh\2020-CHG-CZA-Saccharin-3\plaque 2/@15 Testo + EE2/F3_03.tif "/>
    <s v=" 84248.4396 "/>
    <s v=" 85.9571 "/>
    <x v="0"/>
    <n v="7241754"/>
    <m/>
    <m/>
  </r>
  <r>
    <x v="15"/>
    <x v="6"/>
    <s v="F:\Données chgh\2020-CHG-CZA-Saccharin-3\plaque 2/@15 Testo + EE2/G3_01.tif "/>
    <s v=" 57924.8578 "/>
    <s v=" 78.2838 "/>
    <x v="0"/>
    <n v="4534578"/>
    <m/>
    <m/>
  </r>
  <r>
    <x v="15"/>
    <x v="6"/>
    <s v="F:\Données chgh\2020-CHG-CZA-Saccharin-3\plaque 2/@15 Testo + EE2/G3_02.tif "/>
    <s v=" 60953.0431 "/>
    <s v=" 77.813 "/>
    <x v="0"/>
    <n v="4742938"/>
    <m/>
    <m/>
  </r>
  <r>
    <x v="15"/>
    <x v="6"/>
    <s v="F:\Données chgh\2020-CHG-CZA-Saccharin-3\plaque 2/@15 Testo + EE2/G3_03.tif "/>
    <s v=" 49575.7185 "/>
    <s v=" 80.0275 "/>
    <x v="0"/>
    <n v="3967420"/>
    <m/>
    <m/>
  </r>
  <r>
    <x v="15"/>
    <x v="7"/>
    <s v="F:\Données chgh\2020-CHG-CZA-Saccharin-3\plaque 2/@15 Testo + EE2/H3_01.tif "/>
    <s v=" 27448.3363 "/>
    <s v=" 68.6068 "/>
    <x v="0"/>
    <n v="1883142"/>
    <m/>
    <m/>
  </r>
  <r>
    <x v="15"/>
    <x v="7"/>
    <s v="F:\Données chgh\2020-CHG-CZA-Saccharin-3\plaque 2/@15 Testo + EE2/H3_02.tif "/>
    <s v=" 17239.026 "/>
    <s v=" 68.1142 "/>
    <x v="0"/>
    <n v="1174222"/>
    <m/>
    <m/>
  </r>
  <r>
    <x v="15"/>
    <x v="7"/>
    <s v="F:\Données chgh\2020-CHG-CZA-Saccharin-3\plaque 2/@15 Testo + EE2/H3_03.tif "/>
    <s v=" 21500.1153 "/>
    <s v=" 69.0563 "/>
    <x v="0"/>
    <n v="1484719"/>
    <m/>
    <m/>
  </r>
  <r>
    <x v="1"/>
    <x v="8"/>
    <s v=" "/>
    <m/>
    <m/>
    <x v="1"/>
    <m/>
    <m/>
    <m/>
  </r>
  <r>
    <x v="1"/>
    <x v="8"/>
    <s v="group "/>
    <s v=" "/>
    <s v=" mean of mean fluo "/>
    <x v="2"/>
    <s v=" mean of total fluo "/>
    <s v=" SD total fluo "/>
    <s v=" n fluorescent "/>
  </r>
  <r>
    <x v="15"/>
    <x v="9"/>
    <s v="F:\Données chgh\2020-CHG-CZA-Saccharin-3\plaque 2/@15 Testo + EE2/ "/>
    <s v=" "/>
    <s v=" 79.4789 "/>
    <x v="17"/>
    <s v=" 4148795.88 "/>
    <s v=" 1591250.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Saccharin-3\plaque 2/@16 Testo + FAD/A4_01.tif "/>
    <s v=" 4217.8295 "/>
    <s v=" 66.5077 "/>
    <x v="0"/>
    <n v="280518"/>
    <m/>
    <m/>
  </r>
  <r>
    <x v="16"/>
    <x v="0"/>
    <s v="F:\Données chgh\2020-CHG-CZA-Saccharin-3\plaque 2/@16 Testo + FAD/A4_02.tif "/>
    <s v=" 3244.4842 "/>
    <s v=" 64.78 "/>
    <x v="0"/>
    <n v="210178"/>
    <m/>
    <m/>
  </r>
  <r>
    <x v="16"/>
    <x v="0"/>
    <s v="F:\Données chgh\2020-CHG-CZA-Saccharin-3\plaque 2/@16 Testo + FAD/A4_03.tif "/>
    <s v=" 8933.1465 "/>
    <s v=" 70.5569 "/>
    <x v="0"/>
    <n v="630295"/>
    <m/>
    <m/>
  </r>
  <r>
    <x v="16"/>
    <x v="1"/>
    <s v="F:\Données chgh\2020-CHG-CZA-Saccharin-3\plaque 2/@16 Testo + FAD/B4_01.tif "/>
    <s v=" 4347.6088 "/>
    <s v=" 64.9552 "/>
    <x v="0"/>
    <n v="282400"/>
    <m/>
    <m/>
  </r>
  <r>
    <x v="16"/>
    <x v="1"/>
    <s v="F:\Données chgh\2020-CHG-CZA-Saccharin-3\plaque 2/@16 Testo + FAD/B4_02.tif "/>
    <s v=" 2617.2173 "/>
    <n v="66"/>
    <x v="0"/>
    <n v="172736"/>
    <m/>
    <m/>
  </r>
  <r>
    <x v="16"/>
    <x v="1"/>
    <s v="F:\Données chgh\2020-CHG-CZA-Saccharin-3\plaque 2/@16 Testo + FAD/B4_03.tif "/>
    <s v=" 1708.7617 "/>
    <s v=" 66.8354 "/>
    <x v="0"/>
    <n v="114206"/>
    <m/>
    <m/>
  </r>
  <r>
    <x v="16"/>
    <x v="2"/>
    <s v="F:\Données chgh\2020-CHG-CZA-Saccharin-3\plaque 2/@16 Testo + FAD/C4_01.tif "/>
    <s v=" 2249.509 "/>
    <s v=" 63.625 "/>
    <x v="0"/>
    <n v="143125"/>
    <m/>
    <m/>
  </r>
  <r>
    <x v="16"/>
    <x v="2"/>
    <s v="F:\Données chgh\2020-CHG-CZA-Saccharin-3\plaque 2/@16 Testo + FAD/C4_02.tif "/>
    <s v=" 1622.2421 "/>
    <s v=" 63.3467 "/>
    <x v="0"/>
    <n v="102764"/>
    <m/>
    <m/>
  </r>
  <r>
    <x v="16"/>
    <x v="2"/>
    <s v="F:\Données chgh\2020-CHG-CZA-Saccharin-3\plaque 2/@16 Testo + FAD/C4_03.tif "/>
    <s v=" 4066.4202 "/>
    <s v=" 70.6223 "/>
    <x v="0"/>
    <n v="287180"/>
    <m/>
    <m/>
  </r>
  <r>
    <x v="16"/>
    <x v="3"/>
    <s v="F:\Données chgh\2020-CHG-CZA-Saccharin-3\plaque 2/@16 Testo + FAD/D4_01.tif "/>
    <s v=" 605.637 "/>
    <s v=" 62.5357 "/>
    <x v="0"/>
    <n v="37874"/>
    <m/>
    <m/>
  </r>
  <r>
    <x v="16"/>
    <x v="3"/>
    <s v="F:\Données chgh\2020-CHG-CZA-Saccharin-3\plaque 2/@16 Testo + FAD/D4_02.tif "/>
    <s v=" 4325.9789 "/>
    <s v=" 65.75 "/>
    <x v="0"/>
    <n v="284433"/>
    <m/>
    <m/>
  </r>
  <r>
    <x v="16"/>
    <x v="3"/>
    <s v="F:\Données chgh\2020-CHG-CZA-Saccharin-3\plaque 2/@16 Testo + FAD/D4_03.tif "/>
    <s v=" 2487.4379 "/>
    <s v=" 62.9304 "/>
    <x v="0"/>
    <n v="156536"/>
    <m/>
    <m/>
  </r>
  <r>
    <x v="16"/>
    <x v="4"/>
    <s v="F:\Données chgh\2020-CHG-CZA-Saccharin-3\plaque 2/@16 Testo + FAD/E4_01.tif "/>
    <s v=" 6726.8972 "/>
    <s v=" 65.5884 "/>
    <x v="0"/>
    <n v="441207"/>
    <m/>
    <m/>
  </r>
  <r>
    <x v="16"/>
    <x v="4"/>
    <s v="F:\Données chgh\2020-CHG-CZA-Saccharin-3\plaque 2/@16 Testo + FAD/E4_02.tif "/>
    <s v=" 2141.3596 "/>
    <s v=" 64.596 "/>
    <x v="0"/>
    <n v="138323"/>
    <m/>
    <m/>
  </r>
  <r>
    <x v="16"/>
    <x v="4"/>
    <s v="F:\Données chgh\2020-CHG-CZA-Saccharin-3\plaque 2/@16 Testo + FAD/E4_03.tif "/>
    <s v=" 4953.2459 "/>
    <s v=" 65.6419 "/>
    <x v="0"/>
    <n v="325141"/>
    <m/>
    <m/>
  </r>
  <r>
    <x v="16"/>
    <x v="5"/>
    <s v="F:\Données chgh\2020-CHG-CZA-Saccharin-3\plaque 2/@16 Testo + FAD/F4_01.tif "/>
    <s v=" 605.637 "/>
    <s v=" 64.8929 "/>
    <x v="0"/>
    <n v="39302"/>
    <m/>
    <m/>
  </r>
  <r>
    <x v="16"/>
    <x v="5"/>
    <s v="F:\Données chgh\2020-CHG-CZA-Saccharin-3\plaque 2/@16 Testo + FAD/F4_02.tif "/>
    <s v=" 605.637 "/>
    <s v=" 64.5714 "/>
    <x v="0"/>
    <n v="39107"/>
    <m/>
    <m/>
  </r>
  <r>
    <x v="16"/>
    <x v="5"/>
    <s v="F:\Données chgh\2020-CHG-CZA-Saccharin-3\plaque 2/@16 Testo + FAD/F4_03.tif "/>
    <s v=" 237.9288 "/>
    <s v=" 63.8182 "/>
    <x v="0"/>
    <n v="15184"/>
    <m/>
    <m/>
  </r>
  <r>
    <x v="16"/>
    <x v="6"/>
    <s v="F:\Données chgh\2020-CHG-CZA-Saccharin-3\plaque 2/@16 Testo + FAD/G4_01.tif "/>
    <s v=" 4909.9861 "/>
    <s v=" 67.1013 "/>
    <x v="0"/>
    <n v="329467"/>
    <m/>
    <m/>
  </r>
  <r>
    <x v="16"/>
    <x v="6"/>
    <s v="F:\Données chgh\2020-CHG-CZA-Saccharin-3\plaque 2/@16 Testo + FAD/G4_02.tif "/>
    <s v=" 4325.9789 "/>
    <s v=" 67.09 "/>
    <x v="0"/>
    <n v="290230"/>
    <m/>
    <m/>
  </r>
  <r>
    <x v="16"/>
    <x v="6"/>
    <s v="F:\Données chgh\2020-CHG-CZA-Saccharin-3\plaque 2/@16 Testo + FAD/G4_03.tif "/>
    <s v=" 1752.0215 "/>
    <s v=" 63.2469 "/>
    <x v="0"/>
    <n v="110810"/>
    <m/>
    <m/>
  </r>
  <r>
    <x v="16"/>
    <x v="7"/>
    <s v="F:\Données chgh\2020-CHG-CZA-Saccharin-3\plaque 2/@16 Testo + FAD/H4_01.tif "/>
    <s v=" 1341.0535 "/>
    <s v=" 64.871 "/>
    <x v="0"/>
    <n v="86995"/>
    <m/>
    <m/>
  </r>
  <r>
    <x v="16"/>
    <x v="7"/>
    <s v="F:\Données chgh\2020-CHG-CZA-Saccharin-3\plaque 2/@16 Testo + FAD/H4_02.tif "/>
    <s v=" 6770.157 "/>
    <s v=" 69.9297 "/>
    <x v="0"/>
    <n v="473435"/>
    <m/>
    <m/>
  </r>
  <r>
    <x v="16"/>
    <x v="7"/>
    <s v="F:\Données chgh\2020-CHG-CZA-Saccharin-3\plaque 2/@16 Testo + FAD/H4_03.tif "/>
    <s v=" 3266.1141 "/>
    <s v=" 65.3576 "/>
    <x v="0"/>
    <n v="213465"/>
    <m/>
    <m/>
  </r>
  <r>
    <x v="1"/>
    <x v="8"/>
    <s v=" "/>
    <m/>
    <m/>
    <x v="1"/>
    <m/>
    <m/>
    <m/>
  </r>
  <r>
    <x v="1"/>
    <x v="8"/>
    <s v="group "/>
    <s v=" "/>
    <s v=" mean of mean fluo "/>
    <x v="2"/>
    <s v=" mean of total fluo "/>
    <s v=" SD total fluo "/>
    <s v=" n fluorescent "/>
  </r>
  <r>
    <x v="16"/>
    <x v="9"/>
    <s v="F:\Données chgh\2020-CHG-CZA-Saccharin-3\plaque 2/@16 Testo + FAD/ "/>
    <s v=" "/>
    <s v=" 65.6313 "/>
    <x v="18"/>
    <s v=" 216871.292 "/>
    <s v=" 153152.99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Saccharin-3\plaque 2/@17 Testo +  Saccharin 0,01/A5_01.tif "/>
    <s v=" 2746.9966 "/>
    <s v=" 63.9843 "/>
    <x v="0"/>
    <n v="175765"/>
    <m/>
    <m/>
  </r>
  <r>
    <x v="17"/>
    <x v="0"/>
    <s v="F:\Données chgh\2020-CHG-CZA-Saccharin-3\plaque 2/@17 Testo +  Saccharin 0,01/A5_02.tif "/>
    <s v=" 2725.3667 "/>
    <s v=" 63.7937 "/>
    <x v="0"/>
    <n v="173861"/>
    <m/>
    <m/>
  </r>
  <r>
    <x v="17"/>
    <x v="0"/>
    <s v="F:\Données chgh\2020-CHG-CZA-Saccharin-3\plaque 2/@17 Testo +  Saccharin 0,01/A5_03.tif "/>
    <s v=" 2552.3276 "/>
    <s v=" 64.6864 "/>
    <x v="0"/>
    <n v="165101"/>
    <m/>
    <m/>
  </r>
  <r>
    <x v="17"/>
    <x v="1"/>
    <s v="F:\Données chgh\2020-CHG-CZA-Saccharin-3\plaque 2/@17 Testo +  Saccharin 0,01/B5_01.tif "/>
    <s v=" 12653.4884 "/>
    <s v=" 68.8034 "/>
    <x v="0"/>
    <n v="870603"/>
    <m/>
    <m/>
  </r>
  <r>
    <x v="17"/>
    <x v="1"/>
    <s v="F:\Données chgh\2020-CHG-CZA-Saccharin-3\plaque 2/@17 Testo +  Saccharin 0,01/B5_02.tif "/>
    <s v=" 8587.0682 "/>
    <s v=" 68.0252 "/>
    <x v="0"/>
    <n v="584137"/>
    <m/>
    <m/>
  </r>
  <r>
    <x v="17"/>
    <x v="1"/>
    <s v="F:\Données chgh\2020-CHG-CZA-Saccharin-3\plaque 2/@17 Testo +  Saccharin 0,01/B5_03- exclu.tif"/>
    <m/>
    <m/>
    <x v="1"/>
    <m/>
    <m/>
    <m/>
  </r>
  <r>
    <x v="17"/>
    <x v="2"/>
    <s v="F:\Données chgh\2020-CHG-CZA-Saccharin-3\plaque 2/@17 Testo +  Saccharin 0,01/C5_01.tif "/>
    <s v=" 53360.95 "/>
    <s v=" 71.6461 "/>
    <x v="0"/>
    <n v="3823106"/>
    <m/>
    <m/>
  </r>
  <r>
    <x v="17"/>
    <x v="2"/>
    <s v="F:\Données chgh\2020-CHG-CZA-Saccharin-3\plaque 2/@17 Testo +  Saccharin 0,01/C5_02.tif "/>
    <s v=" 54637.1138 "/>
    <s v=" 73.5764 "/>
    <x v="0"/>
    <n v="4020002"/>
    <m/>
    <m/>
  </r>
  <r>
    <x v="17"/>
    <x v="2"/>
    <s v="F:\Données chgh\2020-CHG-CZA-Saccharin-3\plaque 2/@17 Testo +  Saccharin 0,01/C5_03- exclu.tif"/>
    <m/>
    <m/>
    <x v="1"/>
    <m/>
    <m/>
    <m/>
  </r>
  <r>
    <x v="17"/>
    <x v="3"/>
    <s v="F:\Données chgh\2020-CHG-CZA-Saccharin-3\plaque 2/@17 Testo +  Saccharin 0,01/D5_01.tif "/>
    <s v=" 5299.3242 "/>
    <s v=" 67.7306 "/>
    <x v="0"/>
    <n v="358926"/>
    <m/>
    <m/>
  </r>
  <r>
    <x v="17"/>
    <x v="3"/>
    <s v="F:\Données chgh\2020-CHG-CZA-Saccharin-3\plaque 2/@17 Testo +  Saccharin 0,01/D5_02.tif "/>
    <s v=" 3157.9646 "/>
    <s v=" 66.4247 "/>
    <x v="0"/>
    <n v="209767"/>
    <m/>
    <m/>
  </r>
  <r>
    <x v="17"/>
    <x v="3"/>
    <s v="F:\Données chgh\2020-CHG-CZA-Saccharin-3\plaque 2/@17 Testo +  Saccharin 0,01/D5_03.tif "/>
    <s v=" 5277.6943 "/>
    <s v=" 67.3566 "/>
    <x v="0"/>
    <n v="355487"/>
    <m/>
    <m/>
  </r>
  <r>
    <x v="17"/>
    <x v="4"/>
    <s v="F:\Données chgh\2020-CHG-CZA-Saccharin-3\plaque 2/@17 Testo +  Saccharin 0,01/E5_01.tif "/>
    <s v=" 129.7794 "/>
    <n v="63"/>
    <x v="0"/>
    <n v="8176"/>
    <m/>
    <m/>
  </r>
  <r>
    <x v="17"/>
    <x v="4"/>
    <s v="F:\Données chgh\2020-CHG-CZA-Saccharin-3\plaque 2/@17 Testo +  Saccharin 0,01/E5_02.tif "/>
    <s v=" 151.4093 "/>
    <s v=" 61.7143 "/>
    <x v="0"/>
    <n v="9344"/>
    <m/>
    <m/>
  </r>
  <r>
    <x v="17"/>
    <x v="4"/>
    <s v="F:\Données chgh\2020-CHG-CZA-Saccharin-3\plaque 2/@17 Testo +  Saccharin 0,01/E5_03.tif "/>
    <s v=" 151.4093 "/>
    <s v=" 64.2857 "/>
    <x v="0"/>
    <n v="9733"/>
    <m/>
    <m/>
  </r>
  <r>
    <x v="17"/>
    <x v="5"/>
    <s v="F:\Données chgh\2020-CHG-CZA-Saccharin-3\plaque 2/@17 Testo +  Saccharin 0,01/F5_01.tif "/>
    <s v=" 40145.0844 "/>
    <s v=" 73.1374 "/>
    <x v="0"/>
    <n v="2936107"/>
    <m/>
    <m/>
  </r>
  <r>
    <x v="17"/>
    <x v="5"/>
    <s v="F:\Données chgh\2020-CHG-CZA-Saccharin-3\plaque 2/@17 Testo +  Saccharin 0,01/F5_02.tif "/>
    <s v=" 40383.0133 "/>
    <s v=" 76.5078 "/>
    <x v="0"/>
    <n v="3089614"/>
    <m/>
    <m/>
  </r>
  <r>
    <x v="17"/>
    <x v="5"/>
    <s v="F:\Données chgh\2020-CHG-CZA-Saccharin-3\plaque 2/@17 Testo +  Saccharin 0,01/F5_03.tif "/>
    <s v=" 39993.6752 "/>
    <s v=" 73.159 "/>
    <x v="0"/>
    <n v="2925897"/>
    <m/>
    <m/>
  </r>
  <r>
    <x v="17"/>
    <x v="6"/>
    <s v="F:\Données chgh\2020-CHG-CZA-Saccharin-3\plaque 2/@17 Testo +  Saccharin 0,01/G5_01.tif "/>
    <s v=" 10079.5309 "/>
    <s v=" 64.6931 "/>
    <x v="0"/>
    <n v="652076"/>
    <m/>
    <m/>
  </r>
  <r>
    <x v="17"/>
    <x v="6"/>
    <s v="F:\Données chgh\2020-CHG-CZA-Saccharin-3\plaque 2/@17 Testo +  Saccharin 0,01/G5_02.tif "/>
    <s v=" 7894.9115 "/>
    <s v=" 63.9616 "/>
    <x v="0"/>
    <n v="504972"/>
    <m/>
    <m/>
  </r>
  <r>
    <x v="17"/>
    <x v="6"/>
    <s v="F:\Données chgh\2020-CHG-CZA-Saccharin-3\plaque 2/@17 Testo +  Saccharin 0,01/G5_03.tif "/>
    <s v=" 7419.0539 "/>
    <s v=" 64.0029 "/>
    <x v="0"/>
    <n v="474841"/>
    <m/>
    <m/>
  </r>
  <r>
    <x v="17"/>
    <x v="7"/>
    <s v="F:\Données chgh\2020-CHG-CZA-Saccharin-3\plaque 2/@17 Testo +  Saccharin 0,01/H5_01.tif "/>
    <s v=" 51370.9997 "/>
    <s v=" 75.8657 "/>
    <x v="0"/>
    <n v="3897296"/>
    <m/>
    <m/>
  </r>
  <r>
    <x v="17"/>
    <x v="7"/>
    <s v="F:\Données chgh\2020-CHG-CZA-Saccharin-3\plaque 2/@17 Testo +  Saccharin 0,01/H5_02.tif "/>
    <s v=" 54615.4839 "/>
    <s v=" 76.4281 "/>
    <x v="0"/>
    <n v="4174159"/>
    <m/>
    <m/>
  </r>
  <r>
    <x v="17"/>
    <x v="7"/>
    <s v="F:\Données chgh\2020-CHG-CZA-Saccharin-3\plaque 2/@17 Testo +  Saccharin 0,01/H5_03.tif "/>
    <s v=" 51457.5193 "/>
    <s v=" 77.8214 "/>
    <x v="0"/>
    <n v="4004494"/>
    <m/>
    <m/>
  </r>
  <r>
    <x v="1"/>
    <x v="8"/>
    <s v=" "/>
    <m/>
    <m/>
    <x v="1"/>
    <m/>
    <m/>
    <m/>
  </r>
  <r>
    <x v="1"/>
    <x v="8"/>
    <s v="group "/>
    <s v=" "/>
    <s v=" mean of mean fluo "/>
    <x v="2"/>
    <s v=" mean of total fluo "/>
    <s v=" SD total fluo "/>
    <s v=" n fluorescent "/>
  </r>
  <r>
    <x v="17"/>
    <x v="9"/>
    <s v="F:\Données chgh\2020-CHG-CZA-Saccharin-3\plaque 2/@17 Testo +  Saccharin 0,01/ "/>
    <s v=" "/>
    <s v=" 68.1716 "/>
    <x v="19"/>
    <s v=" 1399086.46 "/>
    <s v=" 1636309.1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Saccharin-3\plaque 2/@18  Testo +  Saccharin 0,1/A6_01.tif "/>
    <s v=" 41745.6966 "/>
    <s v=" 72.9694 "/>
    <x v="0"/>
    <n v="3046160"/>
    <m/>
    <m/>
  </r>
  <r>
    <x v="18"/>
    <x v="0"/>
    <s v="F:\Données chgh\2020-CHG-CZA-Saccharin-3\plaque 2/@18  Testo +  Saccharin 0,1/A6_02.tif "/>
    <s v=" 38155.1341 "/>
    <s v=" 72.4433 "/>
    <x v="0"/>
    <n v="2764084"/>
    <m/>
    <m/>
  </r>
  <r>
    <x v="18"/>
    <x v="0"/>
    <s v="F:\Données chgh\2020-CHG-CZA-Saccharin-3\plaque 2/@18  Testo +  Saccharin 0,1/A6_03.tif "/>
    <s v=" 31255.1977 "/>
    <s v=" 71.272 "/>
    <x v="0"/>
    <n v="2227620"/>
    <m/>
    <m/>
  </r>
  <r>
    <x v="18"/>
    <x v="1"/>
    <s v="F:\Données chgh\2020-CHG-CZA-Saccharin-3\plaque 2/@18  Testo +  Saccharin 0,1/B6_01.tif "/>
    <s v=" 4131.3099 "/>
    <s v=" 66.1571 "/>
    <x v="0"/>
    <n v="273315"/>
    <m/>
    <m/>
  </r>
  <r>
    <x v="18"/>
    <x v="1"/>
    <s v="F:\Données chgh\2020-CHG-CZA-Saccharin-3\plaque 2/@18  Testo +  Saccharin 0,1/B6_02.tif "/>
    <s v=" 5731.9221 "/>
    <s v=" 65.166 "/>
    <x v="0"/>
    <n v="373527"/>
    <m/>
    <m/>
  </r>
  <r>
    <x v="18"/>
    <x v="1"/>
    <s v="F:\Données chgh\2020-CHG-CZA-Saccharin-3\plaque 2/@18  Testo +  Saccharin 0,1/B6_03- exclu.tif"/>
    <m/>
    <m/>
    <x v="1"/>
    <m/>
    <m/>
    <m/>
  </r>
  <r>
    <x v="18"/>
    <x v="2"/>
    <s v="F:\Données chgh\2020-CHG-CZA-Saccharin-3\plaque 2/@18  Testo +  Saccharin 0,1/C6_01- exclu.tif"/>
    <m/>
    <m/>
    <x v="1"/>
    <m/>
    <m/>
    <m/>
  </r>
  <r>
    <x v="18"/>
    <x v="2"/>
    <s v="F:\Données chgh\2020-CHG-CZA-Saccharin-3\plaque 2/@18  Testo +  Saccharin 0,1/C6_02.tif "/>
    <s v=" 2573.9575 "/>
    <s v=" 63.8067 "/>
    <x v="0"/>
    <n v="164236"/>
    <m/>
    <m/>
  </r>
  <r>
    <x v="18"/>
    <x v="2"/>
    <s v="F:\Données chgh\2020-CHG-CZA-Saccharin-3\plaque 2/@18  Testo +  Saccharin 0,1/C6_03.tif "/>
    <s v=" 3244.4842 "/>
    <s v=" 64.96 "/>
    <x v="0"/>
    <n v="210762"/>
    <m/>
    <m/>
  </r>
  <r>
    <x v="18"/>
    <x v="3"/>
    <s v="F:\Données chgh\2020-CHG-CZA-Saccharin-3\plaque 2/@18  Testo +  Saccharin 0,1/D6_01.tif "/>
    <s v=" 16114.2715 "/>
    <s v=" 71.0523 "/>
    <x v="0"/>
    <n v="1144957"/>
    <m/>
    <m/>
  </r>
  <r>
    <x v="18"/>
    <x v="3"/>
    <s v="F:\Données chgh\2020-CHG-CZA-Saccharin-3\plaque 2/@18  Testo +  Saccharin 0,1/D6_02.tif "/>
    <s v=" 13864.7625 "/>
    <s v=" 75.8908 "/>
    <x v="0"/>
    <n v="1052208"/>
    <m/>
    <m/>
  </r>
  <r>
    <x v="18"/>
    <x v="3"/>
    <s v="F:\Données chgh\2020-CHG-CZA-Saccharin-3\plaque 2/@18  Testo +  Saccharin 0,1/D6_03.tif "/>
    <s v=" 12372.2997 "/>
    <s v=" 73.0612 "/>
    <x v="0"/>
    <n v="903935"/>
    <m/>
    <m/>
  </r>
  <r>
    <x v="18"/>
    <x v="4"/>
    <s v="F:\Données chgh\2020-CHG-CZA-Saccharin-3\plaque 2/@18  Testo +  Saccharin 0,1/E6_01.tif "/>
    <s v=" 36576.1518 "/>
    <s v=" 73.4175 "/>
    <x v="0"/>
    <n v="2685330"/>
    <m/>
    <m/>
  </r>
  <r>
    <x v="18"/>
    <x v="4"/>
    <s v="F:\Données chgh\2020-CHG-CZA-Saccharin-3\plaque 2/@18  Testo +  Saccharin 0,1/E6_02.tif "/>
    <s v=" 33072.1089 "/>
    <s v=" 70.9287 "/>
    <x v="0"/>
    <n v="2345762"/>
    <m/>
    <m/>
  </r>
  <r>
    <x v="18"/>
    <x v="4"/>
    <s v="F:\Données chgh\2020-CHG-CZA-Saccharin-3\plaque 2/@18  Testo +  Saccharin 0,1/E6_03.tif "/>
    <s v=" 30822.5998 "/>
    <s v=" 70.4758 "/>
    <x v="0"/>
    <n v="2172247"/>
    <m/>
    <m/>
  </r>
  <r>
    <x v="18"/>
    <x v="5"/>
    <s v="F:\Données chgh\2020-CHG-CZA-Saccharin-3\plaque 2/@18  Testo +  Saccharin 0,1/F6_01.tif "/>
    <s v=" 53469.0995 "/>
    <s v=" 78.5615 "/>
    <x v="0"/>
    <n v="4200612"/>
    <m/>
    <m/>
  </r>
  <r>
    <x v="18"/>
    <x v="5"/>
    <s v="F:\Données chgh\2020-CHG-CZA-Saccharin-3\plaque 2/@18  Testo +  Saccharin 0,1/F6_02.tif "/>
    <s v=" 50419.2844 "/>
    <s v=" 77.9708 "/>
    <x v="0"/>
    <n v="3931233"/>
    <m/>
    <m/>
  </r>
  <r>
    <x v="18"/>
    <x v="5"/>
    <s v="F:\Données chgh\2020-CHG-CZA-Saccharin-3\plaque 2/@18  Testo +  Saccharin 0,1/F6_03.tif "/>
    <s v=" 55307.6406 "/>
    <s v=" 79.7626 "/>
    <x v="0"/>
    <n v="4411482"/>
    <m/>
    <m/>
  </r>
  <r>
    <x v="18"/>
    <x v="6"/>
    <s v="F:\Données chgh\2020-CHG-CZA-Saccharin-3\plaque 2/@18  Testo +  Saccharin 0,1/G6_01.tif "/>
    <s v=" 4758.5768 "/>
    <s v=" 64.3818 "/>
    <x v="0"/>
    <n v="306366"/>
    <m/>
    <m/>
  </r>
  <r>
    <x v="18"/>
    <x v="6"/>
    <s v="F:\Données chgh\2020-CHG-CZA-Saccharin-3\plaque 2/@18  Testo +  Saccharin 0,1/G6_02.tif "/>
    <s v=" 2920.0358 "/>
    <s v=" 64.3481 "/>
    <x v="0"/>
    <n v="187899"/>
    <m/>
    <m/>
  </r>
  <r>
    <x v="18"/>
    <x v="6"/>
    <s v="F:\Données chgh\2020-CHG-CZA-Saccharin-3\plaque 2/@18  Testo +  Saccharin 0,1/G6_03.tif "/>
    <s v=" 3547.3027 "/>
    <s v=" 64.75 "/>
    <x v="0"/>
    <n v="229688"/>
    <m/>
    <m/>
  </r>
  <r>
    <x v="18"/>
    <x v="7"/>
    <s v="F:\Données chgh\2020-CHG-CZA-Saccharin-3\plaque 2/@18  Testo +  Saccharin 0,1/H6_01.tif "/>
    <s v=" 23987.5531 "/>
    <s v=" 69.037 "/>
    <x v="0"/>
    <n v="1656028"/>
    <m/>
    <m/>
  </r>
  <r>
    <x v="18"/>
    <x v="7"/>
    <s v="F:\Données chgh\2020-CHG-CZA-Saccharin-3\plaque 2/@18  Testo +  Saccharin 0,1/H6_02.tif "/>
    <s v=" 28053.9733 "/>
    <s v=" 71.9761 "/>
    <x v="0"/>
    <n v="2019216"/>
    <m/>
    <m/>
  </r>
  <r>
    <x v="18"/>
    <x v="7"/>
    <s v="F:\Données chgh\2020-CHG-CZA-Saccharin-3\plaque 2/@18  Testo +  Saccharin 0,1/H6_03.tif "/>
    <s v=" 23338.6563 "/>
    <s v=" 76.1186 "/>
    <x v="0"/>
    <n v="1776507"/>
    <m/>
    <m/>
  </r>
  <r>
    <x v="1"/>
    <x v="8"/>
    <s v=" "/>
    <m/>
    <m/>
    <x v="1"/>
    <m/>
    <m/>
    <m/>
  </r>
  <r>
    <x v="1"/>
    <x v="8"/>
    <s v="group "/>
    <s v=" "/>
    <s v=" mean of mean fluo "/>
    <x v="2"/>
    <s v=" mean of total fluo "/>
    <s v=" SD total fluo "/>
    <s v=" n fluorescent "/>
  </r>
  <r>
    <x v="18"/>
    <x v="9"/>
    <s v="F:\Données chgh\2020-CHG-CZA-Saccharin-3\plaque 2/@18  Testo +  Saccharin 0,1/ "/>
    <s v=" "/>
    <s v=" 70.2135 "/>
    <x v="20"/>
    <s v=" 1592157.71 "/>
    <s v=" 1394450.6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Saccharin-3\plaque 2/@19 Testo +  Saccharin 1/A7_01.tif "/>
    <s v=" 1232.904 "/>
    <s v=" 62.8947 "/>
    <x v="0"/>
    <n v="77543"/>
    <m/>
    <m/>
  </r>
  <r>
    <x v="19"/>
    <x v="0"/>
    <s v="F:\Données chgh\2020-CHG-CZA-Saccharin-3\plaque 2/@19 Testo +  Saccharin 1/A7_02.tif "/>
    <s v=" 6207.7798 "/>
    <s v=" 68.453 "/>
    <x v="0"/>
    <n v="424941"/>
    <m/>
    <m/>
  </r>
  <r>
    <x v="19"/>
    <x v="0"/>
    <s v="F:\Données chgh\2020-CHG-CZA-Saccharin-3\plaque 2/@19 Testo +  Saccharin 1/A7_03- exclu.tif"/>
    <m/>
    <m/>
    <x v="1"/>
    <m/>
    <m/>
    <m/>
  </r>
  <r>
    <x v="19"/>
    <x v="1"/>
    <s v="F:\Données chgh\2020-CHG-CZA-Saccharin-3\plaque 2/@19 Testo +  Saccharin 1/B7_01.tif "/>
    <s v=" 25609.7952 "/>
    <s v=" 68.9983 "/>
    <x v="0"/>
    <n v="1767033"/>
    <m/>
    <m/>
  </r>
  <r>
    <x v="19"/>
    <x v="1"/>
    <s v="F:\Données chgh\2020-CHG-CZA-Saccharin-3\plaque 2/@19 Testo +  Saccharin 1/B7_02.tif "/>
    <s v=" 21067.5174 "/>
    <s v=" 67.1099 "/>
    <x v="0"/>
    <n v="1413838"/>
    <m/>
    <m/>
  </r>
  <r>
    <x v="19"/>
    <x v="1"/>
    <s v="F:\Données chgh\2020-CHG-CZA-Saccharin-3\plaque 2/@19 Testo +  Saccharin 1/B7_03.tif "/>
    <s v=" 19726.4639 "/>
    <s v=" 68.3487 "/>
    <x v="0"/>
    <n v="1348278"/>
    <m/>
    <m/>
  </r>
  <r>
    <x v="19"/>
    <x v="2"/>
    <s v="F:\Données chgh\2020-CHG-CZA-Saccharin-3\plaque 2/@19 Testo +  Saccharin 1/C7_01- exclu.tif"/>
    <m/>
    <m/>
    <x v="1"/>
    <m/>
    <m/>
    <m/>
  </r>
  <r>
    <x v="19"/>
    <x v="2"/>
    <s v="F:\Données chgh\2020-CHG-CZA-Saccharin-3\plaque 2/@19 Testo +  Saccharin 1/C7_02- exclu.tif"/>
    <m/>
    <m/>
    <x v="1"/>
    <m/>
    <m/>
    <m/>
  </r>
  <r>
    <x v="19"/>
    <x v="2"/>
    <s v="F:\Données chgh\2020-CHG-CZA-Saccharin-3\plaque 2/@19 Testo +  Saccharin 1/C7_03- exclu.tif"/>
    <m/>
    <m/>
    <x v="1"/>
    <m/>
    <m/>
    <m/>
  </r>
  <r>
    <x v="19"/>
    <x v="3"/>
    <s v="F:\Données chgh\2020-CHG-CZA-Saccharin-3\plaque 2/@19 Testo +  Saccharin 1/D7_01.tif "/>
    <s v=" 31082.1586 "/>
    <s v=" 70.2018 "/>
    <x v="0"/>
    <n v="2182024"/>
    <m/>
    <m/>
  </r>
  <r>
    <x v="19"/>
    <x v="3"/>
    <s v="F:\Données chgh\2020-CHG-CZA-Saccharin-3\plaque 2/@19 Testo +  Saccharin 1/D7_02.tif "/>
    <s v=" 28962.4289 "/>
    <s v=" 67.2845 "/>
    <x v="0"/>
    <n v="1948724"/>
    <m/>
    <m/>
  </r>
  <r>
    <x v="19"/>
    <x v="3"/>
    <s v="F:\Données chgh\2020-CHG-CZA-Saccharin-3\plaque 2/@19 Testo +  Saccharin 1/D7_03.tif "/>
    <s v=" 29048.9485 "/>
    <s v=" 68.2293 "/>
    <x v="0"/>
    <n v="1981991"/>
    <m/>
    <m/>
  </r>
  <r>
    <x v="19"/>
    <x v="4"/>
    <s v="F:\Données chgh\2020-CHG-CZA-Saccharin-3\plaque 2/@19 Testo +  Saccharin 1/E7_01.tif "/>
    <s v=" 34196.8634 "/>
    <s v=" 69.4054 "/>
    <x v="0"/>
    <n v="2373448"/>
    <m/>
    <m/>
  </r>
  <r>
    <x v="19"/>
    <x v="4"/>
    <s v="F:\Données chgh\2020-CHG-CZA-Saccharin-3\plaque 2/@19 Testo +  Saccharin 1/E7_02.tif "/>
    <s v=" 36338.223 "/>
    <s v=" 70.7077 "/>
    <x v="0"/>
    <n v="2569394"/>
    <m/>
    <m/>
  </r>
  <r>
    <x v="19"/>
    <x v="4"/>
    <s v="F:\Données chgh\2020-CHG-CZA-Saccharin-3\plaque 2/@19 Testo +  Saccharin 1/E7_03.tif "/>
    <s v=" 36619.4116 "/>
    <s v=" 70.8955 "/>
    <x v="0"/>
    <n v="2596150"/>
    <m/>
    <m/>
  </r>
  <r>
    <x v="19"/>
    <x v="5"/>
    <s v="F:\Données chgh\2020-CHG-CZA-Saccharin-3\plaque 2/@19 Testo +  Saccharin 1/F7_01.tif "/>
    <s v=" 41572.6575 "/>
    <s v=" 73.4849 "/>
    <x v="0"/>
    <n v="3054963"/>
    <m/>
    <m/>
  </r>
  <r>
    <x v="19"/>
    <x v="5"/>
    <s v="F:\Données chgh\2020-CHG-CZA-Saccharin-3\plaque 2/@19 Testo +  Saccharin 1/F7_02.tif "/>
    <s v=" 35126.9489 "/>
    <s v=" 72.8602 "/>
    <x v="0"/>
    <n v="2559357"/>
    <m/>
    <m/>
  </r>
  <r>
    <x v="19"/>
    <x v="5"/>
    <s v="F:\Données chgh\2020-CHG-CZA-Saccharin-3\plaque 2/@19 Testo +  Saccharin 1/F7_03.tif "/>
    <s v=" 41118.4297 "/>
    <s v=" 72.7912 "/>
    <x v="0"/>
    <n v="2993058"/>
    <m/>
    <m/>
  </r>
  <r>
    <x v="19"/>
    <x v="6"/>
    <s v="F:\Données chgh\2020-CHG-CZA-Saccharin-3\plaque 2/@19 Testo +  Saccharin 1/G7_01.tif "/>
    <s v=" 7094.6054 "/>
    <s v=" 64.4756 "/>
    <x v="0"/>
    <n v="457429"/>
    <m/>
    <m/>
  </r>
  <r>
    <x v="19"/>
    <x v="6"/>
    <s v="F:\Données chgh\2020-CHG-CZA-Saccharin-3\plaque 2/@19 Testo +  Saccharin 1/G7_02.tif "/>
    <s v=" 6164.52 "/>
    <s v=" 64.4316 "/>
    <x v="0"/>
    <n v="397190"/>
    <m/>
    <m/>
  </r>
  <r>
    <x v="19"/>
    <x v="6"/>
    <s v="F:\Données chgh\2020-CHG-CZA-Saccharin-3\plaque 2/@19 Testo +  Saccharin 1/G7_03.tif "/>
    <s v=" 9430.6341 "/>
    <s v=" 64.5917 "/>
    <x v="0"/>
    <n v="609141"/>
    <m/>
    <m/>
  </r>
  <r>
    <x v="19"/>
    <x v="7"/>
    <s v="F:\Données chgh\2020-CHG-CZA-Saccharin-3\plaque 2/@19 Testo +  Saccharin 1/H7_01.tif "/>
    <s v=" 22322.0513 "/>
    <s v=" 69.2674 "/>
    <x v="0"/>
    <n v="1546191"/>
    <m/>
    <m/>
  </r>
  <r>
    <x v="19"/>
    <x v="7"/>
    <s v="F:\Données chgh\2020-CHG-CZA-Saccharin-3\plaque 2/@19 Testo +  Saccharin 1/H7_02.tif "/>
    <s v=" 21673.1544 "/>
    <s v=" 68.2615 "/>
    <x v="0"/>
    <n v="1479442"/>
    <m/>
    <m/>
  </r>
  <r>
    <x v="19"/>
    <x v="7"/>
    <s v="F:\Données chgh\2020-CHG-CZA-Saccharin-3\plaque 2/@19 Testo +  Saccharin 1/H7_03.tif "/>
    <s v=" 18428.6702 "/>
    <s v=" 69.4378 "/>
    <x v="0"/>
    <n v="1279646"/>
    <m/>
    <m/>
  </r>
  <r>
    <x v="1"/>
    <x v="8"/>
    <s v=" "/>
    <m/>
    <m/>
    <x v="1"/>
    <m/>
    <m/>
    <m/>
  </r>
  <r>
    <x v="1"/>
    <x v="8"/>
    <s v="group "/>
    <s v=" "/>
    <s v=" mean of mean fluo "/>
    <x v="2"/>
    <s v=" mean of total fluo "/>
    <s v=" SD total fluo "/>
    <s v=" n fluorescent "/>
  </r>
  <r>
    <x v="19"/>
    <x v="9"/>
    <s v="F:\Données chgh\2020-CHG-CZA-Saccharin-3\plaque 2/@19 Testo +  Saccharin 1/ "/>
    <s v=" "/>
    <s v=" 67.9484 "/>
    <x v="21"/>
    <s v=" 1382382.83 "/>
    <s v=" 1032616.7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Saccharin-3\plaque 2/@20 Testo +  Saccharin 10/A8_01.tif "/>
    <s v=" 45184.8499 "/>
    <s v=" 71.6362 "/>
    <x v="0"/>
    <n v="3236870"/>
    <m/>
    <m/>
  </r>
  <r>
    <x v="20"/>
    <x v="0"/>
    <s v="F:\Données chgh\2020-CHG-CZA-Saccharin-3\plaque 2/@20 Testo +  Saccharin 10/A8_02.tif "/>
    <s v=" 45747.2271 "/>
    <s v=" 73.1797 "/>
    <x v="0"/>
    <n v="3347767"/>
    <m/>
    <m/>
  </r>
  <r>
    <x v="20"/>
    <x v="0"/>
    <s v="F:\Données chgh\2020-CHG-CZA-Saccharin-3\plaque 2/@20 Testo +  Saccharin 10/A8_03.tif "/>
    <s v=" 37700.9063 "/>
    <s v=" 71.673 "/>
    <x v="0"/>
    <n v="2702136"/>
    <m/>
    <m/>
  </r>
  <r>
    <x v="20"/>
    <x v="1"/>
    <s v="F:\Données chgh\2020-CHG-CZA-Saccharin-3\plaque 2/@20 Testo +  Saccharin 10/B8_01.tif "/>
    <s v=" 19618.3144 "/>
    <s v=" 67.8633 "/>
    <x v="0"/>
    <n v="1331363"/>
    <m/>
    <m/>
  </r>
  <r>
    <x v="20"/>
    <x v="1"/>
    <s v="F:\Données chgh\2020-CHG-CZA-Saccharin-3\plaque 2/@20 Testo +  Saccharin 10/B8_02.tif "/>
    <s v=" 18515.1898 "/>
    <s v=" 70.3984 "/>
    <x v="0"/>
    <n v="1303439"/>
    <m/>
    <m/>
  </r>
  <r>
    <x v="20"/>
    <x v="1"/>
    <s v="F:\Données chgh\2020-CHG-CZA-Saccharin-3\plaque 2/@20 Testo +  Saccharin 10/B8_03.tif "/>
    <s v=" 16373.8302 "/>
    <s v=" 68.4518 "/>
    <x v="0"/>
    <n v="1120818"/>
    <m/>
    <m/>
  </r>
  <r>
    <x v="20"/>
    <x v="2"/>
    <s v="F:\Données chgh\2020-CHG-CZA-Saccharin-3\plaque 2/@20 Testo +  Saccharin 10/C8_01.tif "/>
    <s v=" 23079.0976 "/>
    <s v=" 67.761 "/>
    <x v="0"/>
    <n v="1563863"/>
    <m/>
    <m/>
  </r>
  <r>
    <x v="20"/>
    <x v="2"/>
    <s v="F:\Données chgh\2020-CHG-CZA-Saccharin-3\plaque 2/@20 Testo +  Saccharin 10/C8_02.tif "/>
    <s v=" 26777.8096 "/>
    <s v=" 69.1204 "/>
    <x v="0"/>
    <n v="1850892"/>
    <m/>
    <m/>
  </r>
  <r>
    <x v="20"/>
    <x v="2"/>
    <s v="F:\Données chgh\2020-CHG-CZA-Saccharin-3\plaque 2/@20 Testo +  Saccharin 10/C8_03.tif "/>
    <s v=" 27707.895 "/>
    <s v=" 70.5121 "/>
    <x v="0"/>
    <n v="1953742"/>
    <m/>
    <m/>
  </r>
  <r>
    <x v="20"/>
    <x v="3"/>
    <s v="F:\Données chgh\2020-CHG-CZA-Saccharin-3\plaque 2/@20 Testo +  Saccharin 10/D8_01.tif "/>
    <s v=" 68415.3567 "/>
    <s v=" 80.0506 "/>
    <x v="0"/>
    <n v="5476689"/>
    <m/>
    <m/>
  </r>
  <r>
    <x v="20"/>
    <x v="3"/>
    <s v="F:\Données chgh\2020-CHG-CZA-Saccharin-3\plaque 2/@20 Testo +  Saccharin 10/D8_02.tif "/>
    <s v=" 64002.8582 "/>
    <s v=" 78.9655 "/>
    <x v="0"/>
    <n v="5054020"/>
    <m/>
    <m/>
  </r>
  <r>
    <x v="20"/>
    <x v="3"/>
    <s v="F:\Données chgh\2020-CHG-CZA-Saccharin-3\plaque 2/@20 Testo +  Saccharin 10/D8_03.tif "/>
    <s v=" 60109.4772 "/>
    <s v=" 79.5149 "/>
    <x v="0"/>
    <n v="4779601"/>
    <m/>
    <m/>
  </r>
  <r>
    <x v="20"/>
    <x v="4"/>
    <s v="F:\Données chgh\2020-CHG-CZA-Saccharin-3\plaque 2/@20 Testo +  Saccharin 10/E8_01.tif "/>
    <s v=" 3590.5625 "/>
    <s v=" 64.253 "/>
    <x v="0"/>
    <n v="230704"/>
    <m/>
    <m/>
  </r>
  <r>
    <x v="20"/>
    <x v="4"/>
    <s v="F:\Données chgh\2020-CHG-CZA-Saccharin-3\plaque 2/@20 Testo +  Saccharin 10/E8_02.tif "/>
    <s v=" 3309.3739 "/>
    <s v=" 63.8954 "/>
    <x v="0"/>
    <n v="211454"/>
    <m/>
    <m/>
  </r>
  <r>
    <x v="20"/>
    <x v="4"/>
    <s v="F:\Données chgh\2020-CHG-CZA-Saccharin-3\plaque 2/@20 Testo +  Saccharin 10/E8_03.tif "/>
    <s v=" 3655.4522 "/>
    <s v=" 64.3077 "/>
    <x v="0"/>
    <n v="235074"/>
    <m/>
    <m/>
  </r>
  <r>
    <x v="20"/>
    <x v="5"/>
    <s v="F:\Données chgh\2020-CHG-CZA-Saccharin-3\plaque 2/@20 Testo +  Saccharin 10/F8_01.tif "/>
    <s v=" 45184.8499 "/>
    <s v=" 73.393 "/>
    <x v="0"/>
    <n v="3316252"/>
    <m/>
    <m/>
  </r>
  <r>
    <x v="20"/>
    <x v="5"/>
    <s v="F:\Données chgh\2020-CHG-CZA-Saccharin-3\plaque 2/@20 Testo +  Saccharin 10/F8_02.tif "/>
    <s v=" 37917.2053 "/>
    <s v=" 73.3708 "/>
    <x v="0"/>
    <n v="2782015"/>
    <m/>
    <m/>
  </r>
  <r>
    <x v="20"/>
    <x v="5"/>
    <s v="F:\Données chgh\2020-CHG-CZA-Saccharin-3\plaque 2/@20 Testo +  Saccharin 10/F8_03.tif "/>
    <s v=" 44406.1737 "/>
    <s v=" 74.7803 "/>
    <x v="0"/>
    <n v="3320708"/>
    <m/>
    <m/>
  </r>
  <r>
    <x v="20"/>
    <x v="6"/>
    <s v="F:\Données chgh\2020-CHG-CZA-Saccharin-3\plaque 2/@20 Testo +  Saccharin 10/G8_01.tif "/>
    <s v=" 33374.9274 "/>
    <s v=" 71.5826 "/>
    <x v="0"/>
    <n v="2389065"/>
    <m/>
    <m/>
  </r>
  <r>
    <x v="20"/>
    <x v="6"/>
    <s v="F:\Données chgh\2020-CHG-CZA-Saccharin-3\plaque 2/@20 Testo +  Saccharin 10/G8_02.tif "/>
    <s v=" 36705.9312 "/>
    <s v=" 72.0801 "/>
    <x v="0"/>
    <n v="2645769"/>
    <m/>
    <m/>
  </r>
  <r>
    <x v="20"/>
    <x v="6"/>
    <s v="F:\Données chgh\2020-CHG-CZA-Saccharin-3\plaque 2/@20 Testo +  Saccharin 10/G8_03.tif "/>
    <s v=" 37333.1981 "/>
    <s v=" 73.3592 "/>
    <x v="0"/>
    <n v="2738734"/>
    <m/>
    <m/>
  </r>
  <r>
    <x v="20"/>
    <x v="7"/>
    <s v="F:\Données chgh\2020-CHG-CZA-Saccharin-3\plaque 2/@20 Testo +  Saccharin 10/H8_01.tif "/>
    <s v=" 16655.0189 "/>
    <s v=" 69.2221 "/>
    <x v="0"/>
    <n v="1152895"/>
    <m/>
    <m/>
  </r>
  <r>
    <x v="20"/>
    <x v="7"/>
    <s v="F:\Données chgh\2020-CHG-CZA-Saccharin-3\plaque 2/@20 Testo +  Saccharin 10/H8_02.tif "/>
    <s v=" 18623.3393 "/>
    <s v=" 69.7352 "/>
    <x v="0"/>
    <n v="1298702"/>
    <m/>
    <m/>
  </r>
  <r>
    <x v="20"/>
    <x v="7"/>
    <s v="F:\Données chgh\2020-CHG-CZA-Saccharin-3\plaque 2/@20 Testo +  Saccharin 10/H8_03.tif "/>
    <s v=" 14686.6985 "/>
    <s v=" 68.5479 "/>
    <x v="0"/>
    <n v="1006742"/>
    <m/>
    <m/>
  </r>
  <r>
    <x v="1"/>
    <x v="8"/>
    <s v=" "/>
    <m/>
    <m/>
    <x v="1"/>
    <m/>
    <m/>
    <m/>
  </r>
  <r>
    <x v="1"/>
    <x v="8"/>
    <s v="group "/>
    <s v=" "/>
    <s v=" mean of mean fluo "/>
    <x v="2"/>
    <s v=" mean of total fluo "/>
    <s v=" SD total fluo "/>
    <s v=" n fluorescent "/>
  </r>
  <r>
    <x v="20"/>
    <x v="9"/>
    <s v="F:\Données chgh\2020-CHG-CZA-Saccharin-3\plaque 2/@20 Testo +  Saccharin 10/ "/>
    <s v=" "/>
    <s v=" 71.1523 "/>
    <x v="22"/>
    <s v=" 2293721.42 "/>
    <s v=" 1469573.7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Saccharin-3\plaque 2/@21 Testo +   Saccharin 100/A9_01.tif "/>
    <s v=" 2444.1781 "/>
    <s v=" 63.1327 "/>
    <x v="0"/>
    <n v="154308"/>
    <m/>
    <m/>
  </r>
  <r>
    <x v="21"/>
    <x v="0"/>
    <s v="F:\Données chgh\2020-CHG-CZA-Saccharin-3\plaque 2/@21 Testo +   Saccharin 100/A9_02.tif "/>
    <s v=" 2682.1069 "/>
    <s v=" 64.3306 "/>
    <x v="0"/>
    <n v="172542"/>
    <m/>
    <m/>
  </r>
  <r>
    <x v="21"/>
    <x v="0"/>
    <s v="F:\Données chgh\2020-CHG-CZA-Saccharin-3\plaque 2/@21 Testo +   Saccharin 100/A9_03.tif "/>
    <s v=" 994.9752 "/>
    <s v=" 63.2391 "/>
    <x v="0"/>
    <n v="62921"/>
    <m/>
    <m/>
  </r>
  <r>
    <x v="21"/>
    <x v="1"/>
    <s v="F:\Données chgh\2020-CHG-CZA-Saccharin-3\plaque 2/@21 Testo +   Saccharin 100/B9_01.tif "/>
    <s v=" 18904.5279 "/>
    <s v=" 68.2494 "/>
    <x v="0"/>
    <n v="1290223"/>
    <m/>
    <m/>
  </r>
  <r>
    <x v="21"/>
    <x v="1"/>
    <s v="F:\Données chgh\2020-CHG-CZA-Saccharin-3\plaque 2/@21 Testo +   Saccharin 100/B9_02.tif "/>
    <s v=" 18493.5599 "/>
    <s v=" 69.2807 "/>
    <x v="0"/>
    <n v="1281247"/>
    <m/>
    <m/>
  </r>
  <r>
    <x v="21"/>
    <x v="1"/>
    <s v="F:\Données chgh\2020-CHG-CZA-Saccharin-3\plaque 2/@21 Testo +   Saccharin 100/B9_03.tif "/>
    <s v=" 23252.1367 "/>
    <s v=" 69.32 "/>
    <x v="0"/>
    <n v="1611838"/>
    <m/>
    <m/>
  </r>
  <r>
    <x v="21"/>
    <x v="2"/>
    <s v="F:\Données chgh\2020-CHG-CZA-Saccharin-3\plaque 2/@21 Testo +   Saccharin 100/C9_01.tif "/>
    <s v=" 24312.0016 "/>
    <s v=" 68.0116 "/>
    <x v="0"/>
    <n v="1653497"/>
    <m/>
    <m/>
  </r>
  <r>
    <x v="21"/>
    <x v="2"/>
    <s v="F:\Données chgh\2020-CHG-CZA-Saccharin-3\plaque 2/@21 Testo +   Saccharin 100/C9_02.tif "/>
    <s v=" 24009.183 "/>
    <s v=" 67.9766 "/>
    <x v="0"/>
    <n v="1632062"/>
    <m/>
    <m/>
  </r>
  <r>
    <x v="21"/>
    <x v="2"/>
    <s v="F:\Données chgh\2020-CHG-CZA-Saccharin-3\plaque 2/@21 Testo +   Saccharin 100/C9_03.tif "/>
    <s v=" 24787.8592 "/>
    <s v=" 68.7408 "/>
    <x v="0"/>
    <n v="1703938"/>
    <m/>
    <m/>
  </r>
  <r>
    <x v="21"/>
    <x v="3"/>
    <s v="F:\Données chgh\2020-CHG-CZA-Saccharin-3\plaque 2/@21 Testo +   Saccharin 100/D9_01.tif "/>
    <s v=" 36013.7746 "/>
    <s v=" 70.9568 "/>
    <x v="0"/>
    <n v="2555421"/>
    <m/>
    <m/>
  </r>
  <r>
    <x v="21"/>
    <x v="3"/>
    <s v="F:\Données chgh\2020-CHG-CZA-Saccharin-3\plaque 2/@21 Testo +   Saccharin 100/D9_02.tif "/>
    <s v=" 37982.095 "/>
    <s v=" 76.8092 "/>
    <x v="0"/>
    <n v="2917375"/>
    <m/>
    <m/>
  </r>
  <r>
    <x v="21"/>
    <x v="3"/>
    <s v="F:\Données chgh\2020-CHG-CZA-Saccharin-3\plaque 2/@21 Testo +   Saccharin 100/D9_03.tif "/>
    <s v=" 38890.5505 "/>
    <s v=" 72.7019 "/>
    <x v="0"/>
    <n v="2827417"/>
    <m/>
    <m/>
  </r>
  <r>
    <x v="21"/>
    <x v="4"/>
    <s v="F:\Données chgh\2020-CHG-CZA-Saccharin-3\plaque 2/@21 Testo +   Saccharin 100/E9_01.tif "/>
    <s v=" 19228.9763 "/>
    <s v=" 67.793 "/>
    <x v="0"/>
    <n v="1303590"/>
    <m/>
    <m/>
  </r>
  <r>
    <x v="21"/>
    <x v="4"/>
    <s v="F:\Données chgh\2020-CHG-CZA-Saccharin-3\plaque 2/@21 Testo +   Saccharin 100/E9_02.tif "/>
    <s v=" 18212.3713 "/>
    <s v=" 67.7494 "/>
    <x v="0"/>
    <n v="1233877"/>
    <m/>
    <m/>
  </r>
  <r>
    <x v="21"/>
    <x v="4"/>
    <s v="F:\Données chgh\2020-CHG-CZA-Saccharin-3\plaque 2/@21 Testo +   Saccharin 100/E9_03- exclu.tif"/>
    <m/>
    <m/>
    <x v="1"/>
    <m/>
    <m/>
    <m/>
  </r>
  <r>
    <x v="21"/>
    <x v="5"/>
    <s v="F:\Données chgh\2020-CHG-CZA-Saccharin-3\plaque 2/@21 Testo +   Saccharin 100/F9_01.tif "/>
    <s v=" 39907.1556 "/>
    <s v=" 72.9702 "/>
    <x v="0"/>
    <n v="2912033"/>
    <m/>
    <m/>
  </r>
  <r>
    <x v="21"/>
    <x v="5"/>
    <s v="F:\Données chgh\2020-CHG-CZA-Saccharin-3\plaque 2/@21 Testo +   Saccharin 100/F9_02.tif "/>
    <s v=" 42308.0739 "/>
    <s v=" 74.4433 "/>
    <x v="0"/>
    <n v="3149551"/>
    <m/>
    <m/>
  </r>
  <r>
    <x v="21"/>
    <x v="5"/>
    <s v="F:\Données chgh\2020-CHG-CZA-Saccharin-3\plaque 2/@21 Testo +   Saccharin 100/F9_03.tif "/>
    <s v=" 35992.1447 "/>
    <s v=" 72.497 "/>
    <x v="0"/>
    <n v="2609322"/>
    <m/>
    <m/>
  </r>
  <r>
    <x v="21"/>
    <x v="6"/>
    <s v="F:\Données chgh\2020-CHG-CZA-Saccharin-3\plaque 2/@21 Testo +   Saccharin 100/G9_01.tif "/>
    <s v=" 432.5979 "/>
    <s v=" 64.4 "/>
    <x v="0"/>
    <n v="27859"/>
    <m/>
    <m/>
  </r>
  <r>
    <x v="21"/>
    <x v="6"/>
    <s v="F:\Données chgh\2020-CHG-CZA-Saccharin-3\plaque 2/@21 Testo +   Saccharin 100/G9_02.tif "/>
    <s v=" 194.6691 "/>
    <s v=" 64.2222 "/>
    <x v="0"/>
    <n v="12502"/>
    <m/>
    <m/>
  </r>
  <r>
    <x v="21"/>
    <x v="6"/>
    <s v="F:\Données chgh\2020-CHG-CZA-Saccharin-3\plaque 2/@21 Testo +   Saccharin 100/G9_03.tif "/>
    <s v=" 129.7794 "/>
    <s v=" 63.8333 "/>
    <x v="0"/>
    <n v="8284"/>
    <m/>
    <m/>
  </r>
  <r>
    <x v="21"/>
    <x v="7"/>
    <s v="F:\Données chgh\2020-CHG-CZA-Saccharin-3\plaque 2/@21 Testo +   Saccharin 100/H9_01.tif "/>
    <s v=" 43757.2768 "/>
    <s v=" 75.61 "/>
    <x v="0"/>
    <n v="3308487"/>
    <m/>
    <m/>
  </r>
  <r>
    <x v="21"/>
    <x v="7"/>
    <s v="F:\Données chgh\2020-CHG-CZA-Saccharin-3\plaque 2/@21 Testo +   Saccharin 100/H9_02.tif "/>
    <s v=" 38393.063 "/>
    <s v=" 73.8327 "/>
    <x v="0"/>
    <n v="2834663"/>
    <m/>
    <m/>
  </r>
  <r>
    <x v="21"/>
    <x v="7"/>
    <s v="F:\Données chgh\2020-CHG-CZA-Saccharin-3\plaque 2/@21 Testo +   Saccharin 100/H9_03.tif "/>
    <s v=" 43843.7964 "/>
    <s v=" 75.0079 "/>
    <x v="0"/>
    <n v="3288631"/>
    <m/>
    <m/>
  </r>
  <r>
    <x v="1"/>
    <x v="8"/>
    <s v=" "/>
    <m/>
    <m/>
    <x v="1"/>
    <m/>
    <m/>
    <m/>
  </r>
  <r>
    <x v="1"/>
    <x v="8"/>
    <s v="group "/>
    <s v=" "/>
    <s v=" mean of mean fluo "/>
    <x v="2"/>
    <s v=" mean of total fluo "/>
    <s v=" SD total fluo "/>
    <s v=" n fluorescent "/>
  </r>
  <r>
    <x v="21"/>
    <x v="9"/>
    <s v="F:\Données chgh\2020-CHG-CZA-Saccharin-3\plaque 2/@21 Testo +   Saccharin 100/ "/>
    <s v=" "/>
    <s v=" 69.0847 "/>
    <x v="23"/>
    <s v=" 1613007.92 "/>
    <s v=" 1199794.24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4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4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30">
        <item x="0"/>
        <item x="1"/>
        <item x="2"/>
        <item x="3"/>
        <item x="4"/>
        <item x="5"/>
        <item x="6"/>
        <item x="7"/>
        <item m="1" x="25"/>
        <item m="1" x="22"/>
        <item m="1" x="27"/>
        <item m="1" x="28"/>
        <item m="1" x="23"/>
        <item x="13"/>
        <item x="14"/>
        <item x="15"/>
        <item x="16"/>
        <item m="1" x="26"/>
        <item m="1" x="24"/>
        <item x="19"/>
        <item x="20"/>
        <item x="21"/>
        <item x="8"/>
        <item x="9"/>
        <item x="10"/>
        <item x="11"/>
        <item x="12"/>
        <item x="17"/>
        <item x="18"/>
        <item t="default"/>
      </items>
    </pivotField>
    <pivotField axis="axisRow" subtotalTop="0" showAll="0">
      <items count="11">
        <item h="1" x="0"/>
        <item x="1"/>
        <item x="2"/>
        <item x="3"/>
        <item x="4"/>
        <item x="5"/>
        <item x="6"/>
        <item x="7"/>
        <item x="8"/>
        <item h="1" x="9"/>
        <item t="default"/>
      </items>
    </pivotField>
    <pivotField subtotalTop="0" showAll="0"/>
    <pivotField subtotalTop="0" showAll="0"/>
    <pivotField subtotalTop="0" showAll="0"/>
    <pivotField axis="axisPage" subtotalTop="0" showAll="0">
      <items count="43">
        <item x="1"/>
        <item x="0"/>
        <item x="2"/>
        <item m="1" x="38"/>
        <item m="1" x="33"/>
        <item m="1" x="34"/>
        <item m="1" x="40"/>
        <item m="1" x="41"/>
        <item m="1" x="27"/>
        <item m="1" x="39"/>
        <item m="1" x="29"/>
        <item m="1" x="30"/>
        <item m="1" x="36"/>
        <item m="1" x="37"/>
        <item m="1" x="25"/>
        <item m="1" x="24"/>
        <item m="1" x="32"/>
        <item m="1" x="28"/>
        <item m="1" x="26"/>
        <item m="1" x="35"/>
        <item m="1" x="31"/>
        <item x="21"/>
        <item x="22"/>
        <item x="23"/>
        <item x="3"/>
        <item x="4"/>
        <item x="5"/>
        <item x="6"/>
        <item x="7"/>
        <item x="8"/>
        <item x="9"/>
        <item x="10"/>
        <item x="11"/>
        <item x="12"/>
        <item x="13"/>
        <item x="14"/>
        <item x="15"/>
        <item x="16"/>
        <item x="17"/>
        <item x="18"/>
        <item x="19"/>
        <item x="20"/>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13"/>
    </i>
    <i>
      <x v="14"/>
    </i>
    <i>
      <x v="15"/>
    </i>
    <i>
      <x v="16"/>
    </i>
    <i>
      <x v="19"/>
    </i>
    <i>
      <x v="20"/>
    </i>
    <i>
      <x v="21"/>
    </i>
    <i>
      <x v="22"/>
    </i>
    <i>
      <x v="23"/>
    </i>
    <i>
      <x v="24"/>
    </i>
    <i>
      <x v="25"/>
    </i>
    <i>
      <x v="26"/>
    </i>
    <i>
      <x v="27"/>
    </i>
    <i>
      <x v="28"/>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4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4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23">
        <item m="1" x="21"/>
        <item x="12"/>
        <item m="1" x="22"/>
        <item x="1"/>
        <item x="2"/>
        <item x="3"/>
        <item x="4"/>
        <item x="5"/>
        <item x="6"/>
        <item x="14"/>
        <item x="15"/>
        <item x="13"/>
        <item x="0"/>
        <item x="7"/>
        <item x="8"/>
        <item x="9"/>
        <item x="10"/>
        <item x="11"/>
        <item x="16"/>
        <item x="17"/>
        <item x="18"/>
        <item x="19"/>
        <item x="20"/>
      </items>
    </pivotField>
    <pivotField axis="axisPage" multipleItemSelectionAllowed="1" showAll="0" defaultSubtotal="0">
      <items count="8">
        <item m="1" x="7"/>
        <item x="6"/>
        <item h="1" x="0"/>
        <item h="1" x="1"/>
        <item h="1" x="2"/>
        <item h="1" x="3"/>
        <item h="1" x="4"/>
        <item h="1" x="5"/>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4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 firstHeaderRow="1" firstDataRow="1" firstDataCol="1" rowPageCount="2" colPageCount="1"/>
  <pivotFields count="6">
    <pivotField axis="axisRow" showAll="0" defaultSubtotal="0">
      <items count="23">
        <item m="1" x="21"/>
        <item x="12"/>
        <item m="1" x="22"/>
        <item x="1"/>
        <item x="2"/>
        <item x="3"/>
        <item x="4"/>
        <item x="5"/>
        <item x="6"/>
        <item x="14"/>
        <item x="15"/>
        <item x="13"/>
        <item x="0"/>
        <item x="7"/>
        <item x="8"/>
        <item x="9"/>
        <item x="10"/>
        <item x="11"/>
        <item x="16"/>
        <item x="17"/>
        <item x="18"/>
        <item x="19"/>
        <item x="20"/>
      </items>
    </pivotField>
    <pivotField axis="axisPage" multipleItemSelectionAllowed="1" showAll="0" defaultSubtotal="0">
      <items count="8">
        <item m="1" x="7"/>
        <item h="1" x="0"/>
        <item x="6"/>
        <item h="1" x="1"/>
        <item h="1" x="2"/>
        <item h="1" x="3"/>
        <item h="1" x="4"/>
        <item h="1" x="5"/>
      </items>
    </pivotField>
    <pivotField showAll="0" defaultSubtotal="0"/>
    <pivotField showAll="0" defaultSubtotal="0"/>
    <pivotField showAll="0" defaultSubtotal="0"/>
    <pivotField axis="axisPage" showAll="0" defaultSubtotal="0">
      <items count="2">
        <item x="1"/>
        <item x="0"/>
      </items>
    </pivotField>
  </pivotFields>
  <rowFields count="1">
    <field x="0"/>
  </rowField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42" totalsRowShown="0" headerRowDxfId="41" dataDxfId="40" tableBorderDxfId="39">
  <autoFilter ref="A6:F42"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2"/>
  <sheetViews>
    <sheetView showGridLines="0" zoomScale="55" zoomScaleNormal="55" workbookViewId="0">
      <selection activeCell="C4" sqref="C4:D4"/>
    </sheetView>
  </sheetViews>
  <sheetFormatPr baseColWidth="10" defaultRowHeight="39" customHeight="1" x14ac:dyDescent="0.35"/>
  <cols>
    <col min="1" max="1" width="42" bestFit="1" customWidth="1"/>
    <col min="2" max="2" width="33.81640625" style="44" bestFit="1" customWidth="1"/>
    <col min="3" max="3" width="21.26953125" customWidth="1"/>
    <col min="4" max="4" width="30.453125" customWidth="1"/>
    <col min="5" max="5" width="62.26953125" style="159" bestFit="1" customWidth="1"/>
    <col min="6" max="6" width="56.7265625" bestFit="1" customWidth="1"/>
    <col min="7" max="7" width="19.453125" customWidth="1"/>
    <col min="8" max="8" width="15.26953125" customWidth="1"/>
    <col min="9" max="9" width="18" customWidth="1"/>
    <col min="10" max="10" width="19.54296875" bestFit="1" customWidth="1"/>
  </cols>
  <sheetData>
    <row r="1" spans="1:9" ht="39" customHeight="1" thickBot="1" x14ac:dyDescent="0.4">
      <c r="A1" s="196" t="s">
        <v>36</v>
      </c>
      <c r="B1" s="197"/>
      <c r="C1" s="197"/>
      <c r="D1" s="197"/>
      <c r="E1" s="197"/>
      <c r="F1" s="197"/>
      <c r="G1" s="197"/>
      <c r="H1" s="197"/>
      <c r="I1" s="198"/>
    </row>
    <row r="2" spans="1:9" ht="21.5" thickBot="1" x14ac:dyDescent="0.55000000000000004">
      <c r="A2" s="188" t="s">
        <v>17</v>
      </c>
      <c r="B2" s="42" t="s">
        <v>114</v>
      </c>
      <c r="C2" s="199" t="s">
        <v>1878</v>
      </c>
      <c r="D2" s="200"/>
      <c r="E2" s="42" t="s">
        <v>21</v>
      </c>
      <c r="F2" s="207">
        <v>44151</v>
      </c>
      <c r="G2" s="208"/>
      <c r="H2" s="208"/>
      <c r="I2" s="209"/>
    </row>
    <row r="3" spans="1:9" ht="21.5" thickBot="1" x14ac:dyDescent="0.55000000000000004">
      <c r="A3" s="189" t="s">
        <v>18</v>
      </c>
      <c r="B3" s="43" t="s">
        <v>114</v>
      </c>
      <c r="C3" s="199" t="s">
        <v>1879</v>
      </c>
      <c r="D3" s="200"/>
      <c r="E3" s="43" t="s">
        <v>21</v>
      </c>
      <c r="F3" s="204">
        <v>44153</v>
      </c>
      <c r="G3" s="205"/>
      <c r="H3" s="205"/>
      <c r="I3" s="206"/>
    </row>
    <row r="4" spans="1:9" ht="21.5" thickBot="1" x14ac:dyDescent="0.55000000000000004">
      <c r="A4" s="190" t="s">
        <v>22</v>
      </c>
      <c r="B4" s="178" t="s">
        <v>114</v>
      </c>
      <c r="C4" s="199" t="s">
        <v>1880</v>
      </c>
      <c r="D4" s="200"/>
      <c r="E4" s="178" t="s">
        <v>21</v>
      </c>
      <c r="F4" s="201">
        <v>44154</v>
      </c>
      <c r="G4" s="202"/>
      <c r="H4" s="202"/>
      <c r="I4" s="203"/>
    </row>
    <row r="5" spans="1:9" s="1" customFormat="1" ht="65.25" customHeight="1" thickBot="1" x14ac:dyDescent="0.4">
      <c r="A5" s="196" t="s">
        <v>37</v>
      </c>
      <c r="B5" s="197"/>
      <c r="C5" s="197"/>
      <c r="D5" s="197"/>
      <c r="E5" s="197"/>
      <c r="F5" s="197"/>
      <c r="G5" s="197"/>
      <c r="H5" s="197"/>
      <c r="I5" s="198"/>
    </row>
    <row r="6" spans="1:9" s="109" customFormat="1" ht="39" customHeight="1" x14ac:dyDescent="0.5">
      <c r="A6" s="76" t="s">
        <v>35</v>
      </c>
      <c r="B6" s="101" t="s">
        <v>7</v>
      </c>
      <c r="C6" s="64" t="s">
        <v>19</v>
      </c>
      <c r="D6" s="64" t="s">
        <v>75</v>
      </c>
      <c r="E6" s="156" t="s">
        <v>51</v>
      </c>
      <c r="F6" s="108" t="s">
        <v>78</v>
      </c>
    </row>
    <row r="7" spans="1:9" s="165" customFormat="1" ht="39" customHeight="1" x14ac:dyDescent="0.5">
      <c r="A7"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1" t="s">
        <v>122</v>
      </c>
      <c r="C7" s="162"/>
      <c r="D7" s="163"/>
      <c r="E7" s="164" t="s">
        <v>124</v>
      </c>
      <c r="F7" s="110"/>
    </row>
    <row r="8" spans="1:9" s="165" customFormat="1" ht="39" customHeight="1" x14ac:dyDescent="0.5">
      <c r="A8"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8" s="161" t="s">
        <v>122</v>
      </c>
      <c r="C8" s="162">
        <v>33.799999999999997</v>
      </c>
      <c r="D8" s="163" t="s">
        <v>123</v>
      </c>
      <c r="E8" s="164" t="s">
        <v>125</v>
      </c>
      <c r="F8" s="110"/>
    </row>
    <row r="9" spans="1:9" s="165" customFormat="1" ht="39" customHeight="1" x14ac:dyDescent="0.5">
      <c r="A9"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9" s="161" t="s">
        <v>122</v>
      </c>
      <c r="C9" s="162">
        <v>50.6</v>
      </c>
      <c r="D9" s="163" t="s">
        <v>123</v>
      </c>
      <c r="E9" s="164" t="s">
        <v>125</v>
      </c>
      <c r="F9" s="110"/>
    </row>
    <row r="10" spans="1:9" s="165" customFormat="1" ht="39" customHeight="1" x14ac:dyDescent="0.5">
      <c r="A10"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0" s="161" t="s">
        <v>122</v>
      </c>
      <c r="C10" s="162">
        <v>76</v>
      </c>
      <c r="D10" s="163" t="s">
        <v>123</v>
      </c>
      <c r="E10" s="164" t="s">
        <v>125</v>
      </c>
      <c r="F10" s="110"/>
    </row>
    <row r="11" spans="1:9" s="165" customFormat="1" ht="39" customHeight="1" x14ac:dyDescent="0.5">
      <c r="A11"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1" s="161" t="s">
        <v>122</v>
      </c>
      <c r="C11" s="162">
        <v>114</v>
      </c>
      <c r="D11" s="163" t="s">
        <v>123</v>
      </c>
      <c r="E11" s="164" t="s">
        <v>125</v>
      </c>
      <c r="F11" s="110"/>
    </row>
    <row r="12" spans="1:9" s="165" customFormat="1" ht="39" customHeight="1" x14ac:dyDescent="0.5">
      <c r="A12"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2" s="161" t="s">
        <v>122</v>
      </c>
      <c r="C12" s="162">
        <v>170.9</v>
      </c>
      <c r="D12" s="163" t="s">
        <v>123</v>
      </c>
      <c r="E12" s="164" t="s">
        <v>125</v>
      </c>
      <c r="F12" s="110"/>
    </row>
    <row r="13" spans="1:9" s="165" customFormat="1" ht="39" customHeight="1" x14ac:dyDescent="0.5">
      <c r="A13"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3" s="161" t="s">
        <v>122</v>
      </c>
      <c r="C13" s="162">
        <v>488</v>
      </c>
      <c r="D13" s="163" t="s">
        <v>123</v>
      </c>
      <c r="E13" s="164" t="s">
        <v>125</v>
      </c>
      <c r="F13" s="110"/>
    </row>
    <row r="14" spans="1:9" s="165" customFormat="1" ht="39" customHeight="1" x14ac:dyDescent="0.5">
      <c r="A14" s="16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Saccharin-0,01mg/L</v>
      </c>
      <c r="B14" s="161" t="s">
        <v>164</v>
      </c>
      <c r="C14" s="162">
        <v>0.01</v>
      </c>
      <c r="D14" s="163" t="s">
        <v>128</v>
      </c>
      <c r="E14" s="164" t="s">
        <v>165</v>
      </c>
      <c r="F14" s="110"/>
    </row>
    <row r="15" spans="1:9" s="111" customFormat="1" ht="39" customHeight="1" x14ac:dyDescent="0.35">
      <c r="A1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Saccharin-0,1mg/L</v>
      </c>
      <c r="B15" s="161" t="s">
        <v>166</v>
      </c>
      <c r="C15" s="105">
        <v>0.1</v>
      </c>
      <c r="D15" s="163" t="s">
        <v>128</v>
      </c>
      <c r="E15" s="164" t="s">
        <v>165</v>
      </c>
      <c r="F15" s="110"/>
    </row>
    <row r="16" spans="1:9" s="111" customFormat="1" ht="39" customHeight="1" x14ac:dyDescent="0.3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Saccharin-1mg/L</v>
      </c>
      <c r="B16" s="161" t="s">
        <v>167</v>
      </c>
      <c r="C16" s="105">
        <v>1</v>
      </c>
      <c r="D16" s="163" t="s">
        <v>128</v>
      </c>
      <c r="E16" s="164" t="s">
        <v>165</v>
      </c>
      <c r="F16" s="110"/>
    </row>
    <row r="17" spans="1:6" s="111" customFormat="1" ht="39" customHeight="1" x14ac:dyDescent="0.3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Saccharin-10mg/L</v>
      </c>
      <c r="B17" s="161" t="s">
        <v>168</v>
      </c>
      <c r="C17" s="105">
        <v>10</v>
      </c>
      <c r="D17" s="163" t="s">
        <v>128</v>
      </c>
      <c r="E17" s="164" t="s">
        <v>165</v>
      </c>
      <c r="F17" s="110"/>
    </row>
    <row r="18" spans="1:6" s="111" customFormat="1" ht="39" customHeight="1" x14ac:dyDescent="0.3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Saccharin-100mg/L</v>
      </c>
      <c r="B18" s="161" t="s">
        <v>169</v>
      </c>
      <c r="C18" s="105">
        <v>100</v>
      </c>
      <c r="D18" s="163" t="s">
        <v>128</v>
      </c>
      <c r="E18" s="164" t="s">
        <v>165</v>
      </c>
      <c r="F18" s="110"/>
    </row>
    <row r="19" spans="1:6" s="111" customFormat="1" ht="39" customHeight="1" x14ac:dyDescent="0.3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40"/>
      <c r="C19" s="105"/>
      <c r="D19" s="105"/>
      <c r="E19" s="40"/>
      <c r="F19" s="110"/>
    </row>
    <row r="20" spans="1:6" s="111" customFormat="1" ht="39" customHeight="1" x14ac:dyDescent="0.3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102"/>
      <c r="C20" s="105"/>
      <c r="D20" s="105"/>
      <c r="E20" s="102"/>
      <c r="F20" s="110"/>
    </row>
    <row r="21" spans="1:6" s="111" customFormat="1" ht="39" customHeight="1" x14ac:dyDescent="0.3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40"/>
      <c r="C21" s="105"/>
      <c r="D21" s="105"/>
      <c r="E21" s="40"/>
      <c r="F21" s="110"/>
    </row>
    <row r="22" spans="1:6" s="111" customFormat="1" ht="39" customHeight="1" x14ac:dyDescent="0.3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102"/>
      <c r="C22" s="105"/>
      <c r="D22" s="105"/>
      <c r="E22" s="102"/>
      <c r="F22" s="110"/>
    </row>
    <row r="23" spans="1:6" s="111" customFormat="1" ht="39" customHeight="1" x14ac:dyDescent="0.3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40"/>
      <c r="C23" s="105"/>
      <c r="D23" s="105"/>
      <c r="E23" s="40"/>
      <c r="F23" s="110"/>
    </row>
    <row r="24" spans="1:6" s="111" customFormat="1" ht="39" customHeight="1" x14ac:dyDescent="0.3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102"/>
      <c r="C24" s="105"/>
      <c r="D24" s="105"/>
      <c r="E24" s="102"/>
      <c r="F24" s="110"/>
    </row>
    <row r="25" spans="1:6" s="111" customFormat="1" ht="39" customHeight="1" x14ac:dyDescent="0.3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40"/>
      <c r="C25" s="105"/>
      <c r="D25" s="105"/>
      <c r="E25" s="40"/>
      <c r="F25" s="110"/>
    </row>
    <row r="26" spans="1:6" s="111" customFormat="1" ht="39" customHeight="1" x14ac:dyDescent="0.3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102"/>
      <c r="C26" s="105"/>
      <c r="D26" s="105"/>
      <c r="E26" s="102"/>
      <c r="F26" s="110"/>
    </row>
    <row r="27" spans="1:6" s="111" customFormat="1" ht="39" customHeight="1" x14ac:dyDescent="0.3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40"/>
      <c r="C27" s="105"/>
      <c r="D27" s="105"/>
      <c r="E27" s="40"/>
      <c r="F27" s="110"/>
    </row>
    <row r="28" spans="1:6" s="111" customFormat="1" ht="39" customHeight="1" x14ac:dyDescent="0.3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102"/>
      <c r="C28" s="105"/>
      <c r="D28" s="105"/>
      <c r="E28" s="102"/>
      <c r="F28" s="110"/>
    </row>
    <row r="29" spans="1:6" s="111" customFormat="1" ht="39" customHeight="1" x14ac:dyDescent="0.3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40"/>
      <c r="C29" s="105"/>
      <c r="D29" s="114"/>
      <c r="E29" s="40"/>
      <c r="F29" s="110"/>
    </row>
    <row r="30" spans="1:6" s="111" customFormat="1" ht="39" customHeight="1" x14ac:dyDescent="0.3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102"/>
      <c r="C30" s="105"/>
      <c r="D30" s="114"/>
      <c r="E30" s="102"/>
      <c r="F30" s="110"/>
    </row>
    <row r="31" spans="1:6" s="111" customFormat="1" ht="39" customHeight="1" x14ac:dyDescent="0.3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40"/>
      <c r="C31" s="105"/>
      <c r="D31" s="114"/>
      <c r="E31" s="40"/>
      <c r="F31" s="110"/>
    </row>
    <row r="32" spans="1:6" s="111" customFormat="1" ht="39" customHeight="1" x14ac:dyDescent="0.3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102"/>
      <c r="C32" s="105"/>
      <c r="D32" s="114"/>
      <c r="E32" s="102"/>
      <c r="F32" s="110"/>
    </row>
    <row r="33" spans="1:6" s="111" customFormat="1" ht="39" customHeight="1" x14ac:dyDescent="0.3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40"/>
      <c r="C33" s="105"/>
      <c r="D33" s="114"/>
      <c r="E33" s="40"/>
      <c r="F33" s="110"/>
    </row>
    <row r="34" spans="1:6" s="111" customFormat="1" ht="39" customHeight="1" thickBot="1" x14ac:dyDescent="0.4">
      <c r="A3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166"/>
      <c r="C34" s="167"/>
      <c r="D34" s="115"/>
      <c r="E34" s="166"/>
      <c r="F34" s="110"/>
    </row>
    <row r="35" spans="1:6" s="111" customFormat="1" ht="39" customHeight="1" x14ac:dyDescent="0.35">
      <c r="A35"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5" s="103" t="s">
        <v>122</v>
      </c>
      <c r="C35" s="106">
        <v>30</v>
      </c>
      <c r="D35" s="116" t="s">
        <v>126</v>
      </c>
      <c r="E35" s="157" t="s">
        <v>20</v>
      </c>
      <c r="F35" s="169"/>
    </row>
    <row r="36" spans="1:6" s="111" customFormat="1" ht="39" customHeight="1" x14ac:dyDescent="0.35">
      <c r="A36"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6" s="104" t="s">
        <v>122</v>
      </c>
      <c r="C36" s="107">
        <v>64</v>
      </c>
      <c r="D36" s="117" t="s">
        <v>123</v>
      </c>
      <c r="E36" s="158" t="s">
        <v>127</v>
      </c>
      <c r="F36" s="171"/>
    </row>
    <row r="37" spans="1:6" s="111" customFormat="1" ht="39" customHeight="1" thickBot="1" x14ac:dyDescent="0.4">
      <c r="A37" s="17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7" s="173" t="s">
        <v>122</v>
      </c>
      <c r="C37" s="174">
        <v>10</v>
      </c>
      <c r="D37" s="175" t="s">
        <v>128</v>
      </c>
      <c r="E37" s="176" t="s">
        <v>129</v>
      </c>
      <c r="F37" s="177"/>
    </row>
    <row r="38" spans="1:6" s="111" customFormat="1" ht="39" customHeight="1" x14ac:dyDescent="0.35">
      <c r="A38"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Saccharin-0,01mg/L + Testostérone</v>
      </c>
      <c r="B38" s="191" t="str">
        <f>B14</f>
        <v>WF-194-20</v>
      </c>
      <c r="C38" s="191">
        <f t="shared" ref="C38:E38" si="0">C14</f>
        <v>0.01</v>
      </c>
      <c r="D38" s="191" t="str">
        <f t="shared" si="0"/>
        <v>mg/L</v>
      </c>
      <c r="E38" s="191" t="str">
        <f t="shared" si="0"/>
        <v>Saccharin</v>
      </c>
      <c r="F38" s="112" t="s">
        <v>50</v>
      </c>
    </row>
    <row r="39" spans="1:6" s="111" customFormat="1" ht="39" customHeight="1" x14ac:dyDescent="0.35">
      <c r="A3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Saccharin-0,1mg/L + Testostérone</v>
      </c>
      <c r="B39" s="192" t="str">
        <f t="shared" ref="B39:E39" si="1">B15</f>
        <v>WF-194-21</v>
      </c>
      <c r="C39" s="192">
        <f t="shared" si="1"/>
        <v>0.1</v>
      </c>
      <c r="D39" s="192" t="str">
        <f t="shared" si="1"/>
        <v>mg/L</v>
      </c>
      <c r="E39" s="192" t="str">
        <f t="shared" si="1"/>
        <v>Saccharin</v>
      </c>
      <c r="F39" s="113" t="s">
        <v>50</v>
      </c>
    </row>
    <row r="40" spans="1:6" s="111" customFormat="1" ht="39" customHeight="1" x14ac:dyDescent="0.3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Saccharin-1mg/L + Testostérone</v>
      </c>
      <c r="B40" s="192" t="str">
        <f t="shared" ref="B40:E40" si="2">B16</f>
        <v>WF-194-22</v>
      </c>
      <c r="C40" s="192">
        <f t="shared" si="2"/>
        <v>1</v>
      </c>
      <c r="D40" s="192" t="str">
        <f t="shared" si="2"/>
        <v>mg/L</v>
      </c>
      <c r="E40" s="192" t="str">
        <f t="shared" si="2"/>
        <v>Saccharin</v>
      </c>
      <c r="F40" s="113" t="s">
        <v>50</v>
      </c>
    </row>
    <row r="41" spans="1:6" s="111" customFormat="1" ht="39" customHeight="1" x14ac:dyDescent="0.3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Saccharin-10mg/L + Testostérone</v>
      </c>
      <c r="B41" s="192" t="str">
        <f t="shared" ref="B41:E41" si="3">B17</f>
        <v>WF-194-23</v>
      </c>
      <c r="C41" s="192">
        <f t="shared" si="3"/>
        <v>10</v>
      </c>
      <c r="D41" s="192" t="str">
        <f t="shared" si="3"/>
        <v>mg/L</v>
      </c>
      <c r="E41" s="192" t="str">
        <f t="shared" si="3"/>
        <v>Saccharin</v>
      </c>
      <c r="F41" s="113" t="s">
        <v>50</v>
      </c>
    </row>
    <row r="42" spans="1:6" s="111" customFormat="1" ht="39" customHeight="1" x14ac:dyDescent="0.3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Saccharin-100mg/L + Testostérone</v>
      </c>
      <c r="B42" s="192" t="str">
        <f t="shared" ref="B42:E42" si="4">B18</f>
        <v>WF-194-24</v>
      </c>
      <c r="C42" s="192">
        <f t="shared" si="4"/>
        <v>100</v>
      </c>
      <c r="D42" s="192" t="str">
        <f t="shared" si="4"/>
        <v>mg/L</v>
      </c>
      <c r="E42" s="192" t="str">
        <f t="shared" si="4"/>
        <v>Saccharin</v>
      </c>
      <c r="F42" s="113" t="s">
        <v>50</v>
      </c>
    </row>
  </sheetData>
  <protectedRanges>
    <protectedRange sqref="C19:D37 C15:C18 A15:A42" name="Plage1_1"/>
  </protectedRanges>
  <mergeCells count="8">
    <mergeCell ref="A5:I5"/>
    <mergeCell ref="A1:I1"/>
    <mergeCell ref="C2:D2"/>
    <mergeCell ref="C3:D3"/>
    <mergeCell ref="C4:D4"/>
    <mergeCell ref="F4:I4"/>
    <mergeCell ref="F3:I3"/>
    <mergeCell ref="F2:I2"/>
  </mergeCells>
  <phoneticPr fontId="19" type="noConversion"/>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4.5" x14ac:dyDescent="0.35"/>
  <cols>
    <col min="1" max="1" width="14.1796875" customWidth="1"/>
    <col min="2" max="2" width="14" customWidth="1"/>
    <col min="3" max="3" width="11.54296875" customWidth="1"/>
    <col min="4" max="4" width="12.453125" customWidth="1"/>
    <col min="5" max="5" width="17.26953125" customWidth="1"/>
    <col min="7" max="7" width="19.54296875" customWidth="1"/>
    <col min="9" max="9" width="15.7265625" customWidth="1"/>
  </cols>
  <sheetData>
    <row r="1" spans="1:9" x14ac:dyDescent="0.35">
      <c r="A1" t="s">
        <v>106</v>
      </c>
      <c r="B1" t="s">
        <v>107</v>
      </c>
      <c r="C1" t="s">
        <v>108</v>
      </c>
      <c r="D1" t="s">
        <v>109</v>
      </c>
      <c r="E1" t="s">
        <v>110</v>
      </c>
      <c r="F1" t="s">
        <v>111</v>
      </c>
      <c r="G1" t="s">
        <v>112</v>
      </c>
      <c r="H1" t="s">
        <v>116</v>
      </c>
      <c r="I1" t="s">
        <v>117</v>
      </c>
    </row>
    <row r="2" spans="1:9" x14ac:dyDescent="0.35">
      <c r="A2" t="s">
        <v>151</v>
      </c>
      <c r="B2" t="s">
        <v>162</v>
      </c>
      <c r="C2" t="s">
        <v>142</v>
      </c>
      <c r="D2" t="s">
        <v>145</v>
      </c>
      <c r="E2" t="s">
        <v>146</v>
      </c>
      <c r="F2" t="s">
        <v>111</v>
      </c>
      <c r="G2">
        <v>360268</v>
      </c>
    </row>
    <row r="3" spans="1:9" x14ac:dyDescent="0.35">
      <c r="A3" t="s">
        <v>151</v>
      </c>
      <c r="B3" t="s">
        <v>162</v>
      </c>
      <c r="C3" t="s">
        <v>143</v>
      </c>
      <c r="D3" t="s">
        <v>147</v>
      </c>
      <c r="E3" t="s">
        <v>148</v>
      </c>
      <c r="F3" t="s">
        <v>111</v>
      </c>
      <c r="G3">
        <v>372315</v>
      </c>
    </row>
    <row r="4" spans="1:9" x14ac:dyDescent="0.35">
      <c r="A4" t="s">
        <v>151</v>
      </c>
      <c r="B4" t="s">
        <v>162</v>
      </c>
      <c r="C4" t="s">
        <v>144</v>
      </c>
      <c r="D4" t="s">
        <v>149</v>
      </c>
      <c r="E4" t="s">
        <v>150</v>
      </c>
      <c r="F4" t="s">
        <v>111</v>
      </c>
      <c r="G4">
        <v>237626</v>
      </c>
    </row>
    <row r="5" spans="1:9" x14ac:dyDescent="0.35">
      <c r="A5" t="s">
        <v>151</v>
      </c>
      <c r="B5" t="s">
        <v>162</v>
      </c>
      <c r="C5" t="s">
        <v>159</v>
      </c>
      <c r="D5" t="s">
        <v>160</v>
      </c>
      <c r="E5" t="s">
        <v>161</v>
      </c>
      <c r="F5" t="s">
        <v>111</v>
      </c>
      <c r="G5">
        <v>1439015</v>
      </c>
    </row>
    <row r="6" spans="1:9" x14ac:dyDescent="0.35">
      <c r="A6" t="s">
        <v>151</v>
      </c>
      <c r="B6" t="s">
        <v>162</v>
      </c>
      <c r="C6" t="s">
        <v>156</v>
      </c>
      <c r="D6" t="s">
        <v>157</v>
      </c>
      <c r="E6" t="s">
        <v>158</v>
      </c>
      <c r="F6" t="s">
        <v>111</v>
      </c>
      <c r="G6">
        <v>1433586</v>
      </c>
    </row>
    <row r="7" spans="1:9" x14ac:dyDescent="0.35">
      <c r="A7" t="s">
        <v>151</v>
      </c>
      <c r="B7" t="s">
        <v>162</v>
      </c>
      <c r="C7" t="s">
        <v>153</v>
      </c>
      <c r="D7" t="s">
        <v>154</v>
      </c>
      <c r="E7" t="s">
        <v>155</v>
      </c>
      <c r="F7" t="s">
        <v>111</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zoomScale="70" zoomScaleNormal="70" workbookViewId="0">
      <selection activeCell="C2" sqref="C2:I590"/>
    </sheetView>
  </sheetViews>
  <sheetFormatPr baseColWidth="10" defaultColWidth="11.453125" defaultRowHeight="14.5" x14ac:dyDescent="0.35"/>
  <cols>
    <col min="1" max="1" width="15" style="1" customWidth="1"/>
    <col min="2" max="2" width="26.54296875" style="1" customWidth="1"/>
    <col min="3" max="3" width="87.1796875" style="1" bestFit="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25.26953125" style="1" customWidth="1"/>
    <col min="12" max="12" width="15.453125" style="1" customWidth="1"/>
    <col min="13" max="14" width="12.81640625" style="1" customWidth="1"/>
    <col min="15" max="20" width="12.26953125" style="1" customWidth="1"/>
    <col min="21" max="21" width="17.453125" style="1" customWidth="1"/>
    <col min="22" max="25" width="12.26953125" style="1" customWidth="1"/>
    <col min="26" max="27" width="15.54296875" style="1" customWidth="1"/>
    <col min="28" max="28" width="14.26953125" style="1" customWidth="1"/>
    <col min="29" max="16384" width="11.453125" style="1"/>
  </cols>
  <sheetData>
    <row r="1" spans="1:144" x14ac:dyDescent="0.35">
      <c r="A1" s="1" t="s">
        <v>106</v>
      </c>
      <c r="B1" s="1" t="s">
        <v>107</v>
      </c>
      <c r="C1" s="1" t="s">
        <v>108</v>
      </c>
      <c r="D1" s="1" t="s">
        <v>109</v>
      </c>
      <c r="E1" s="1" t="s">
        <v>110</v>
      </c>
      <c r="F1" s="1" t="s">
        <v>111</v>
      </c>
      <c r="G1" s="1" t="s">
        <v>112</v>
      </c>
      <c r="H1" s="1" t="s">
        <v>116</v>
      </c>
      <c r="I1" s="1" t="s">
        <v>117</v>
      </c>
      <c r="K1" s="118" t="s">
        <v>111</v>
      </c>
      <c r="L1" s="1" t="s">
        <v>118</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170</v>
      </c>
      <c r="D2" s="1" t="s">
        <v>149</v>
      </c>
      <c r="E2" s="1" t="s">
        <v>171</v>
      </c>
      <c r="F2" s="1" t="s">
        <v>111</v>
      </c>
      <c r="G2" s="1">
        <v>227611</v>
      </c>
      <c r="K2" s="155" t="s">
        <v>119</v>
      </c>
      <c r="L2" s="155" t="s">
        <v>120</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172</v>
      </c>
      <c r="D3" s="1" t="s">
        <v>173</v>
      </c>
      <c r="E3" s="1" t="s">
        <v>174</v>
      </c>
      <c r="F3" s="1" t="s">
        <v>111</v>
      </c>
      <c r="G3" s="1">
        <v>38371</v>
      </c>
      <c r="K3" s="118" t="s">
        <v>152</v>
      </c>
      <c r="L3" s="118" t="s">
        <v>113</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175</v>
      </c>
      <c r="D4" s="1" t="s">
        <v>176</v>
      </c>
      <c r="E4" s="1" t="s">
        <v>177</v>
      </c>
      <c r="F4" s="1" t="s">
        <v>111</v>
      </c>
      <c r="G4" s="1">
        <v>192831</v>
      </c>
      <c r="K4" s="118" t="s">
        <v>100</v>
      </c>
      <c r="L4" s="1" t="s">
        <v>1580</v>
      </c>
      <c r="M4" s="1" t="s">
        <v>1581</v>
      </c>
      <c r="N4" s="1" t="s">
        <v>1582</v>
      </c>
      <c r="O4" s="1" t="s">
        <v>1583</v>
      </c>
      <c r="P4" s="1" t="s">
        <v>1584</v>
      </c>
      <c r="Q4" s="1" t="s">
        <v>1585</v>
      </c>
      <c r="R4" s="1" t="s">
        <v>1586</v>
      </c>
      <c r="S4" s="1" t="s">
        <v>1587</v>
      </c>
      <c r="T4" s="1" t="s">
        <v>1588</v>
      </c>
      <c r="U4" s="1" t="s">
        <v>1589</v>
      </c>
      <c r="V4" s="1" t="s">
        <v>1590</v>
      </c>
      <c r="W4" s="1" t="s">
        <v>1591</v>
      </c>
      <c r="X4" s="1" t="s">
        <v>1592</v>
      </c>
      <c r="Y4" s="1" t="s">
        <v>1593</v>
      </c>
      <c r="Z4" s="1" t="s">
        <v>1594</v>
      </c>
      <c r="AA4" s="1" t="s">
        <v>1595</v>
      </c>
      <c r="AB4" s="1" t="s">
        <v>1596</v>
      </c>
      <c r="AC4" s="1" t="s">
        <v>1597</v>
      </c>
      <c r="AD4" s="1" t="s">
        <v>1598</v>
      </c>
      <c r="AE4" s="1" t="s">
        <v>1599</v>
      </c>
      <c r="AF4" s="1" t="s">
        <v>1600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178</v>
      </c>
      <c r="D5" s="1" t="s">
        <v>179</v>
      </c>
      <c r="E5" s="1" t="s">
        <v>180</v>
      </c>
      <c r="F5" s="1" t="s">
        <v>111</v>
      </c>
      <c r="G5" s="1">
        <v>189759</v>
      </c>
      <c r="K5" s="145" t="s">
        <v>162</v>
      </c>
      <c r="L5" s="44">
        <v>152937.66666666666</v>
      </c>
      <c r="M5" s="44">
        <v>307050.66666666669</v>
      </c>
      <c r="N5" s="44">
        <v>99237.666666666672</v>
      </c>
      <c r="O5" s="44">
        <v>470320.5</v>
      </c>
      <c r="P5" s="44">
        <v>379561.33333333331</v>
      </c>
      <c r="Q5" s="44">
        <v>2830481</v>
      </c>
      <c r="R5" s="44">
        <v>4610368.666666667</v>
      </c>
      <c r="S5" s="44">
        <v>25588.5</v>
      </c>
      <c r="T5" s="44">
        <v>121005</v>
      </c>
      <c r="U5" s="44">
        <v>10415</v>
      </c>
      <c r="V5" s="44">
        <v>16431.666666666668</v>
      </c>
      <c r="W5" s="44">
        <v>493529</v>
      </c>
      <c r="X5" s="44">
        <v>2772620.6666666665</v>
      </c>
      <c r="Y5" s="44">
        <v>416808</v>
      </c>
      <c r="Z5" s="44">
        <v>3579999.6666666665</v>
      </c>
      <c r="AA5" s="44">
        <v>37484.666666666664</v>
      </c>
      <c r="AB5" s="44">
        <v>1195801.3333333333</v>
      </c>
      <c r="AC5" s="44">
        <v>2899350.3333333335</v>
      </c>
      <c r="AD5" s="44">
        <v>196680.33333333334</v>
      </c>
      <c r="AE5" s="44">
        <v>2913049.3333333335</v>
      </c>
      <c r="AF5" s="44">
        <v>56302.333333333336</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181</v>
      </c>
      <c r="D6" s="1" t="s">
        <v>182</v>
      </c>
      <c r="E6" s="1" t="s">
        <v>183</v>
      </c>
      <c r="F6" s="1" t="s">
        <v>111</v>
      </c>
      <c r="G6" s="1">
        <v>314715</v>
      </c>
      <c r="K6" s="145" t="s">
        <v>1601</v>
      </c>
      <c r="L6" s="44">
        <v>184005.66666666666</v>
      </c>
      <c r="M6" s="44">
        <v>599494</v>
      </c>
      <c r="N6" s="44">
        <v>48591.5</v>
      </c>
      <c r="O6" s="44">
        <v>1371025.6666666667</v>
      </c>
      <c r="P6" s="44">
        <v>360527</v>
      </c>
      <c r="Q6" s="44">
        <v>2984211.6666666665</v>
      </c>
      <c r="R6" s="44">
        <v>3028480.6666666665</v>
      </c>
      <c r="S6" s="44">
        <v>10220</v>
      </c>
      <c r="T6" s="44">
        <v>27433.666666666668</v>
      </c>
      <c r="U6" s="44">
        <v>88163.666666666672</v>
      </c>
      <c r="V6" s="44">
        <v>38079.5</v>
      </c>
      <c r="W6" s="44">
        <v>126506.33333333333</v>
      </c>
      <c r="X6" s="44">
        <v>1881700</v>
      </c>
      <c r="Y6" s="44">
        <v>2236416</v>
      </c>
      <c r="Z6" s="44">
        <v>4700659.333333333</v>
      </c>
      <c r="AA6" s="44">
        <v>55596</v>
      </c>
      <c r="AB6" s="44">
        <v>2617877</v>
      </c>
      <c r="AC6" s="44">
        <v>480746</v>
      </c>
      <c r="AD6" s="44">
        <v>3216935</v>
      </c>
      <c r="AE6" s="44">
        <v>35502</v>
      </c>
      <c r="AF6" s="44">
        <v>3982611.6666666665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184</v>
      </c>
      <c r="D7" s="1" t="s">
        <v>185</v>
      </c>
      <c r="E7" s="1" t="s">
        <v>186</v>
      </c>
      <c r="F7" s="1" t="s">
        <v>111</v>
      </c>
      <c r="G7" s="1">
        <v>47543</v>
      </c>
      <c r="K7" s="145" t="s">
        <v>1602</v>
      </c>
      <c r="L7" s="44">
        <v>438899.33333333331</v>
      </c>
      <c r="M7" s="44">
        <v>100810</v>
      </c>
      <c r="N7" s="44">
        <v>74421.333333333328</v>
      </c>
      <c r="O7" s="44">
        <v>105820.66666666667</v>
      </c>
      <c r="P7" s="44">
        <v>92828.333333333328</v>
      </c>
      <c r="Q7" s="44">
        <v>2609243</v>
      </c>
      <c r="R7" s="44">
        <v>6051532.666666667</v>
      </c>
      <c r="S7" s="44">
        <v>26835.666666666668</v>
      </c>
      <c r="T7" s="44">
        <v>367629</v>
      </c>
      <c r="U7" s="44">
        <v>44161.333333333336</v>
      </c>
      <c r="V7" s="44">
        <v>315090.33333333331</v>
      </c>
      <c r="W7" s="44">
        <v>18688</v>
      </c>
      <c r="X7" s="44">
        <v>2763752.3333333335</v>
      </c>
      <c r="Y7" s="44">
        <v>3280022</v>
      </c>
      <c r="Z7" s="44">
        <v>1981569</v>
      </c>
      <c r="AA7" s="44">
        <v>97450</v>
      </c>
      <c r="AB7" s="44">
        <v>1937681.5</v>
      </c>
      <c r="AC7" s="44">
        <v>212823.66666666666</v>
      </c>
      <c r="AD7" s="44">
        <v>660526.33333333337</v>
      </c>
      <c r="AE7" s="44">
        <v>181972.33333333334</v>
      </c>
      <c r="AF7" s="44">
        <v>3033910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187</v>
      </c>
      <c r="D8" s="1" t="s">
        <v>188</v>
      </c>
      <c r="E8" s="1" t="s">
        <v>189</v>
      </c>
      <c r="F8" s="1" t="s">
        <v>111</v>
      </c>
      <c r="G8" s="1">
        <v>62662</v>
      </c>
      <c r="K8" s="145" t="s">
        <v>1603</v>
      </c>
      <c r="L8" s="44">
        <v>334722.66666666669</v>
      </c>
      <c r="M8" s="44">
        <v>28472</v>
      </c>
      <c r="N8" s="44">
        <v>85885</v>
      </c>
      <c r="O8" s="44">
        <v>471589.33333333331</v>
      </c>
      <c r="P8" s="44">
        <v>462245.33333333331</v>
      </c>
      <c r="Q8" s="44">
        <v>2949214.3333333335</v>
      </c>
      <c r="R8" s="44">
        <v>4312474.666666667</v>
      </c>
      <c r="S8" s="44">
        <v>98704.333333333328</v>
      </c>
      <c r="T8" s="44">
        <v>15198.333333333334</v>
      </c>
      <c r="U8" s="44">
        <v>70535.333333333328</v>
      </c>
      <c r="V8" s="44">
        <v>680855</v>
      </c>
      <c r="W8" s="44">
        <v>87611.5</v>
      </c>
      <c r="X8" s="44">
        <v>744641.5</v>
      </c>
      <c r="Y8" s="44">
        <v>2157052</v>
      </c>
      <c r="Z8" s="44">
        <v>3080248.3333333335</v>
      </c>
      <c r="AA8" s="44">
        <v>224165.33333333334</v>
      </c>
      <c r="AB8" s="44">
        <v>148763</v>
      </c>
      <c r="AC8" s="44">
        <v>1520041</v>
      </c>
      <c r="AD8" s="44">
        <v>2044955</v>
      </c>
      <c r="AE8" s="44">
        <v>1718527.5</v>
      </c>
      <c r="AF8" s="44">
        <v>96253</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190</v>
      </c>
      <c r="D9" s="1" t="s">
        <v>191</v>
      </c>
      <c r="E9" s="1" t="s">
        <v>192</v>
      </c>
      <c r="F9" s="1" t="s">
        <v>111</v>
      </c>
      <c r="G9" s="1">
        <v>844431</v>
      </c>
      <c r="K9" s="145" t="s">
        <v>1604</v>
      </c>
      <c r="L9" s="44">
        <v>93225</v>
      </c>
      <c r="M9" s="44">
        <v>78452</v>
      </c>
      <c r="N9" s="44">
        <v>65171</v>
      </c>
      <c r="O9" s="44">
        <v>271340</v>
      </c>
      <c r="P9" s="44">
        <v>1018696.3333333334</v>
      </c>
      <c r="Q9" s="44">
        <v>3293786</v>
      </c>
      <c r="R9" s="44">
        <v>6634898</v>
      </c>
      <c r="S9" s="44">
        <v>8651.6666666666661</v>
      </c>
      <c r="T9" s="44">
        <v>38544.333333333336</v>
      </c>
      <c r="U9" s="44">
        <v>23973.333333333332</v>
      </c>
      <c r="V9" s="44">
        <v>52813</v>
      </c>
      <c r="W9" s="44"/>
      <c r="X9" s="44">
        <v>2508938</v>
      </c>
      <c r="Y9" s="44">
        <v>2469175.3333333335</v>
      </c>
      <c r="Z9" s="44">
        <v>4885666.666666667</v>
      </c>
      <c r="AA9" s="44">
        <v>390556.33333333331</v>
      </c>
      <c r="AB9" s="44">
        <v>2220243.6666666665</v>
      </c>
      <c r="AC9" s="44">
        <v>943957.33333333337</v>
      </c>
      <c r="AD9" s="44">
        <v>1197503.3333333333</v>
      </c>
      <c r="AE9" s="44">
        <v>25479.666666666668</v>
      </c>
      <c r="AF9" s="44">
        <v>3523178</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193</v>
      </c>
      <c r="D10" s="1" t="s">
        <v>194</v>
      </c>
      <c r="E10" s="1" t="s">
        <v>195</v>
      </c>
      <c r="F10" s="1" t="s">
        <v>111</v>
      </c>
      <c r="G10" s="1">
        <v>409605</v>
      </c>
      <c r="K10" s="145" t="s">
        <v>1605</v>
      </c>
      <c r="L10" s="44">
        <v>29243.666666666668</v>
      </c>
      <c r="M10" s="44">
        <v>78019.333333333328</v>
      </c>
      <c r="N10" s="44">
        <v>301455.66666666669</v>
      </c>
      <c r="O10" s="44">
        <v>332523.33333333331</v>
      </c>
      <c r="P10" s="44">
        <v>123128</v>
      </c>
      <c r="Q10" s="44">
        <v>1338631</v>
      </c>
      <c r="R10" s="44">
        <v>2866898.6666666665</v>
      </c>
      <c r="S10" s="44">
        <v>138482</v>
      </c>
      <c r="T10" s="44">
        <v>9243</v>
      </c>
      <c r="U10" s="44">
        <v>261051.5</v>
      </c>
      <c r="V10" s="44">
        <v>375862.66666666669</v>
      </c>
      <c r="W10" s="44">
        <v>129930.66666666667</v>
      </c>
      <c r="X10" s="44">
        <v>1199637.3333333333</v>
      </c>
      <c r="Y10" s="44">
        <v>92071.333333333328</v>
      </c>
      <c r="Z10" s="44">
        <v>3156119</v>
      </c>
      <c r="AA10" s="44">
        <v>277327.5</v>
      </c>
      <c r="AB10" s="44">
        <v>2594390.6666666665</v>
      </c>
      <c r="AC10" s="44">
        <v>34442</v>
      </c>
      <c r="AD10" s="44">
        <v>2897908.3333333335</v>
      </c>
      <c r="AE10" s="44">
        <v>1342697</v>
      </c>
      <c r="AF10" s="44">
        <v>758387.33333333337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196</v>
      </c>
      <c r="D11" s="1" t="s">
        <v>197</v>
      </c>
      <c r="E11" s="1" t="s">
        <v>198</v>
      </c>
      <c r="F11" s="1" t="s">
        <v>111</v>
      </c>
      <c r="G11" s="1">
        <v>442158</v>
      </c>
      <c r="K11" s="145" t="s">
        <v>1606</v>
      </c>
      <c r="L11" s="44">
        <v>87979.5</v>
      </c>
      <c r="M11" s="44">
        <v>50138</v>
      </c>
      <c r="N11" s="44">
        <v>190170</v>
      </c>
      <c r="O11" s="44">
        <v>288153.66666666669</v>
      </c>
      <c r="P11" s="44">
        <v>4645885</v>
      </c>
      <c r="Q11" s="44">
        <v>2066823</v>
      </c>
      <c r="R11" s="44">
        <v>4878125</v>
      </c>
      <c r="S11" s="44">
        <v>30822.666666666668</v>
      </c>
      <c r="T11" s="44">
        <v>21572</v>
      </c>
      <c r="U11" s="44">
        <v>124588</v>
      </c>
      <c r="V11" s="44">
        <v>88502.333333333328</v>
      </c>
      <c r="W11" s="44">
        <v>14196.333333333334</v>
      </c>
      <c r="X11" s="44">
        <v>2409685.3333333335</v>
      </c>
      <c r="Y11" s="44">
        <v>1925392</v>
      </c>
      <c r="Z11" s="44">
        <v>5201823.666666667</v>
      </c>
      <c r="AA11" s="44">
        <v>125453.33333333333</v>
      </c>
      <c r="AB11" s="44">
        <v>616769</v>
      </c>
      <c r="AC11" s="44">
        <v>2131280</v>
      </c>
      <c r="AD11" s="44">
        <v>2695690.6666666665</v>
      </c>
      <c r="AE11" s="44">
        <v>41212.333333333336</v>
      </c>
      <c r="AF11" s="44">
        <v>1276827.3333333333</v>
      </c>
      <c r="AG11"/>
    </row>
    <row r="12" spans="1:144" x14ac:dyDescent="0.35">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199</v>
      </c>
      <c r="D12" s="1" t="s">
        <v>200</v>
      </c>
      <c r="E12" s="1" t="s">
        <v>201</v>
      </c>
      <c r="F12" s="1" t="s">
        <v>111</v>
      </c>
      <c r="G12" s="1">
        <v>272364</v>
      </c>
      <c r="K12" s="145" t="s">
        <v>1607</v>
      </c>
      <c r="L12" s="44">
        <v>102857.66666666667</v>
      </c>
      <c r="M12" s="44">
        <v>376591</v>
      </c>
      <c r="N12" s="44">
        <v>658695</v>
      </c>
      <c r="O12" s="44">
        <v>559435.66666666663</v>
      </c>
      <c r="P12" s="44">
        <v>1825678.3333333333</v>
      </c>
      <c r="Q12" s="44">
        <v>621037.66666666663</v>
      </c>
      <c r="R12" s="44">
        <v>3912538</v>
      </c>
      <c r="S12" s="44">
        <v>7830.333333333333</v>
      </c>
      <c r="T12" s="44">
        <v>539666</v>
      </c>
      <c r="U12" s="44">
        <v>59943.666666666664</v>
      </c>
      <c r="V12" s="44">
        <v>91242</v>
      </c>
      <c r="W12" s="44">
        <v>58400.666666666664</v>
      </c>
      <c r="X12" s="44">
        <v>1684759.6666666667</v>
      </c>
      <c r="Y12" s="44">
        <v>702366</v>
      </c>
      <c r="Z12" s="44">
        <v>2743651.3333333335</v>
      </c>
      <c r="AA12" s="44">
        <v>292306</v>
      </c>
      <c r="AB12" s="44">
        <v>2617527.3333333335</v>
      </c>
      <c r="AC12" s="44">
        <v>820501.33333333337</v>
      </c>
      <c r="AD12" s="44">
        <v>30123.333333333332</v>
      </c>
      <c r="AE12" s="44">
        <v>1719346</v>
      </c>
      <c r="AF12" s="44">
        <v>593957</v>
      </c>
      <c r="AG12"/>
    </row>
    <row r="13" spans="1:144" x14ac:dyDescent="0.35">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202</v>
      </c>
      <c r="D13" s="1" t="s">
        <v>203</v>
      </c>
      <c r="E13" s="1" t="s">
        <v>204</v>
      </c>
      <c r="F13" s="1" t="s">
        <v>111</v>
      </c>
      <c r="G13" s="1">
        <v>289646</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205</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206</v>
      </c>
      <c r="D15" s="1" t="s">
        <v>207</v>
      </c>
      <c r="E15" s="1" t="s">
        <v>208</v>
      </c>
      <c r="F15" s="1" t="s">
        <v>111</v>
      </c>
      <c r="G15" s="1">
        <v>93225</v>
      </c>
    </row>
    <row r="16" spans="1:144" x14ac:dyDescent="0.35">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209</v>
      </c>
      <c r="M16"/>
      <c r="N16"/>
      <c r="O16"/>
      <c r="P16"/>
      <c r="Q16"/>
      <c r="R16"/>
      <c r="S16"/>
      <c r="T16"/>
      <c r="U16"/>
      <c r="V16"/>
      <c r="W16"/>
      <c r="X16"/>
      <c r="Y16"/>
      <c r="Z16"/>
      <c r="AA16"/>
      <c r="AB16"/>
      <c r="AC16"/>
      <c r="AD16"/>
      <c r="AE16"/>
      <c r="AF16"/>
      <c r="AG16"/>
      <c r="AH16"/>
    </row>
    <row r="17" spans="1:34" x14ac:dyDescent="0.35">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210</v>
      </c>
      <c r="D17" s="1" t="s">
        <v>211</v>
      </c>
      <c r="E17" s="1" t="s">
        <v>212</v>
      </c>
      <c r="F17" s="1" t="s">
        <v>111</v>
      </c>
      <c r="G17" s="1">
        <v>40599</v>
      </c>
      <c r="M17"/>
      <c r="N17"/>
      <c r="O17"/>
      <c r="P17"/>
      <c r="Q17"/>
      <c r="R17"/>
      <c r="S17"/>
      <c r="T17"/>
      <c r="U17"/>
      <c r="V17"/>
      <c r="W17"/>
      <c r="X17"/>
      <c r="Y17"/>
      <c r="Z17"/>
      <c r="AA17"/>
      <c r="AB17"/>
      <c r="AC17"/>
      <c r="AD17"/>
      <c r="AE17"/>
      <c r="AF17"/>
      <c r="AG17"/>
      <c r="AH17"/>
    </row>
    <row r="18" spans="1:34" x14ac:dyDescent="0.35">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213</v>
      </c>
      <c r="D18" s="1" t="s">
        <v>214</v>
      </c>
      <c r="E18" s="1" t="s">
        <v>215</v>
      </c>
      <c r="F18" s="1" t="s">
        <v>111</v>
      </c>
      <c r="G18" s="1">
        <v>30628</v>
      </c>
      <c r="M18"/>
      <c r="N18"/>
      <c r="O18"/>
      <c r="P18"/>
      <c r="Q18"/>
      <c r="R18"/>
      <c r="S18"/>
      <c r="T18"/>
      <c r="U18"/>
      <c r="V18"/>
      <c r="W18"/>
      <c r="X18"/>
      <c r="Y18"/>
      <c r="Z18"/>
      <c r="AA18"/>
      <c r="AB18"/>
      <c r="AC18"/>
      <c r="AD18"/>
      <c r="AE18"/>
      <c r="AF18"/>
      <c r="AG18"/>
      <c r="AH18"/>
    </row>
    <row r="19" spans="1:34" x14ac:dyDescent="0.35">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216</v>
      </c>
      <c r="D19" s="1" t="s">
        <v>217</v>
      </c>
      <c r="E19" s="1" t="s">
        <v>218</v>
      </c>
      <c r="F19" s="1" t="s">
        <v>111</v>
      </c>
      <c r="G19" s="1">
        <v>16504</v>
      </c>
      <c r="K19"/>
      <c r="L19"/>
      <c r="M19"/>
      <c r="N19"/>
      <c r="O19"/>
      <c r="P19"/>
      <c r="Q19"/>
      <c r="R19"/>
      <c r="S19"/>
      <c r="T19"/>
      <c r="U19"/>
      <c r="V19"/>
      <c r="W19"/>
      <c r="X19"/>
      <c r="Y19"/>
      <c r="Z19"/>
      <c r="AA19"/>
      <c r="AB19"/>
      <c r="AC19"/>
      <c r="AD19"/>
      <c r="AE19"/>
      <c r="AF19"/>
      <c r="AG19"/>
      <c r="AH19"/>
    </row>
    <row r="20" spans="1:34" x14ac:dyDescent="0.35">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219</v>
      </c>
      <c r="D20" s="1" t="s">
        <v>220</v>
      </c>
      <c r="E20" s="1" t="s">
        <v>221</v>
      </c>
      <c r="F20" s="1" t="s">
        <v>111</v>
      </c>
      <c r="G20" s="1">
        <v>102958</v>
      </c>
      <c r="K20"/>
      <c r="L20"/>
      <c r="M20"/>
      <c r="N20"/>
      <c r="O20"/>
      <c r="P20"/>
      <c r="Q20"/>
      <c r="R20"/>
      <c r="S20"/>
      <c r="T20"/>
      <c r="U20"/>
      <c r="V20"/>
      <c r="W20"/>
      <c r="X20"/>
      <c r="Y20"/>
      <c r="Z20"/>
      <c r="AA20"/>
      <c r="AB20"/>
      <c r="AC20"/>
      <c r="AD20"/>
      <c r="AE20"/>
      <c r="AF20"/>
      <c r="AG20"/>
      <c r="AH20"/>
    </row>
    <row r="21" spans="1:34" x14ac:dyDescent="0.35">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222</v>
      </c>
      <c r="K21"/>
      <c r="L21"/>
      <c r="M21"/>
      <c r="N21"/>
      <c r="O21"/>
      <c r="P21"/>
      <c r="Q21"/>
      <c r="R21"/>
      <c r="S21"/>
      <c r="T21"/>
      <c r="U21"/>
      <c r="V21"/>
      <c r="W21"/>
      <c r="X21"/>
      <c r="Y21"/>
      <c r="Z21"/>
      <c r="AA21"/>
      <c r="AB21"/>
      <c r="AC21"/>
      <c r="AD21"/>
      <c r="AE21"/>
      <c r="AF21"/>
      <c r="AG21"/>
      <c r="AH21"/>
    </row>
    <row r="22" spans="1:34" x14ac:dyDescent="0.35">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223</v>
      </c>
      <c r="D22" s="1" t="s">
        <v>224</v>
      </c>
      <c r="E22" s="1" t="s">
        <v>225</v>
      </c>
      <c r="F22" s="1" t="s">
        <v>111</v>
      </c>
      <c r="G22" s="1">
        <v>73001</v>
      </c>
      <c r="K22"/>
      <c r="L22"/>
      <c r="M22"/>
      <c r="N22"/>
      <c r="O22"/>
      <c r="P22"/>
      <c r="Q22"/>
      <c r="R22"/>
      <c r="S22"/>
      <c r="T22"/>
      <c r="U22"/>
      <c r="V22"/>
      <c r="W22"/>
      <c r="X22"/>
      <c r="Y22"/>
      <c r="Z22"/>
      <c r="AA22"/>
      <c r="AB22"/>
      <c r="AC22"/>
      <c r="AD22"/>
      <c r="AE22"/>
      <c r="AF22"/>
      <c r="AG22"/>
      <c r="AH22"/>
    </row>
    <row r="23" spans="1:34" x14ac:dyDescent="0.35">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226</v>
      </c>
      <c r="D23" s="1" t="s">
        <v>227</v>
      </c>
      <c r="E23" s="1" t="s">
        <v>228</v>
      </c>
      <c r="F23" s="1" t="s">
        <v>111</v>
      </c>
      <c r="G23" s="1">
        <v>110248</v>
      </c>
      <c r="K23"/>
      <c r="L23"/>
      <c r="M23"/>
      <c r="N23"/>
      <c r="O23"/>
      <c r="P23"/>
      <c r="Q23"/>
      <c r="R23"/>
      <c r="S23"/>
      <c r="T23"/>
      <c r="U23"/>
      <c r="V23"/>
      <c r="W23"/>
      <c r="X23"/>
      <c r="Y23"/>
      <c r="Z23"/>
      <c r="AA23"/>
      <c r="AB23"/>
      <c r="AC23"/>
      <c r="AD23"/>
      <c r="AE23"/>
      <c r="AF23"/>
      <c r="AG23"/>
      <c r="AH23"/>
    </row>
    <row r="24" spans="1:34" x14ac:dyDescent="0.35">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229</v>
      </c>
      <c r="D24" s="1" t="s">
        <v>224</v>
      </c>
      <c r="E24" s="1" t="s">
        <v>230</v>
      </c>
      <c r="F24" s="1" t="s">
        <v>111</v>
      </c>
      <c r="G24" s="1">
        <v>79901</v>
      </c>
      <c r="K24"/>
      <c r="L24"/>
      <c r="M24"/>
      <c r="N24"/>
      <c r="O24"/>
      <c r="P24"/>
      <c r="Q24"/>
      <c r="R24"/>
      <c r="S24"/>
      <c r="T24"/>
      <c r="U24"/>
      <c r="V24"/>
      <c r="W24"/>
      <c r="X24"/>
      <c r="Y24"/>
      <c r="Z24"/>
      <c r="AA24"/>
      <c r="AB24"/>
      <c r="AC24"/>
      <c r="AD24"/>
      <c r="AE24"/>
      <c r="AF24"/>
      <c r="AG24"/>
      <c r="AH24"/>
    </row>
    <row r="25" spans="1:34" x14ac:dyDescent="0.35">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231</v>
      </c>
      <c r="D25" s="1" t="s">
        <v>232</v>
      </c>
      <c r="E25" s="1" t="s">
        <v>233</v>
      </c>
      <c r="F25" s="1" t="s">
        <v>111</v>
      </c>
      <c r="G25" s="1">
        <v>118424</v>
      </c>
      <c r="K25"/>
      <c r="L25"/>
      <c r="M25"/>
      <c r="N25"/>
      <c r="O25"/>
      <c r="P25"/>
      <c r="Q25"/>
      <c r="R25"/>
      <c r="S25"/>
      <c r="T25"/>
      <c r="U25"/>
      <c r="V25"/>
      <c r="W25"/>
      <c r="X25"/>
      <c r="Y25"/>
      <c r="Z25"/>
      <c r="AA25"/>
      <c r="AB25"/>
      <c r="AC25"/>
      <c r="AD25"/>
      <c r="AE25"/>
      <c r="AF25"/>
      <c r="AG25"/>
      <c r="AH25"/>
    </row>
    <row r="26" spans="1:34" x14ac:dyDescent="0.3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111</v>
      </c>
      <c r="K26"/>
      <c r="L26"/>
      <c r="M26"/>
      <c r="N26"/>
      <c r="O26"/>
      <c r="P26"/>
      <c r="Q26"/>
      <c r="R26"/>
      <c r="S26"/>
      <c r="T26"/>
      <c r="U26"/>
      <c r="V26"/>
      <c r="W26"/>
      <c r="X26"/>
      <c r="Y26"/>
      <c r="Z26"/>
      <c r="AA26"/>
      <c r="AB26"/>
      <c r="AC26"/>
      <c r="AD26"/>
      <c r="AE26"/>
      <c r="AF26"/>
      <c r="AG26"/>
      <c r="AH26"/>
    </row>
    <row r="27" spans="1:34" x14ac:dyDescent="0.3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234</v>
      </c>
      <c r="D27" s="1" t="s">
        <v>111</v>
      </c>
      <c r="E27" s="1" t="s">
        <v>235</v>
      </c>
      <c r="F27" s="1" t="s">
        <v>236</v>
      </c>
      <c r="G27" s="1" t="s">
        <v>237</v>
      </c>
      <c r="H27" s="1" t="s">
        <v>238</v>
      </c>
      <c r="I27" s="1" t="s">
        <v>239</v>
      </c>
      <c r="K27"/>
      <c r="L27"/>
      <c r="M27"/>
      <c r="N27"/>
      <c r="O27"/>
      <c r="P27"/>
      <c r="Q27"/>
      <c r="R27"/>
      <c r="S27"/>
      <c r="T27"/>
      <c r="U27"/>
      <c r="V27"/>
      <c r="W27"/>
      <c r="X27"/>
      <c r="Y27"/>
      <c r="Z27"/>
      <c r="AA27"/>
      <c r="AB27"/>
      <c r="AC27"/>
      <c r="AD27"/>
      <c r="AE27"/>
      <c r="AF27"/>
      <c r="AG27"/>
      <c r="AH27"/>
    </row>
    <row r="28" spans="1:34" x14ac:dyDescent="0.35">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240</v>
      </c>
      <c r="D28" s="1" t="s">
        <v>111</v>
      </c>
      <c r="E28" s="1" t="s">
        <v>241</v>
      </c>
      <c r="F28" s="1" t="s">
        <v>242</v>
      </c>
      <c r="G28" s="1" t="s">
        <v>243</v>
      </c>
      <c r="H28" s="1" t="s">
        <v>244</v>
      </c>
      <c r="I28" s="1">
        <v>24</v>
      </c>
      <c r="K28"/>
      <c r="L28"/>
      <c r="M28"/>
      <c r="N28"/>
      <c r="O28"/>
      <c r="P28"/>
      <c r="Q28"/>
      <c r="R28"/>
      <c r="S28"/>
      <c r="T28"/>
      <c r="U28"/>
      <c r="V28"/>
      <c r="W28"/>
      <c r="X28"/>
      <c r="Y28"/>
      <c r="Z28"/>
      <c r="AA28"/>
      <c r="AB28"/>
      <c r="AC28"/>
      <c r="AD28"/>
      <c r="AE28"/>
      <c r="AF28"/>
      <c r="AG28"/>
      <c r="AH28"/>
    </row>
    <row r="29" spans="1:34" x14ac:dyDescent="0.3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111</v>
      </c>
      <c r="K29"/>
      <c r="L29"/>
      <c r="M29"/>
      <c r="N29"/>
      <c r="O29"/>
      <c r="P29"/>
      <c r="Q29"/>
      <c r="R29"/>
      <c r="S29"/>
      <c r="T29"/>
      <c r="U29"/>
      <c r="V29"/>
      <c r="W29"/>
      <c r="X29"/>
      <c r="Y29"/>
      <c r="Z29"/>
      <c r="AA29"/>
      <c r="AB29"/>
      <c r="AC29"/>
      <c r="AD29"/>
      <c r="AE29"/>
      <c r="AF29"/>
      <c r="AG29"/>
      <c r="AH29"/>
    </row>
    <row r="30" spans="1:34" x14ac:dyDescent="0.3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111</v>
      </c>
      <c r="K30"/>
      <c r="L30"/>
      <c r="M30"/>
      <c r="N30"/>
      <c r="O30"/>
      <c r="P30"/>
      <c r="Q30"/>
      <c r="R30"/>
      <c r="S30"/>
      <c r="T30"/>
      <c r="U30"/>
      <c r="V30"/>
      <c r="W30"/>
      <c r="X30"/>
      <c r="Y30"/>
      <c r="Z30"/>
      <c r="AA30"/>
      <c r="AB30"/>
      <c r="AC30"/>
      <c r="AD30"/>
      <c r="AE30"/>
      <c r="AF30"/>
      <c r="AG30"/>
      <c r="AH30"/>
    </row>
    <row r="31" spans="1:34" x14ac:dyDescent="0.3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111</v>
      </c>
      <c r="K31"/>
      <c r="L31"/>
      <c r="M31"/>
      <c r="N31"/>
      <c r="O31"/>
      <c r="P31"/>
      <c r="Q31"/>
      <c r="R31"/>
      <c r="S31"/>
      <c r="T31"/>
      <c r="U31"/>
      <c r="V31"/>
      <c r="W31"/>
      <c r="X31"/>
      <c r="Y31"/>
      <c r="Z31"/>
      <c r="AA31"/>
      <c r="AB31"/>
      <c r="AC31"/>
      <c r="AD31"/>
      <c r="AE31"/>
      <c r="AF31"/>
      <c r="AG31"/>
      <c r="AH31"/>
    </row>
    <row r="32" spans="1:34" x14ac:dyDescent="0.3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111</v>
      </c>
      <c r="K32"/>
      <c r="L32"/>
      <c r="M32"/>
      <c r="N32"/>
      <c r="O32"/>
      <c r="P32"/>
      <c r="Q32"/>
      <c r="R32"/>
      <c r="S32"/>
      <c r="T32"/>
      <c r="U32"/>
      <c r="V32"/>
      <c r="W32"/>
      <c r="X32"/>
      <c r="Y32"/>
      <c r="Z32"/>
      <c r="AA32"/>
      <c r="AB32"/>
      <c r="AC32"/>
      <c r="AD32"/>
      <c r="AE32"/>
      <c r="AF32"/>
      <c r="AG32"/>
      <c r="AH32"/>
    </row>
    <row r="33" spans="1:34" x14ac:dyDescent="0.3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111</v>
      </c>
      <c r="K33"/>
      <c r="L33"/>
      <c r="M33"/>
      <c r="N33"/>
      <c r="O33"/>
      <c r="P33"/>
      <c r="Q33"/>
      <c r="R33"/>
      <c r="S33"/>
      <c r="T33"/>
      <c r="U33"/>
      <c r="V33"/>
      <c r="W33"/>
      <c r="X33"/>
      <c r="Y33"/>
      <c r="Z33"/>
      <c r="AA33"/>
      <c r="AB33"/>
      <c r="AC33"/>
      <c r="AD33"/>
      <c r="AE33"/>
      <c r="AF33"/>
      <c r="AG33"/>
      <c r="AH33"/>
    </row>
    <row r="34" spans="1:34" x14ac:dyDescent="0.3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245</v>
      </c>
      <c r="D34" s="1" t="s">
        <v>109</v>
      </c>
      <c r="E34" s="1" t="s">
        <v>110</v>
      </c>
      <c r="F34" s="1" t="s">
        <v>111</v>
      </c>
      <c r="G34" s="1" t="s">
        <v>112</v>
      </c>
      <c r="K34"/>
      <c r="L34"/>
      <c r="M34"/>
      <c r="N34"/>
      <c r="O34"/>
      <c r="P34"/>
      <c r="Q34"/>
      <c r="R34"/>
      <c r="S34"/>
      <c r="T34"/>
      <c r="U34"/>
      <c r="V34"/>
      <c r="W34"/>
      <c r="X34"/>
      <c r="Y34"/>
      <c r="Z34"/>
      <c r="AA34"/>
      <c r="AB34"/>
      <c r="AC34"/>
      <c r="AD34"/>
      <c r="AE34"/>
      <c r="AF34"/>
      <c r="AG34"/>
      <c r="AH34"/>
    </row>
    <row r="35" spans="1:34" x14ac:dyDescent="0.35">
      <c r="A35" s="1" t="str">
        <f t="shared" si="0"/>
        <v>02 EE2 34</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246</v>
      </c>
      <c r="D35" s="1" t="s">
        <v>247</v>
      </c>
      <c r="E35" s="1" t="s">
        <v>248</v>
      </c>
      <c r="F35" s="1" t="s">
        <v>111</v>
      </c>
      <c r="G35" s="1">
        <v>99930</v>
      </c>
      <c r="K35"/>
      <c r="L35"/>
      <c r="M35"/>
      <c r="N35"/>
      <c r="O35"/>
      <c r="P35"/>
      <c r="Q35"/>
      <c r="R35"/>
      <c r="S35"/>
      <c r="T35"/>
      <c r="U35"/>
      <c r="V35"/>
      <c r="W35"/>
      <c r="X35"/>
      <c r="Y35"/>
      <c r="Z35"/>
      <c r="AA35"/>
      <c r="AB35"/>
      <c r="AC35"/>
      <c r="AD35"/>
      <c r="AE35"/>
      <c r="AF35"/>
      <c r="AG35"/>
      <c r="AH35"/>
    </row>
    <row r="36" spans="1:34" x14ac:dyDescent="0.35">
      <c r="A36" s="1" t="str">
        <f t="shared" si="0"/>
        <v>02 EE2 34</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249</v>
      </c>
      <c r="D36" s="1" t="s">
        <v>250</v>
      </c>
      <c r="E36" s="1" t="s">
        <v>251</v>
      </c>
      <c r="F36" s="1" t="s">
        <v>111</v>
      </c>
      <c r="G36" s="1">
        <v>462836</v>
      </c>
      <c r="K36"/>
      <c r="L36"/>
      <c r="M36"/>
      <c r="N36"/>
      <c r="O36"/>
      <c r="P36"/>
      <c r="Q36"/>
      <c r="R36"/>
      <c r="S36"/>
      <c r="T36"/>
      <c r="U36"/>
      <c r="V36"/>
      <c r="W36"/>
      <c r="X36"/>
      <c r="Y36"/>
      <c r="Z36"/>
      <c r="AA36"/>
      <c r="AB36"/>
      <c r="AC36"/>
      <c r="AD36"/>
      <c r="AE36"/>
      <c r="AF36"/>
      <c r="AG36"/>
      <c r="AH36"/>
    </row>
    <row r="37" spans="1:34" x14ac:dyDescent="0.35">
      <c r="A37" s="1" t="str">
        <f t="shared" si="0"/>
        <v>02 EE2 34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252</v>
      </c>
      <c r="D37" s="1" t="s">
        <v>253</v>
      </c>
      <c r="E37" s="1" t="s">
        <v>254</v>
      </c>
      <c r="F37" s="1" t="s">
        <v>111</v>
      </c>
      <c r="G37" s="1">
        <v>358386</v>
      </c>
      <c r="K37"/>
      <c r="L37"/>
      <c r="M37"/>
      <c r="N37"/>
      <c r="O37"/>
      <c r="P37"/>
      <c r="Q37"/>
      <c r="R37"/>
      <c r="S37"/>
      <c r="T37"/>
      <c r="U37"/>
      <c r="V37"/>
      <c r="W37"/>
      <c r="X37"/>
      <c r="Y37"/>
      <c r="Z37"/>
      <c r="AA37"/>
      <c r="AB37"/>
      <c r="AC37"/>
      <c r="AD37"/>
      <c r="AE37"/>
      <c r="AF37"/>
      <c r="AG37"/>
      <c r="AH37"/>
    </row>
    <row r="38" spans="1:34" x14ac:dyDescent="0.35">
      <c r="A38" s="1" t="str">
        <f t="shared" si="0"/>
        <v>02 EE2 34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255</v>
      </c>
      <c r="D38" s="1" t="s">
        <v>256</v>
      </c>
      <c r="E38" s="1" t="s">
        <v>257</v>
      </c>
      <c r="F38" s="1" t="s">
        <v>111</v>
      </c>
      <c r="G38" s="1">
        <v>582450</v>
      </c>
      <c r="K38"/>
      <c r="L38"/>
      <c r="M38"/>
      <c r="N38"/>
      <c r="O38"/>
      <c r="P38"/>
      <c r="Q38"/>
      <c r="R38"/>
      <c r="S38"/>
      <c r="T38"/>
      <c r="U38"/>
      <c r="V38"/>
      <c r="W38"/>
      <c r="X38"/>
      <c r="Y38"/>
      <c r="Z38"/>
      <c r="AA38"/>
      <c r="AB38"/>
      <c r="AC38"/>
      <c r="AD38"/>
      <c r="AE38"/>
      <c r="AF38"/>
      <c r="AG38"/>
      <c r="AH38"/>
    </row>
    <row r="39" spans="1:34" x14ac:dyDescent="0.35">
      <c r="A39" s="1" t="str">
        <f t="shared" si="0"/>
        <v>02 EE2 34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258</v>
      </c>
      <c r="D39" s="1" t="s">
        <v>259</v>
      </c>
      <c r="E39" s="1" t="s">
        <v>260</v>
      </c>
      <c r="F39" s="1" t="s">
        <v>111</v>
      </c>
      <c r="G39" s="1">
        <v>627829</v>
      </c>
    </row>
    <row r="40" spans="1:34" x14ac:dyDescent="0.35">
      <c r="A40" s="1" t="str">
        <f t="shared" si="0"/>
        <v>02 EE2 34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261</v>
      </c>
      <c r="D40" s="1" t="s">
        <v>262</v>
      </c>
      <c r="E40" s="1" t="s">
        <v>263</v>
      </c>
      <c r="F40" s="1" t="s">
        <v>111</v>
      </c>
      <c r="G40" s="1">
        <v>588203</v>
      </c>
    </row>
    <row r="41" spans="1:34" x14ac:dyDescent="0.35">
      <c r="A41" s="1" t="str">
        <f t="shared" si="0"/>
        <v>02 EE2 34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264</v>
      </c>
      <c r="D41" s="1" t="s">
        <v>265</v>
      </c>
      <c r="E41" s="1" t="s">
        <v>266</v>
      </c>
      <c r="F41" s="1" t="s">
        <v>111</v>
      </c>
      <c r="G41" s="1">
        <v>20830</v>
      </c>
    </row>
    <row r="42" spans="1:34" x14ac:dyDescent="0.35">
      <c r="A42" s="1" t="str">
        <f t="shared" si="0"/>
        <v>02 EE2 34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267</v>
      </c>
      <c r="D42" s="1" t="s">
        <v>268</v>
      </c>
      <c r="E42" s="1" t="s">
        <v>269</v>
      </c>
      <c r="F42" s="1" t="s">
        <v>111</v>
      </c>
      <c r="G42" s="1">
        <v>177733</v>
      </c>
    </row>
    <row r="43" spans="1:34" x14ac:dyDescent="0.35">
      <c r="A43" s="1" t="str">
        <f t="shared" si="0"/>
        <v>02 EE2 34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270</v>
      </c>
      <c r="D43" s="1" t="s">
        <v>220</v>
      </c>
      <c r="E43" s="1" t="s">
        <v>271</v>
      </c>
      <c r="F43" s="1" t="s">
        <v>111</v>
      </c>
      <c r="G43" s="1">
        <v>103867</v>
      </c>
    </row>
    <row r="44" spans="1:34" x14ac:dyDescent="0.35">
      <c r="A44" s="1" t="str">
        <f t="shared" si="0"/>
        <v>02 EE2 34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272</v>
      </c>
      <c r="D44" s="1" t="s">
        <v>185</v>
      </c>
      <c r="E44" s="1" t="s">
        <v>273</v>
      </c>
      <c r="F44" s="1" t="s">
        <v>111</v>
      </c>
      <c r="G44" s="1">
        <v>47434</v>
      </c>
    </row>
    <row r="45" spans="1:34" x14ac:dyDescent="0.35">
      <c r="A45" s="1" t="str">
        <f t="shared" si="0"/>
        <v>02 EE2 34</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274</v>
      </c>
      <c r="D45" s="1" t="s">
        <v>275</v>
      </c>
      <c r="E45" s="1" t="s">
        <v>276</v>
      </c>
      <c r="F45" s="1" t="s">
        <v>111</v>
      </c>
      <c r="G45" s="1">
        <v>26086</v>
      </c>
    </row>
    <row r="46" spans="1:34" x14ac:dyDescent="0.35">
      <c r="A46" s="1" t="str">
        <f t="shared" si="0"/>
        <v>02 EE2 34</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277</v>
      </c>
      <c r="D46" s="1" t="s">
        <v>278</v>
      </c>
      <c r="E46" s="1" t="s">
        <v>279</v>
      </c>
      <c r="F46" s="1" t="s">
        <v>111</v>
      </c>
      <c r="G46" s="1">
        <v>11896</v>
      </c>
    </row>
    <row r="47" spans="1:34" x14ac:dyDescent="0.35">
      <c r="A47" s="1" t="str">
        <f t="shared" si="0"/>
        <v>02 EE2 34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280</v>
      </c>
      <c r="D47" s="1" t="s">
        <v>281</v>
      </c>
      <c r="E47" s="1" t="s">
        <v>282</v>
      </c>
      <c r="F47" s="1" t="s">
        <v>111</v>
      </c>
      <c r="G47" s="1">
        <v>54378</v>
      </c>
    </row>
    <row r="48" spans="1:34" x14ac:dyDescent="0.35">
      <c r="A48" s="1" t="str">
        <f t="shared" si="0"/>
        <v>02 EE2 34</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283</v>
      </c>
      <c r="D48" s="1" t="s">
        <v>275</v>
      </c>
      <c r="E48" s="1" t="s">
        <v>284</v>
      </c>
      <c r="F48" s="1" t="s">
        <v>111</v>
      </c>
      <c r="G48" s="1">
        <v>26605</v>
      </c>
    </row>
    <row r="49" spans="1:9" x14ac:dyDescent="0.35">
      <c r="A49" s="1" t="str">
        <f t="shared" si="0"/>
        <v>02 EE2 34</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285</v>
      </c>
      <c r="D49" s="1" t="s">
        <v>286</v>
      </c>
      <c r="E49" s="1" t="s">
        <v>287</v>
      </c>
      <c r="F49" s="1" t="s">
        <v>111</v>
      </c>
      <c r="G49" s="1">
        <v>154373</v>
      </c>
    </row>
    <row r="50" spans="1:9" x14ac:dyDescent="0.35">
      <c r="A50" s="1" t="str">
        <f t="shared" si="0"/>
        <v>02 EE2 34</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288</v>
      </c>
      <c r="D50" s="1" t="s">
        <v>289</v>
      </c>
      <c r="E50" s="1" t="s">
        <v>290</v>
      </c>
      <c r="F50" s="1" t="s">
        <v>111</v>
      </c>
      <c r="G50" s="1">
        <v>153897</v>
      </c>
    </row>
    <row r="51" spans="1:9" x14ac:dyDescent="0.35">
      <c r="A51" s="1" t="str">
        <f t="shared" si="0"/>
        <v>02 EE2 34</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291</v>
      </c>
      <c r="D51" s="1" t="s">
        <v>173</v>
      </c>
      <c r="E51" s="1" t="s">
        <v>292</v>
      </c>
      <c r="F51" s="1" t="s">
        <v>111</v>
      </c>
      <c r="G51" s="1">
        <v>38069</v>
      </c>
    </row>
    <row r="52" spans="1:9" x14ac:dyDescent="0.35">
      <c r="A52" s="1" t="str">
        <f t="shared" si="0"/>
        <v>02 EE2 34</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293</v>
      </c>
      <c r="D52" s="1" t="s">
        <v>294</v>
      </c>
      <c r="E52" s="1" t="s">
        <v>295</v>
      </c>
      <c r="F52" s="1" t="s">
        <v>111</v>
      </c>
      <c r="G52" s="1">
        <v>42092</v>
      </c>
    </row>
    <row r="53" spans="1:9" x14ac:dyDescent="0.35">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296</v>
      </c>
      <c r="D53" s="1" t="s">
        <v>297</v>
      </c>
      <c r="E53" s="1" t="s">
        <v>298</v>
      </c>
      <c r="F53" s="1" t="s">
        <v>111</v>
      </c>
      <c r="G53" s="1">
        <v>33743</v>
      </c>
    </row>
    <row r="54" spans="1:9" x14ac:dyDescent="0.35">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299</v>
      </c>
      <c r="D54" s="1" t="s">
        <v>294</v>
      </c>
      <c r="E54" s="1" t="s">
        <v>300</v>
      </c>
      <c r="F54" s="1" t="s">
        <v>111</v>
      </c>
      <c r="G54" s="1">
        <v>42286</v>
      </c>
    </row>
    <row r="55" spans="1:9" x14ac:dyDescent="0.35">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301</v>
      </c>
      <c r="D55" s="1" t="s">
        <v>302</v>
      </c>
      <c r="E55" s="1" t="s">
        <v>303</v>
      </c>
      <c r="F55" s="1" t="s">
        <v>111</v>
      </c>
      <c r="G55" s="1">
        <v>74385</v>
      </c>
    </row>
    <row r="56" spans="1:9" x14ac:dyDescent="0.35">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304</v>
      </c>
      <c r="D56" s="1" t="s">
        <v>305</v>
      </c>
      <c r="E56" s="1" t="s">
        <v>306</v>
      </c>
      <c r="F56" s="1" t="s">
        <v>111</v>
      </c>
      <c r="G56" s="1">
        <v>616885</v>
      </c>
    </row>
    <row r="57" spans="1:9" x14ac:dyDescent="0.35">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307</v>
      </c>
      <c r="D57" s="1" t="s">
        <v>308</v>
      </c>
      <c r="E57" s="1" t="s">
        <v>309</v>
      </c>
      <c r="F57" s="1" t="s">
        <v>111</v>
      </c>
      <c r="G57" s="1">
        <v>122836</v>
      </c>
    </row>
    <row r="58" spans="1:9" x14ac:dyDescent="0.35">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310</v>
      </c>
      <c r="D58" s="1" t="s">
        <v>311</v>
      </c>
      <c r="E58" s="1" t="s">
        <v>312</v>
      </c>
      <c r="F58" s="1" t="s">
        <v>111</v>
      </c>
      <c r="G58" s="1">
        <v>390052</v>
      </c>
    </row>
    <row r="59" spans="1:9" x14ac:dyDescent="0.3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111</v>
      </c>
    </row>
    <row r="60" spans="1:9" x14ac:dyDescent="0.3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234</v>
      </c>
      <c r="D60" s="1" t="s">
        <v>111</v>
      </c>
      <c r="E60" s="1" t="s">
        <v>235</v>
      </c>
      <c r="F60" s="1" t="s">
        <v>236</v>
      </c>
      <c r="G60" s="1" t="s">
        <v>237</v>
      </c>
      <c r="H60" s="1" t="s">
        <v>238</v>
      </c>
      <c r="I60" s="1" t="s">
        <v>239</v>
      </c>
    </row>
    <row r="61" spans="1:9" x14ac:dyDescent="0.35">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313</v>
      </c>
      <c r="D61" s="1" t="s">
        <v>111</v>
      </c>
      <c r="E61" s="1" t="s">
        <v>314</v>
      </c>
      <c r="F61" s="1" t="s">
        <v>315</v>
      </c>
      <c r="G61" s="1" t="s">
        <v>316</v>
      </c>
      <c r="H61" s="1" t="s">
        <v>317</v>
      </c>
      <c r="I61" s="1">
        <v>24</v>
      </c>
    </row>
    <row r="62" spans="1:9" x14ac:dyDescent="0.3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111</v>
      </c>
    </row>
    <row r="63" spans="1:9" x14ac:dyDescent="0.3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111</v>
      </c>
    </row>
    <row r="64" spans="1:9" x14ac:dyDescent="0.3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111</v>
      </c>
    </row>
    <row r="65" spans="1:7" x14ac:dyDescent="0.3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111</v>
      </c>
    </row>
    <row r="66" spans="1:7" x14ac:dyDescent="0.3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111</v>
      </c>
    </row>
    <row r="67" spans="1:7" x14ac:dyDescent="0.3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245</v>
      </c>
      <c r="D67" s="1" t="s">
        <v>109</v>
      </c>
      <c r="E67" s="1" t="s">
        <v>110</v>
      </c>
      <c r="F67" s="1" t="s">
        <v>111</v>
      </c>
      <c r="G67" s="1" t="s">
        <v>112</v>
      </c>
    </row>
    <row r="68" spans="1:7" x14ac:dyDescent="0.35">
      <c r="A68" s="1" t="str">
        <f t="shared" si="1"/>
        <v>03 EE2 51</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318</v>
      </c>
      <c r="D68" s="1" t="s">
        <v>319</v>
      </c>
      <c r="E68" s="1" t="s">
        <v>320</v>
      </c>
      <c r="F68" s="1" t="s">
        <v>111</v>
      </c>
      <c r="G68" s="1">
        <v>41702</v>
      </c>
    </row>
    <row r="69" spans="1:7" x14ac:dyDescent="0.35">
      <c r="A69" s="1" t="str">
        <f t="shared" si="1"/>
        <v>03 EE2 51</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321</v>
      </c>
      <c r="D69" s="1" t="s">
        <v>322</v>
      </c>
      <c r="E69" s="1" t="s">
        <v>323</v>
      </c>
      <c r="F69" s="1" t="s">
        <v>111</v>
      </c>
      <c r="G69" s="1">
        <v>229125</v>
      </c>
    </row>
    <row r="70" spans="1:7" x14ac:dyDescent="0.35">
      <c r="A70" s="1" t="str">
        <f t="shared" si="1"/>
        <v>03 EE2 51</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324</v>
      </c>
      <c r="D70" s="1" t="s">
        <v>275</v>
      </c>
      <c r="E70" s="1" t="s">
        <v>325</v>
      </c>
      <c r="F70" s="1" t="s">
        <v>111</v>
      </c>
      <c r="G70" s="1">
        <v>26886</v>
      </c>
    </row>
    <row r="71" spans="1:7" x14ac:dyDescent="0.35">
      <c r="A71" s="1" t="str">
        <f t="shared" si="1"/>
        <v>03 EE2 51</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326</v>
      </c>
      <c r="D71" s="1" t="s">
        <v>327</v>
      </c>
      <c r="E71" s="1" t="s">
        <v>328</v>
      </c>
      <c r="F71" s="1" t="s">
        <v>111</v>
      </c>
      <c r="G71" s="1">
        <v>57471</v>
      </c>
    </row>
    <row r="72" spans="1:7" x14ac:dyDescent="0.35">
      <c r="A72" s="1" t="str">
        <f t="shared" si="1"/>
        <v>03 EE2 51</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329</v>
      </c>
      <c r="D72" s="1" t="s">
        <v>319</v>
      </c>
      <c r="E72" s="1" t="s">
        <v>330</v>
      </c>
      <c r="F72" s="1" t="s">
        <v>111</v>
      </c>
      <c r="G72" s="1">
        <v>39712</v>
      </c>
    </row>
    <row r="73" spans="1:7" x14ac:dyDescent="0.35">
      <c r="A73" s="1" t="str">
        <f t="shared" si="1"/>
        <v>03 EE2 51</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331</v>
      </c>
    </row>
    <row r="74" spans="1:7" x14ac:dyDescent="0.35">
      <c r="A74" s="1" t="str">
        <f t="shared" si="1"/>
        <v>03 EE2 51</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332</v>
      </c>
      <c r="D74" s="1" t="s">
        <v>294</v>
      </c>
      <c r="E74" s="1" t="s">
        <v>333</v>
      </c>
      <c r="F74" s="1" t="s">
        <v>111</v>
      </c>
      <c r="G74" s="1">
        <v>41962</v>
      </c>
    </row>
    <row r="75" spans="1:7" x14ac:dyDescent="0.35">
      <c r="A75" s="1" t="str">
        <f t="shared" si="1"/>
        <v>03 EE2 51</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334</v>
      </c>
      <c r="D75" s="1" t="s">
        <v>335</v>
      </c>
      <c r="E75" s="1" t="s">
        <v>336</v>
      </c>
      <c r="F75" s="1" t="s">
        <v>111</v>
      </c>
      <c r="G75" s="1">
        <v>37095</v>
      </c>
    </row>
    <row r="76" spans="1:7" x14ac:dyDescent="0.35">
      <c r="A76" s="1" t="str">
        <f t="shared" si="1"/>
        <v>03 EE2 51</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337</v>
      </c>
      <c r="D76" s="1" t="s">
        <v>338</v>
      </c>
      <c r="E76" s="1" t="s">
        <v>339</v>
      </c>
      <c r="F76" s="1" t="s">
        <v>111</v>
      </c>
      <c r="G76" s="1">
        <v>144207</v>
      </c>
    </row>
    <row r="77" spans="1:7" x14ac:dyDescent="0.35">
      <c r="A77" s="1" t="str">
        <f t="shared" si="1"/>
        <v>03 EE2 51</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340</v>
      </c>
      <c r="D77" s="1" t="s">
        <v>341</v>
      </c>
      <c r="E77" s="1" t="s">
        <v>342</v>
      </c>
      <c r="F77" s="1" t="s">
        <v>111</v>
      </c>
      <c r="G77" s="1">
        <v>120868</v>
      </c>
    </row>
    <row r="78" spans="1:7" x14ac:dyDescent="0.35">
      <c r="A78" s="1" t="str">
        <f t="shared" si="1"/>
        <v>03 EE2 51</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343</v>
      </c>
      <c r="D78" s="1" t="s">
        <v>344</v>
      </c>
      <c r="E78" s="1" t="s">
        <v>345</v>
      </c>
      <c r="F78" s="1" t="s">
        <v>111</v>
      </c>
      <c r="G78" s="1">
        <v>116455</v>
      </c>
    </row>
    <row r="79" spans="1:7" x14ac:dyDescent="0.35">
      <c r="A79" s="1" t="str">
        <f t="shared" si="1"/>
        <v>03 EE2 51</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346</v>
      </c>
      <c r="D79" s="1" t="s">
        <v>265</v>
      </c>
      <c r="E79" s="1" t="s">
        <v>347</v>
      </c>
      <c r="F79" s="1" t="s">
        <v>111</v>
      </c>
      <c r="G79" s="1">
        <v>20332</v>
      </c>
    </row>
    <row r="80" spans="1:7" x14ac:dyDescent="0.35">
      <c r="A80" s="1" t="str">
        <f t="shared" si="1"/>
        <v>03 EE2 51</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348</v>
      </c>
      <c r="D80" s="1" t="s">
        <v>349</v>
      </c>
      <c r="E80" s="1" t="s">
        <v>350</v>
      </c>
      <c r="F80" s="1" t="s">
        <v>111</v>
      </c>
      <c r="G80" s="1">
        <v>78798</v>
      </c>
    </row>
    <row r="81" spans="1:9" x14ac:dyDescent="0.35">
      <c r="A81" s="1" t="str">
        <f t="shared" si="1"/>
        <v>03 EE2 51</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351</v>
      </c>
      <c r="D81" s="1" t="s">
        <v>352</v>
      </c>
      <c r="E81" s="1" t="s">
        <v>353</v>
      </c>
      <c r="F81" s="1" t="s">
        <v>111</v>
      </c>
      <c r="G81" s="1">
        <v>51544</v>
      </c>
    </row>
    <row r="82" spans="1:9" x14ac:dyDescent="0.35">
      <c r="A82" s="1" t="str">
        <f t="shared" si="1"/>
        <v>03 EE2 51</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354</v>
      </c>
    </row>
    <row r="83" spans="1:9" x14ac:dyDescent="0.35">
      <c r="A83" s="1" t="str">
        <f t="shared" si="1"/>
        <v>03 EE2 51</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355</v>
      </c>
      <c r="D83" s="1" t="s">
        <v>356</v>
      </c>
      <c r="E83" s="1" t="s">
        <v>357</v>
      </c>
      <c r="F83" s="1" t="s">
        <v>111</v>
      </c>
      <c r="G83" s="1">
        <v>160991</v>
      </c>
    </row>
    <row r="84" spans="1:9" x14ac:dyDescent="0.35">
      <c r="A84" s="1" t="str">
        <f t="shared" si="1"/>
        <v>03 EE2 51</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358</v>
      </c>
      <c r="D84" s="1" t="s">
        <v>359</v>
      </c>
      <c r="E84" s="1" t="s">
        <v>360</v>
      </c>
      <c r="F84" s="1" t="s">
        <v>111</v>
      </c>
      <c r="G84" s="1">
        <v>509016</v>
      </c>
    </row>
    <row r="85" spans="1:9" x14ac:dyDescent="0.35">
      <c r="A85" s="1" t="str">
        <f t="shared" si="1"/>
        <v>03 EE2 51</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361</v>
      </c>
      <c r="D85" s="1" t="s">
        <v>362</v>
      </c>
      <c r="E85" s="1" t="s">
        <v>363</v>
      </c>
      <c r="F85" s="1" t="s">
        <v>111</v>
      </c>
      <c r="G85" s="1">
        <v>234360</v>
      </c>
    </row>
    <row r="86" spans="1:9" x14ac:dyDescent="0.35">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364</v>
      </c>
      <c r="D86" s="1" t="s">
        <v>365</v>
      </c>
      <c r="E86" s="1" t="s">
        <v>366</v>
      </c>
      <c r="F86" s="1" t="s">
        <v>111</v>
      </c>
      <c r="G86" s="1">
        <v>27081</v>
      </c>
    </row>
    <row r="87" spans="1:9" x14ac:dyDescent="0.35">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367</v>
      </c>
      <c r="D87" s="1" t="s">
        <v>368</v>
      </c>
      <c r="E87" s="1" t="s">
        <v>369</v>
      </c>
      <c r="F87" s="1" t="s">
        <v>111</v>
      </c>
      <c r="G87" s="1">
        <v>372099</v>
      </c>
    </row>
    <row r="88" spans="1:9" x14ac:dyDescent="0.35">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370</v>
      </c>
      <c r="D88" s="1" t="s">
        <v>371</v>
      </c>
      <c r="E88" s="1" t="s">
        <v>372</v>
      </c>
      <c r="F88" s="1" t="s">
        <v>111</v>
      </c>
      <c r="G88" s="1">
        <v>171330</v>
      </c>
    </row>
    <row r="89" spans="1:9" x14ac:dyDescent="0.35">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373</v>
      </c>
    </row>
    <row r="90" spans="1:9" x14ac:dyDescent="0.35">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374</v>
      </c>
    </row>
    <row r="91" spans="1:9" x14ac:dyDescent="0.35">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375</v>
      </c>
      <c r="D91" s="1" t="s">
        <v>376</v>
      </c>
      <c r="E91" s="1" t="s">
        <v>377</v>
      </c>
      <c r="F91" s="1" t="s">
        <v>111</v>
      </c>
      <c r="G91" s="1">
        <v>658695</v>
      </c>
    </row>
    <row r="92" spans="1:9" x14ac:dyDescent="0.3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111</v>
      </c>
    </row>
    <row r="93" spans="1:9" x14ac:dyDescent="0.3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234</v>
      </c>
      <c r="D93" s="1" t="s">
        <v>111</v>
      </c>
      <c r="E93" s="1" t="s">
        <v>235</v>
      </c>
      <c r="F93" s="1" t="s">
        <v>236</v>
      </c>
      <c r="G93" s="1" t="s">
        <v>237</v>
      </c>
      <c r="H93" s="1" t="s">
        <v>238</v>
      </c>
      <c r="I93" s="1" t="s">
        <v>239</v>
      </c>
    </row>
    <row r="94" spans="1:9" x14ac:dyDescent="0.35">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378</v>
      </c>
      <c r="D94" s="1" t="s">
        <v>111</v>
      </c>
      <c r="E94" s="1" t="s">
        <v>379</v>
      </c>
      <c r="F94" s="1" t="s">
        <v>380</v>
      </c>
      <c r="G94" s="1" t="s">
        <v>381</v>
      </c>
      <c r="H94" s="1" t="s">
        <v>382</v>
      </c>
      <c r="I94" s="1">
        <v>24</v>
      </c>
    </row>
    <row r="95" spans="1:9" x14ac:dyDescent="0.3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111</v>
      </c>
    </row>
    <row r="96" spans="1:9" x14ac:dyDescent="0.3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111</v>
      </c>
    </row>
    <row r="97" spans="1:7" x14ac:dyDescent="0.3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111</v>
      </c>
    </row>
    <row r="98" spans="1:7" x14ac:dyDescent="0.3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111</v>
      </c>
    </row>
    <row r="99" spans="1:7" x14ac:dyDescent="0.3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111</v>
      </c>
    </row>
    <row r="100" spans="1:7" x14ac:dyDescent="0.3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245</v>
      </c>
      <c r="D100" s="1" t="s">
        <v>109</v>
      </c>
      <c r="E100" s="1" t="s">
        <v>110</v>
      </c>
      <c r="F100" s="1" t="s">
        <v>111</v>
      </c>
      <c r="G100" s="1" t="s">
        <v>112</v>
      </c>
    </row>
    <row r="101" spans="1:7" x14ac:dyDescent="0.3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383</v>
      </c>
      <c r="D101" s="1" t="s">
        <v>384</v>
      </c>
      <c r="E101" s="1" t="s">
        <v>385</v>
      </c>
      <c r="F101" s="1" t="s">
        <v>111</v>
      </c>
      <c r="G101" s="1">
        <v>332214</v>
      </c>
    </row>
    <row r="102" spans="1:7" x14ac:dyDescent="0.3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386</v>
      </c>
      <c r="D102" s="1" t="s">
        <v>387</v>
      </c>
      <c r="E102" s="1" t="s">
        <v>388</v>
      </c>
      <c r="F102" s="1" t="s">
        <v>111</v>
      </c>
      <c r="G102" s="1">
        <v>608427</v>
      </c>
    </row>
    <row r="103" spans="1:7" x14ac:dyDescent="0.3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389</v>
      </c>
    </row>
    <row r="104" spans="1:7" x14ac:dyDescent="0.3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390</v>
      </c>
      <c r="D104" s="1" t="s">
        <v>391</v>
      </c>
      <c r="E104" s="1" t="s">
        <v>392</v>
      </c>
      <c r="F104" s="1" t="s">
        <v>111</v>
      </c>
      <c r="G104" s="1">
        <v>1376289</v>
      </c>
    </row>
    <row r="105" spans="1:7" x14ac:dyDescent="0.3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393</v>
      </c>
      <c r="D105" s="1" t="s">
        <v>160</v>
      </c>
      <c r="E105" s="1" t="s">
        <v>394</v>
      </c>
      <c r="F105" s="1" t="s">
        <v>111</v>
      </c>
      <c r="G105" s="1">
        <v>1425497</v>
      </c>
    </row>
    <row r="106" spans="1:7" x14ac:dyDescent="0.3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395</v>
      </c>
      <c r="D106" s="1" t="s">
        <v>396</v>
      </c>
      <c r="E106" s="1" t="s">
        <v>397</v>
      </c>
      <c r="F106" s="1" t="s">
        <v>111</v>
      </c>
      <c r="G106" s="1">
        <v>1311291</v>
      </c>
    </row>
    <row r="107" spans="1:7" x14ac:dyDescent="0.3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398</v>
      </c>
      <c r="D107" s="1" t="s">
        <v>399</v>
      </c>
      <c r="E107" s="1" t="s">
        <v>400</v>
      </c>
      <c r="F107" s="1" t="s">
        <v>111</v>
      </c>
      <c r="G107" s="1">
        <v>75445</v>
      </c>
    </row>
    <row r="108" spans="1:7" x14ac:dyDescent="0.3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401</v>
      </c>
      <c r="D108" s="1" t="s">
        <v>402</v>
      </c>
      <c r="E108" s="1" t="s">
        <v>403</v>
      </c>
      <c r="F108" s="1" t="s">
        <v>111</v>
      </c>
      <c r="G108" s="1">
        <v>146802</v>
      </c>
    </row>
    <row r="109" spans="1:7" x14ac:dyDescent="0.3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404</v>
      </c>
      <c r="D109" s="1" t="s">
        <v>405</v>
      </c>
      <c r="E109" s="1" t="s">
        <v>406</v>
      </c>
      <c r="F109" s="1" t="s">
        <v>111</v>
      </c>
      <c r="G109" s="1">
        <v>95215</v>
      </c>
    </row>
    <row r="110" spans="1:7" x14ac:dyDescent="0.3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407</v>
      </c>
      <c r="D110" s="1" t="s">
        <v>408</v>
      </c>
      <c r="E110" s="1" t="s">
        <v>409</v>
      </c>
      <c r="F110" s="1" t="s">
        <v>111</v>
      </c>
      <c r="G110" s="1">
        <v>472678</v>
      </c>
    </row>
    <row r="111" spans="1:7" x14ac:dyDescent="0.3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410</v>
      </c>
      <c r="D111" s="1" t="s">
        <v>411</v>
      </c>
      <c r="E111" s="1" t="s">
        <v>412</v>
      </c>
      <c r="F111" s="1" t="s">
        <v>111</v>
      </c>
      <c r="G111" s="1">
        <v>441120</v>
      </c>
    </row>
    <row r="112" spans="1:7" x14ac:dyDescent="0.3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413</v>
      </c>
      <c r="D112" s="1" t="s">
        <v>414</v>
      </c>
      <c r="E112" s="1" t="s">
        <v>415</v>
      </c>
      <c r="F112" s="1" t="s">
        <v>111</v>
      </c>
      <c r="G112" s="1">
        <v>500970</v>
      </c>
    </row>
    <row r="113" spans="1:9" x14ac:dyDescent="0.3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416</v>
      </c>
      <c r="D113" s="1" t="s">
        <v>417</v>
      </c>
      <c r="E113" s="1" t="s">
        <v>418</v>
      </c>
      <c r="F113" s="1" t="s">
        <v>111</v>
      </c>
      <c r="G113" s="1">
        <v>288500</v>
      </c>
    </row>
    <row r="114" spans="1:9" x14ac:dyDescent="0.3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419</v>
      </c>
      <c r="D114" s="1" t="s">
        <v>420</v>
      </c>
      <c r="E114" s="1" t="s">
        <v>421</v>
      </c>
      <c r="F114" s="1" t="s">
        <v>111</v>
      </c>
      <c r="G114" s="1">
        <v>346057</v>
      </c>
    </row>
    <row r="115" spans="1:9" x14ac:dyDescent="0.3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422</v>
      </c>
      <c r="D115" s="1" t="s">
        <v>423</v>
      </c>
      <c r="E115" s="1" t="s">
        <v>424</v>
      </c>
      <c r="F115" s="1" t="s">
        <v>111</v>
      </c>
      <c r="G115" s="1">
        <v>179463</v>
      </c>
    </row>
    <row r="116" spans="1:9" x14ac:dyDescent="0.3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425</v>
      </c>
      <c r="D116" s="1" t="s">
        <v>426</v>
      </c>
      <c r="E116" s="1" t="s">
        <v>427</v>
      </c>
      <c r="F116" s="1" t="s">
        <v>111</v>
      </c>
      <c r="G116" s="1">
        <v>231245</v>
      </c>
    </row>
    <row r="117" spans="1:9" x14ac:dyDescent="0.3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428</v>
      </c>
      <c r="D117" s="1" t="s">
        <v>429</v>
      </c>
      <c r="E117" s="1" t="s">
        <v>430</v>
      </c>
      <c r="F117" s="1" t="s">
        <v>111</v>
      </c>
      <c r="G117" s="1">
        <v>477350</v>
      </c>
    </row>
    <row r="118" spans="1:9" x14ac:dyDescent="0.3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431</v>
      </c>
      <c r="D118" s="1" t="s">
        <v>417</v>
      </c>
      <c r="E118" s="1" t="s">
        <v>432</v>
      </c>
      <c r="F118" s="1" t="s">
        <v>111</v>
      </c>
      <c r="G118" s="1">
        <v>288975</v>
      </c>
    </row>
    <row r="119" spans="1:9" x14ac:dyDescent="0.3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433</v>
      </c>
      <c r="D119" s="1" t="s">
        <v>434</v>
      </c>
      <c r="E119" s="1" t="s">
        <v>435</v>
      </c>
      <c r="F119" s="1" t="s">
        <v>111</v>
      </c>
      <c r="G119" s="1">
        <v>356050</v>
      </c>
    </row>
    <row r="120" spans="1:9" x14ac:dyDescent="0.3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436</v>
      </c>
      <c r="D120" s="1" t="s">
        <v>437</v>
      </c>
      <c r="E120" s="1" t="s">
        <v>438</v>
      </c>
      <c r="F120" s="1" t="s">
        <v>111</v>
      </c>
      <c r="G120" s="1">
        <v>317527</v>
      </c>
    </row>
    <row r="121" spans="1:9" x14ac:dyDescent="0.3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439</v>
      </c>
      <c r="D121" s="1" t="s">
        <v>440</v>
      </c>
      <c r="E121" s="1" t="s">
        <v>441</v>
      </c>
      <c r="F121" s="1" t="s">
        <v>111</v>
      </c>
      <c r="G121" s="1">
        <v>190884</v>
      </c>
    </row>
    <row r="122" spans="1:9" x14ac:dyDescent="0.3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442</v>
      </c>
      <c r="D122" s="1" t="s">
        <v>443</v>
      </c>
      <c r="E122" s="1" t="s">
        <v>444</v>
      </c>
      <c r="F122" s="1" t="s">
        <v>111</v>
      </c>
      <c r="G122" s="1">
        <v>595579</v>
      </c>
    </row>
    <row r="123" spans="1:9" x14ac:dyDescent="0.3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445</v>
      </c>
      <c r="D123" s="1" t="s">
        <v>446</v>
      </c>
      <c r="E123" s="1" t="s">
        <v>447</v>
      </c>
      <c r="F123" s="1" t="s">
        <v>111</v>
      </c>
      <c r="G123" s="1">
        <v>449534</v>
      </c>
    </row>
    <row r="124" spans="1:9" x14ac:dyDescent="0.3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448</v>
      </c>
      <c r="D124" s="1" t="s">
        <v>449</v>
      </c>
      <c r="E124" s="1" t="s">
        <v>450</v>
      </c>
      <c r="F124" s="1" t="s">
        <v>111</v>
      </c>
      <c r="G124" s="1">
        <v>633194</v>
      </c>
    </row>
    <row r="125" spans="1:9" x14ac:dyDescent="0.3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111</v>
      </c>
    </row>
    <row r="126" spans="1:9" x14ac:dyDescent="0.3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234</v>
      </c>
      <c r="D126" s="1" t="s">
        <v>111</v>
      </c>
      <c r="E126" s="1" t="s">
        <v>235</v>
      </c>
      <c r="F126" s="1" t="s">
        <v>236</v>
      </c>
      <c r="G126" s="1" t="s">
        <v>237</v>
      </c>
      <c r="H126" s="1" t="s">
        <v>238</v>
      </c>
      <c r="I126" s="1" t="s">
        <v>239</v>
      </c>
    </row>
    <row r="127" spans="1:9" x14ac:dyDescent="0.3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451</v>
      </c>
      <c r="D127" s="1" t="s">
        <v>111</v>
      </c>
      <c r="E127" s="1" t="s">
        <v>452</v>
      </c>
      <c r="F127" s="1" t="s">
        <v>453</v>
      </c>
      <c r="G127" s="1" t="s">
        <v>454</v>
      </c>
      <c r="H127" s="1" t="s">
        <v>455</v>
      </c>
      <c r="I127" s="1">
        <v>24</v>
      </c>
    </row>
    <row r="128" spans="1:9" x14ac:dyDescent="0.3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111</v>
      </c>
    </row>
    <row r="129" spans="1:7" x14ac:dyDescent="0.3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111</v>
      </c>
    </row>
    <row r="130" spans="1:7" x14ac:dyDescent="0.3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111</v>
      </c>
    </row>
    <row r="131" spans="1:7" x14ac:dyDescent="0.3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111</v>
      </c>
    </row>
    <row r="132" spans="1:7" x14ac:dyDescent="0.3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111</v>
      </c>
    </row>
    <row r="133" spans="1:7" x14ac:dyDescent="0.3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245</v>
      </c>
      <c r="D133" s="1" t="s">
        <v>109</v>
      </c>
      <c r="E133" s="1" t="s">
        <v>110</v>
      </c>
      <c r="F133" s="1" t="s">
        <v>111</v>
      </c>
      <c r="G133" s="1" t="s">
        <v>112</v>
      </c>
    </row>
    <row r="134" spans="1:7" x14ac:dyDescent="0.3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456</v>
      </c>
      <c r="D134" s="1" t="s">
        <v>457</v>
      </c>
      <c r="E134" s="1" t="s">
        <v>458</v>
      </c>
      <c r="F134" s="1" t="s">
        <v>111</v>
      </c>
      <c r="G134" s="1">
        <v>751920</v>
      </c>
    </row>
    <row r="135" spans="1:7" x14ac:dyDescent="0.3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459</v>
      </c>
      <c r="D135" s="1" t="s">
        <v>460</v>
      </c>
      <c r="E135" s="1" t="s">
        <v>461</v>
      </c>
      <c r="F135" s="1" t="s">
        <v>111</v>
      </c>
      <c r="G135" s="1">
        <v>183616</v>
      </c>
    </row>
    <row r="136" spans="1:7" x14ac:dyDescent="0.3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462</v>
      </c>
      <c r="D136" s="1" t="s">
        <v>463</v>
      </c>
      <c r="E136" s="1" t="s">
        <v>464</v>
      </c>
      <c r="F136" s="1" t="s">
        <v>111</v>
      </c>
      <c r="G136" s="1">
        <v>203148</v>
      </c>
    </row>
    <row r="137" spans="1:7" x14ac:dyDescent="0.3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465</v>
      </c>
      <c r="D137" s="1" t="s">
        <v>200</v>
      </c>
      <c r="E137" s="1" t="s">
        <v>466</v>
      </c>
      <c r="F137" s="1" t="s">
        <v>111</v>
      </c>
      <c r="G137" s="1">
        <v>267994</v>
      </c>
    </row>
    <row r="138" spans="1:7" x14ac:dyDescent="0.3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467</v>
      </c>
      <c r="D138" s="1" t="s">
        <v>468</v>
      </c>
      <c r="E138" s="1" t="s">
        <v>469</v>
      </c>
      <c r="F138" s="1" t="s">
        <v>111</v>
      </c>
      <c r="G138" s="1">
        <v>460522</v>
      </c>
    </row>
    <row r="139" spans="1:7" x14ac:dyDescent="0.3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470</v>
      </c>
      <c r="D139" s="1" t="s">
        <v>471</v>
      </c>
      <c r="E139" s="1" t="s">
        <v>472</v>
      </c>
      <c r="F139" s="1" t="s">
        <v>111</v>
      </c>
      <c r="G139" s="1">
        <v>353065</v>
      </c>
    </row>
    <row r="140" spans="1:7" x14ac:dyDescent="0.3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473</v>
      </c>
      <c r="D140" s="1" t="s">
        <v>474</v>
      </c>
      <c r="E140" s="1" t="s">
        <v>475</v>
      </c>
      <c r="F140" s="1" t="s">
        <v>111</v>
      </c>
      <c r="G140" s="1">
        <v>82107</v>
      </c>
    </row>
    <row r="141" spans="1:7" x14ac:dyDescent="0.3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476</v>
      </c>
      <c r="D141" s="1" t="s">
        <v>477</v>
      </c>
      <c r="E141" s="1" t="s">
        <v>478</v>
      </c>
      <c r="F141" s="1" t="s">
        <v>111</v>
      </c>
      <c r="G141" s="1">
        <v>111783</v>
      </c>
    </row>
    <row r="142" spans="1:7" x14ac:dyDescent="0.3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479</v>
      </c>
      <c r="D142" s="1" t="s">
        <v>480</v>
      </c>
      <c r="E142" s="1" t="s">
        <v>481</v>
      </c>
      <c r="F142" s="1" t="s">
        <v>111</v>
      </c>
      <c r="G142" s="1">
        <v>84595</v>
      </c>
    </row>
    <row r="143" spans="1:7" x14ac:dyDescent="0.3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482</v>
      </c>
      <c r="D143" s="1" t="s">
        <v>483</v>
      </c>
      <c r="E143" s="1" t="s">
        <v>484</v>
      </c>
      <c r="F143" s="1" t="s">
        <v>111</v>
      </c>
      <c r="G143" s="1">
        <v>359381</v>
      </c>
    </row>
    <row r="144" spans="1:7" x14ac:dyDescent="0.3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485</v>
      </c>
      <c r="D144" s="1" t="s">
        <v>486</v>
      </c>
      <c r="E144" s="1" t="s">
        <v>487</v>
      </c>
      <c r="F144" s="1" t="s">
        <v>111</v>
      </c>
      <c r="G144" s="1">
        <v>473976</v>
      </c>
    </row>
    <row r="145" spans="1:9" x14ac:dyDescent="0.3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488</v>
      </c>
      <c r="D145" s="1" t="s">
        <v>489</v>
      </c>
      <c r="E145" s="1" t="s">
        <v>490</v>
      </c>
      <c r="F145" s="1" t="s">
        <v>111</v>
      </c>
      <c r="G145" s="1">
        <v>553379</v>
      </c>
    </row>
    <row r="146" spans="1:9" x14ac:dyDescent="0.3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491</v>
      </c>
      <c r="D146" s="1" t="s">
        <v>492</v>
      </c>
      <c r="E146" s="1" t="s">
        <v>493</v>
      </c>
      <c r="F146" s="1" t="s">
        <v>111</v>
      </c>
      <c r="G146" s="1">
        <v>1116038</v>
      </c>
    </row>
    <row r="147" spans="1:9" x14ac:dyDescent="0.3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494</v>
      </c>
      <c r="D147" s="1" t="s">
        <v>495</v>
      </c>
      <c r="E147" s="1" t="s">
        <v>496</v>
      </c>
      <c r="F147" s="1" t="s">
        <v>111</v>
      </c>
      <c r="G147" s="1">
        <v>1526898</v>
      </c>
    </row>
    <row r="148" spans="1:9" x14ac:dyDescent="0.3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497</v>
      </c>
      <c r="D148" s="1" t="s">
        <v>498</v>
      </c>
      <c r="E148" s="1" t="s">
        <v>499</v>
      </c>
      <c r="F148" s="1" t="s">
        <v>111</v>
      </c>
      <c r="G148" s="1">
        <v>413153</v>
      </c>
    </row>
    <row r="149" spans="1:9" x14ac:dyDescent="0.3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500</v>
      </c>
    </row>
    <row r="150" spans="1:9" x14ac:dyDescent="0.3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501</v>
      </c>
      <c r="D150" s="1" t="s">
        <v>220</v>
      </c>
      <c r="E150" s="1" t="s">
        <v>502</v>
      </c>
      <c r="F150" s="1" t="s">
        <v>111</v>
      </c>
      <c r="G150" s="1">
        <v>102028</v>
      </c>
    </row>
    <row r="151" spans="1:9" x14ac:dyDescent="0.3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503</v>
      </c>
      <c r="D151" s="1" t="s">
        <v>504</v>
      </c>
      <c r="E151" s="1" t="s">
        <v>505</v>
      </c>
      <c r="F151" s="1" t="s">
        <v>111</v>
      </c>
      <c r="G151" s="1">
        <v>144228</v>
      </c>
    </row>
    <row r="152" spans="1:9" x14ac:dyDescent="0.3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506</v>
      </c>
      <c r="D152" s="1" t="s">
        <v>507</v>
      </c>
      <c r="E152" s="1" t="s">
        <v>508</v>
      </c>
      <c r="F152" s="1" t="s">
        <v>111</v>
      </c>
      <c r="G152" s="1">
        <v>4509292</v>
      </c>
    </row>
    <row r="153" spans="1:9" x14ac:dyDescent="0.3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509</v>
      </c>
    </row>
    <row r="154" spans="1:9" x14ac:dyDescent="0.3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510</v>
      </c>
      <c r="D154" s="1" t="s">
        <v>511</v>
      </c>
      <c r="E154" s="1" t="s">
        <v>512</v>
      </c>
      <c r="F154" s="1" t="s">
        <v>111</v>
      </c>
      <c r="G154" s="1">
        <v>4782478</v>
      </c>
    </row>
    <row r="155" spans="1:9" x14ac:dyDescent="0.3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513</v>
      </c>
      <c r="D155" s="1" t="s">
        <v>514</v>
      </c>
      <c r="E155" s="1" t="s">
        <v>515</v>
      </c>
      <c r="F155" s="1" t="s">
        <v>111</v>
      </c>
      <c r="G155" s="1">
        <v>1713369</v>
      </c>
    </row>
    <row r="156" spans="1:9" x14ac:dyDescent="0.3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516</v>
      </c>
      <c r="D156" s="1" t="s">
        <v>517</v>
      </c>
      <c r="E156" s="1" t="s">
        <v>518</v>
      </c>
      <c r="F156" s="1" t="s">
        <v>111</v>
      </c>
      <c r="G156" s="1">
        <v>1843732</v>
      </c>
    </row>
    <row r="157" spans="1:9" x14ac:dyDescent="0.3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519</v>
      </c>
      <c r="D157" s="1" t="s">
        <v>520</v>
      </c>
      <c r="E157" s="1" t="s">
        <v>521</v>
      </c>
      <c r="F157" s="1" t="s">
        <v>111</v>
      </c>
      <c r="G157" s="1">
        <v>1919934</v>
      </c>
    </row>
    <row r="158" spans="1:9" x14ac:dyDescent="0.3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111</v>
      </c>
    </row>
    <row r="159" spans="1:9" x14ac:dyDescent="0.3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234</v>
      </c>
      <c r="D159" s="1" t="s">
        <v>111</v>
      </c>
      <c r="E159" s="1" t="s">
        <v>235</v>
      </c>
      <c r="F159" s="1" t="s">
        <v>236</v>
      </c>
      <c r="G159" s="1" t="s">
        <v>237</v>
      </c>
      <c r="H159" s="1" t="s">
        <v>238</v>
      </c>
      <c r="I159" s="1" t="s">
        <v>239</v>
      </c>
    </row>
    <row r="160" spans="1:9" x14ac:dyDescent="0.3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522</v>
      </c>
      <c r="D160" s="1" t="s">
        <v>111</v>
      </c>
      <c r="E160" s="1" t="s">
        <v>523</v>
      </c>
      <c r="F160" s="1" t="s">
        <v>524</v>
      </c>
      <c r="G160" s="1" t="s">
        <v>525</v>
      </c>
      <c r="H160" s="1" t="s">
        <v>526</v>
      </c>
      <c r="I160" s="1">
        <v>24</v>
      </c>
    </row>
    <row r="161" spans="1:7" x14ac:dyDescent="0.3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111</v>
      </c>
    </row>
    <row r="162" spans="1:7" x14ac:dyDescent="0.3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111</v>
      </c>
    </row>
    <row r="163" spans="1:7" x14ac:dyDescent="0.3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111</v>
      </c>
    </row>
    <row r="164" spans="1:7" x14ac:dyDescent="0.3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111</v>
      </c>
    </row>
    <row r="165" spans="1:7" x14ac:dyDescent="0.3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111</v>
      </c>
    </row>
    <row r="166" spans="1:7" x14ac:dyDescent="0.3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245</v>
      </c>
      <c r="D166" s="1" t="s">
        <v>109</v>
      </c>
      <c r="E166" s="1" t="s">
        <v>110</v>
      </c>
      <c r="F166" s="1" t="s">
        <v>111</v>
      </c>
      <c r="G166" s="1" t="s">
        <v>112</v>
      </c>
    </row>
    <row r="167" spans="1:7" x14ac:dyDescent="0.35">
      <c r="A167" s="1" t="str">
        <f t="shared" si="2"/>
        <v>06 EE2 171</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527</v>
      </c>
      <c r="D167" s="1" t="s">
        <v>528</v>
      </c>
      <c r="E167" s="1" t="s">
        <v>529</v>
      </c>
      <c r="F167" s="1" t="s">
        <v>111</v>
      </c>
      <c r="G167" s="1">
        <v>3014083</v>
      </c>
    </row>
    <row r="168" spans="1:7" x14ac:dyDescent="0.35">
      <c r="A168" s="1" t="str">
        <f t="shared" si="2"/>
        <v>06 EE2 171</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530</v>
      </c>
      <c r="D168" s="1" t="s">
        <v>531</v>
      </c>
      <c r="E168" s="1" t="s">
        <v>532</v>
      </c>
      <c r="F168" s="1" t="s">
        <v>111</v>
      </c>
      <c r="G168" s="1">
        <v>2827027</v>
      </c>
    </row>
    <row r="169" spans="1:7" x14ac:dyDescent="0.35">
      <c r="A169" s="1" t="str">
        <f t="shared" si="2"/>
        <v>06 EE2 171</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533</v>
      </c>
      <c r="D169" s="1" t="s">
        <v>534</v>
      </c>
      <c r="E169" s="1" t="s">
        <v>535</v>
      </c>
      <c r="F169" s="1" t="s">
        <v>111</v>
      </c>
      <c r="G169" s="1">
        <v>2650333</v>
      </c>
    </row>
    <row r="170" spans="1:7" x14ac:dyDescent="0.35">
      <c r="A170" s="1" t="str">
        <f t="shared" si="2"/>
        <v>06 EE2 171</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536</v>
      </c>
      <c r="D170" s="1" t="s">
        <v>537</v>
      </c>
      <c r="E170" s="1" t="s">
        <v>538</v>
      </c>
      <c r="F170" s="1" t="s">
        <v>111</v>
      </c>
      <c r="G170" s="1">
        <v>2948414</v>
      </c>
    </row>
    <row r="171" spans="1:7" x14ac:dyDescent="0.35">
      <c r="A171" s="1" t="str">
        <f t="shared" si="2"/>
        <v>06 EE2 171</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539</v>
      </c>
      <c r="D171" s="1" t="s">
        <v>540</v>
      </c>
      <c r="E171" s="1" t="s">
        <v>541</v>
      </c>
      <c r="F171" s="1" t="s">
        <v>111</v>
      </c>
      <c r="G171" s="1">
        <v>3119139</v>
      </c>
    </row>
    <row r="172" spans="1:7" x14ac:dyDescent="0.35">
      <c r="A172" s="1" t="str">
        <f t="shared" si="2"/>
        <v>06 EE2 171</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542</v>
      </c>
      <c r="D172" s="1" t="s">
        <v>543</v>
      </c>
      <c r="E172" s="1" t="s">
        <v>544</v>
      </c>
      <c r="F172" s="1" t="s">
        <v>111</v>
      </c>
      <c r="G172" s="1">
        <v>2885082</v>
      </c>
    </row>
    <row r="173" spans="1:7" x14ac:dyDescent="0.35">
      <c r="A173" s="1" t="str">
        <f t="shared" si="2"/>
        <v>06 EE2 171</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545</v>
      </c>
      <c r="D173" s="1" t="s">
        <v>546</v>
      </c>
      <c r="E173" s="1" t="s">
        <v>547</v>
      </c>
      <c r="F173" s="1" t="s">
        <v>111</v>
      </c>
      <c r="G173" s="1">
        <v>3516718</v>
      </c>
    </row>
    <row r="174" spans="1:7" x14ac:dyDescent="0.35">
      <c r="A174" s="1" t="str">
        <f t="shared" si="2"/>
        <v>06 EE2 171</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548</v>
      </c>
      <c r="D174" s="1" t="s">
        <v>549</v>
      </c>
      <c r="E174" s="1" t="s">
        <v>550</v>
      </c>
      <c r="F174" s="1" t="s">
        <v>111</v>
      </c>
      <c r="G174" s="1">
        <v>2006454</v>
      </c>
    </row>
    <row r="175" spans="1:7" x14ac:dyDescent="0.35">
      <c r="A175" s="1" t="str">
        <f t="shared" si="2"/>
        <v>06 EE2 171</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551</v>
      </c>
      <c r="D175" s="1" t="s">
        <v>552</v>
      </c>
      <c r="E175" s="1" t="s">
        <v>553</v>
      </c>
      <c r="F175" s="1" t="s">
        <v>111</v>
      </c>
      <c r="G175" s="1">
        <v>2304557</v>
      </c>
    </row>
    <row r="176" spans="1:7" x14ac:dyDescent="0.35">
      <c r="A176" s="1" t="str">
        <f t="shared" si="2"/>
        <v>06 EE2 171</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554</v>
      </c>
      <c r="D176" s="1" t="s">
        <v>555</v>
      </c>
      <c r="E176" s="1" t="s">
        <v>556</v>
      </c>
      <c r="F176" s="1" t="s">
        <v>111</v>
      </c>
      <c r="G176" s="1">
        <v>2769773</v>
      </c>
    </row>
    <row r="177" spans="1:9" x14ac:dyDescent="0.35">
      <c r="A177" s="1" t="str">
        <f t="shared" si="2"/>
        <v>06 EE2 171</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557</v>
      </c>
      <c r="D177" s="1" t="s">
        <v>558</v>
      </c>
      <c r="E177" s="1" t="s">
        <v>559</v>
      </c>
      <c r="F177" s="1" t="s">
        <v>111</v>
      </c>
      <c r="G177" s="1">
        <v>2941622</v>
      </c>
    </row>
    <row r="178" spans="1:9" x14ac:dyDescent="0.35">
      <c r="A178" s="1" t="str">
        <f t="shared" si="2"/>
        <v>06 EE2 171</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560</v>
      </c>
      <c r="D178" s="1" t="s">
        <v>561</v>
      </c>
      <c r="E178" s="1" t="s">
        <v>562</v>
      </c>
      <c r="F178" s="1" t="s">
        <v>111</v>
      </c>
      <c r="G178" s="1">
        <v>3136248</v>
      </c>
    </row>
    <row r="179" spans="1:9" x14ac:dyDescent="0.35">
      <c r="A179" s="1" t="str">
        <f t="shared" si="2"/>
        <v>06 EE2 171</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563</v>
      </c>
      <c r="D179" s="1" t="s">
        <v>564</v>
      </c>
      <c r="E179" s="1" t="s">
        <v>565</v>
      </c>
      <c r="F179" s="1" t="s">
        <v>111</v>
      </c>
      <c r="G179" s="1">
        <v>2185247</v>
      </c>
    </row>
    <row r="180" spans="1:9" x14ac:dyDescent="0.35">
      <c r="A180" s="1" t="str">
        <f t="shared" si="2"/>
        <v>06 EE2 171</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566</v>
      </c>
      <c r="D180" s="1" t="s">
        <v>567</v>
      </c>
      <c r="E180" s="1" t="s">
        <v>568</v>
      </c>
      <c r="F180" s="1" t="s">
        <v>111</v>
      </c>
      <c r="G180" s="1">
        <v>3760963</v>
      </c>
    </row>
    <row r="181" spans="1:9" x14ac:dyDescent="0.35">
      <c r="A181" s="1" t="str">
        <f t="shared" si="2"/>
        <v>06 EE2 171</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569</v>
      </c>
      <c r="D181" s="1" t="s">
        <v>570</v>
      </c>
      <c r="E181" s="1" t="s">
        <v>571</v>
      </c>
      <c r="F181" s="1" t="s">
        <v>111</v>
      </c>
      <c r="G181" s="1">
        <v>3935148</v>
      </c>
    </row>
    <row r="182" spans="1:9" x14ac:dyDescent="0.35">
      <c r="A182" s="1" t="str">
        <f t="shared" si="2"/>
        <v>06 EE2 171</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572</v>
      </c>
      <c r="D182" s="1" t="s">
        <v>573</v>
      </c>
      <c r="E182" s="1" t="s">
        <v>574</v>
      </c>
      <c r="F182" s="1" t="s">
        <v>111</v>
      </c>
      <c r="G182" s="1">
        <v>1261780</v>
      </c>
    </row>
    <row r="183" spans="1:9" x14ac:dyDescent="0.35">
      <c r="A183" s="1" t="str">
        <f t="shared" si="2"/>
        <v>06 EE2 171</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575</v>
      </c>
      <c r="D183" s="1" t="s">
        <v>576</v>
      </c>
      <c r="E183" s="1" t="s">
        <v>577</v>
      </c>
      <c r="F183" s="1" t="s">
        <v>111</v>
      </c>
      <c r="G183" s="1">
        <v>1364760</v>
      </c>
    </row>
    <row r="184" spans="1:9" x14ac:dyDescent="0.35">
      <c r="A184" s="1" t="str">
        <f t="shared" si="2"/>
        <v>06 EE2 171</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578</v>
      </c>
      <c r="D184" s="1" t="s">
        <v>579</v>
      </c>
      <c r="E184" s="1" t="s">
        <v>580</v>
      </c>
      <c r="F184" s="1" t="s">
        <v>111</v>
      </c>
      <c r="G184" s="1">
        <v>1389353</v>
      </c>
    </row>
    <row r="185" spans="1:9" x14ac:dyDescent="0.35">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581</v>
      </c>
      <c r="D185" s="1" t="s">
        <v>582</v>
      </c>
      <c r="E185" s="1" t="s">
        <v>583</v>
      </c>
      <c r="F185" s="1" t="s">
        <v>111</v>
      </c>
      <c r="G185" s="1">
        <v>2160459</v>
      </c>
    </row>
    <row r="186" spans="1:9" x14ac:dyDescent="0.35">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584</v>
      </c>
      <c r="D186" s="1" t="s">
        <v>585</v>
      </c>
      <c r="E186" s="1" t="s">
        <v>586</v>
      </c>
      <c r="F186" s="1" t="s">
        <v>111</v>
      </c>
      <c r="G186" s="1">
        <v>2525312</v>
      </c>
    </row>
    <row r="187" spans="1:9" x14ac:dyDescent="0.35">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587</v>
      </c>
      <c r="D187" s="1" t="s">
        <v>588</v>
      </c>
      <c r="E187" s="1" t="s">
        <v>589</v>
      </c>
      <c r="F187" s="1" t="s">
        <v>111</v>
      </c>
      <c r="G187" s="1">
        <v>1514698</v>
      </c>
    </row>
    <row r="188" spans="1:9" x14ac:dyDescent="0.35">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590</v>
      </c>
      <c r="D188" s="1" t="s">
        <v>591</v>
      </c>
      <c r="E188" s="1" t="s">
        <v>592</v>
      </c>
      <c r="F188" s="1" t="s">
        <v>111</v>
      </c>
      <c r="G188" s="1">
        <v>324081</v>
      </c>
    </row>
    <row r="189" spans="1:9" x14ac:dyDescent="0.35">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593</v>
      </c>
      <c r="D189" s="1" t="s">
        <v>594</v>
      </c>
      <c r="E189" s="1" t="s">
        <v>595</v>
      </c>
      <c r="F189" s="1" t="s">
        <v>111</v>
      </c>
      <c r="G189" s="1">
        <v>746210</v>
      </c>
    </row>
    <row r="190" spans="1:9" x14ac:dyDescent="0.35">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596</v>
      </c>
      <c r="D190" s="1" t="s">
        <v>597</v>
      </c>
      <c r="E190" s="1" t="s">
        <v>598</v>
      </c>
      <c r="F190" s="1" t="s">
        <v>111</v>
      </c>
      <c r="G190" s="1">
        <v>792822</v>
      </c>
    </row>
    <row r="191" spans="1:9" x14ac:dyDescent="0.3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111</v>
      </c>
    </row>
    <row r="192" spans="1:9" x14ac:dyDescent="0.3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234</v>
      </c>
      <c r="D192" s="1" t="s">
        <v>111</v>
      </c>
      <c r="E192" s="1" t="s">
        <v>235</v>
      </c>
      <c r="F192" s="1" t="s">
        <v>236</v>
      </c>
      <c r="G192" s="1" t="s">
        <v>237</v>
      </c>
      <c r="H192" s="1" t="s">
        <v>238</v>
      </c>
      <c r="I192" s="1" t="s">
        <v>239</v>
      </c>
    </row>
    <row r="193" spans="1:9" x14ac:dyDescent="0.35">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599</v>
      </c>
      <c r="D193" s="1" t="s">
        <v>111</v>
      </c>
      <c r="E193" s="1" t="s">
        <v>600</v>
      </c>
      <c r="F193" s="1" t="s">
        <v>601</v>
      </c>
      <c r="G193" s="1" t="s">
        <v>602</v>
      </c>
      <c r="H193" s="1" t="s">
        <v>603</v>
      </c>
      <c r="I193" s="1">
        <v>24</v>
      </c>
    </row>
    <row r="194" spans="1:9" x14ac:dyDescent="0.3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111</v>
      </c>
    </row>
    <row r="195" spans="1:9" x14ac:dyDescent="0.3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111</v>
      </c>
    </row>
    <row r="196" spans="1:9" x14ac:dyDescent="0.3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111</v>
      </c>
    </row>
    <row r="197" spans="1:9" x14ac:dyDescent="0.3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111</v>
      </c>
    </row>
    <row r="198" spans="1:9" x14ac:dyDescent="0.3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111</v>
      </c>
    </row>
    <row r="199" spans="1:9" x14ac:dyDescent="0.3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245</v>
      </c>
      <c r="D199" s="1" t="s">
        <v>109</v>
      </c>
      <c r="E199" s="1" t="s">
        <v>110</v>
      </c>
      <c r="F199" s="1" t="s">
        <v>111</v>
      </c>
      <c r="G199" s="1" t="s">
        <v>112</v>
      </c>
    </row>
    <row r="200" spans="1:9" x14ac:dyDescent="0.3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604</v>
      </c>
      <c r="D200" s="1" t="s">
        <v>605</v>
      </c>
      <c r="E200" s="1" t="s">
        <v>606</v>
      </c>
      <c r="F200" s="1" t="s">
        <v>111</v>
      </c>
      <c r="G200" s="1">
        <v>5337155</v>
      </c>
    </row>
    <row r="201" spans="1:9" x14ac:dyDescent="0.3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607</v>
      </c>
      <c r="D201" s="1" t="s">
        <v>608</v>
      </c>
      <c r="E201" s="1" t="s">
        <v>609</v>
      </c>
      <c r="F201" s="1" t="s">
        <v>111</v>
      </c>
      <c r="G201" s="1">
        <v>3849710</v>
      </c>
    </row>
    <row r="202" spans="1:9" x14ac:dyDescent="0.3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610</v>
      </c>
      <c r="D202" s="1" t="s">
        <v>611</v>
      </c>
      <c r="E202" s="1" t="s">
        <v>612</v>
      </c>
      <c r="F202" s="1" t="s">
        <v>111</v>
      </c>
      <c r="G202" s="1">
        <v>4644241</v>
      </c>
    </row>
    <row r="203" spans="1:9" x14ac:dyDescent="0.3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613</v>
      </c>
      <c r="D203" s="1" t="s">
        <v>614</v>
      </c>
      <c r="E203" s="1" t="s">
        <v>615</v>
      </c>
      <c r="F203" s="1" t="s">
        <v>111</v>
      </c>
      <c r="G203" s="1">
        <v>3299294</v>
      </c>
    </row>
    <row r="204" spans="1:9" x14ac:dyDescent="0.3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616</v>
      </c>
      <c r="D204" s="1" t="s">
        <v>617</v>
      </c>
      <c r="E204" s="1" t="s">
        <v>618</v>
      </c>
      <c r="F204" s="1" t="s">
        <v>111</v>
      </c>
      <c r="G204" s="1">
        <v>2520813</v>
      </c>
    </row>
    <row r="205" spans="1:9" x14ac:dyDescent="0.3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619</v>
      </c>
      <c r="D205" s="1" t="s">
        <v>620</v>
      </c>
      <c r="E205" s="1" t="s">
        <v>621</v>
      </c>
      <c r="F205" s="1" t="s">
        <v>111</v>
      </c>
      <c r="G205" s="1">
        <v>3265335</v>
      </c>
    </row>
    <row r="206" spans="1:9" x14ac:dyDescent="0.3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622</v>
      </c>
      <c r="D206" s="1" t="s">
        <v>623</v>
      </c>
      <c r="E206" s="1" t="s">
        <v>624</v>
      </c>
      <c r="F206" s="1" t="s">
        <v>111</v>
      </c>
      <c r="G206" s="1">
        <v>6315280</v>
      </c>
    </row>
    <row r="207" spans="1:9" x14ac:dyDescent="0.3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625</v>
      </c>
      <c r="D207" s="1" t="s">
        <v>626</v>
      </c>
      <c r="E207" s="1" t="s">
        <v>627</v>
      </c>
      <c r="F207" s="1" t="s">
        <v>111</v>
      </c>
      <c r="G207" s="1">
        <v>5721843</v>
      </c>
    </row>
    <row r="208" spans="1:9" x14ac:dyDescent="0.3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628</v>
      </c>
      <c r="D208" s="1" t="s">
        <v>629</v>
      </c>
      <c r="E208" s="1" t="s">
        <v>630</v>
      </c>
      <c r="F208" s="1" t="s">
        <v>111</v>
      </c>
      <c r="G208" s="1">
        <v>6117475</v>
      </c>
    </row>
    <row r="209" spans="1:7" x14ac:dyDescent="0.3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631</v>
      </c>
      <c r="D209" s="1" t="s">
        <v>632</v>
      </c>
      <c r="E209" s="1" t="s">
        <v>633</v>
      </c>
      <c r="F209" s="1" t="s">
        <v>111</v>
      </c>
      <c r="G209" s="1">
        <v>4546625</v>
      </c>
    </row>
    <row r="210" spans="1:7" x14ac:dyDescent="0.3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634</v>
      </c>
      <c r="D210" s="1" t="s">
        <v>635</v>
      </c>
      <c r="E210" s="1" t="s">
        <v>636</v>
      </c>
      <c r="F210" s="1" t="s">
        <v>111</v>
      </c>
      <c r="G210" s="1">
        <v>4273094</v>
      </c>
    </row>
    <row r="211" spans="1:7" x14ac:dyDescent="0.3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637</v>
      </c>
      <c r="D211" s="1" t="s">
        <v>638</v>
      </c>
      <c r="E211" s="1" t="s">
        <v>639</v>
      </c>
      <c r="F211" s="1" t="s">
        <v>111</v>
      </c>
      <c r="G211" s="1">
        <v>4117705</v>
      </c>
    </row>
    <row r="212" spans="1:7" x14ac:dyDescent="0.3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640</v>
      </c>
      <c r="D212" s="1" t="s">
        <v>641</v>
      </c>
      <c r="E212" s="1" t="s">
        <v>642</v>
      </c>
      <c r="F212" s="1" t="s">
        <v>111</v>
      </c>
      <c r="G212" s="1">
        <v>6707344</v>
      </c>
    </row>
    <row r="213" spans="1:7" x14ac:dyDescent="0.3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643</v>
      </c>
      <c r="D213" s="1" t="s">
        <v>644</v>
      </c>
      <c r="E213" s="1" t="s">
        <v>645</v>
      </c>
      <c r="F213" s="1" t="s">
        <v>111</v>
      </c>
      <c r="G213" s="1">
        <v>6817721</v>
      </c>
    </row>
    <row r="214" spans="1:7" x14ac:dyDescent="0.3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646</v>
      </c>
      <c r="D214" s="1" t="s">
        <v>647</v>
      </c>
      <c r="E214" s="1" t="s">
        <v>648</v>
      </c>
      <c r="F214" s="1" t="s">
        <v>111</v>
      </c>
      <c r="G214" s="1">
        <v>6379629</v>
      </c>
    </row>
    <row r="215" spans="1:7" x14ac:dyDescent="0.3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649</v>
      </c>
      <c r="D215" s="1" t="s">
        <v>650</v>
      </c>
      <c r="E215" s="1" t="s">
        <v>651</v>
      </c>
      <c r="F215" s="1" t="s">
        <v>111</v>
      </c>
      <c r="G215" s="1">
        <v>2781951</v>
      </c>
    </row>
    <row r="216" spans="1:7" x14ac:dyDescent="0.3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652</v>
      </c>
      <c r="D216" s="1" t="s">
        <v>653</v>
      </c>
      <c r="E216" s="1" t="s">
        <v>654</v>
      </c>
      <c r="F216" s="1" t="s">
        <v>111</v>
      </c>
      <c r="G216" s="1">
        <v>2821901</v>
      </c>
    </row>
    <row r="217" spans="1:7" x14ac:dyDescent="0.3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655</v>
      </c>
      <c r="D217" s="1" t="s">
        <v>656</v>
      </c>
      <c r="E217" s="1" t="s">
        <v>657</v>
      </c>
      <c r="F217" s="1" t="s">
        <v>111</v>
      </c>
      <c r="G217" s="1">
        <v>2996844</v>
      </c>
    </row>
    <row r="218" spans="1:7" x14ac:dyDescent="0.3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658</v>
      </c>
      <c r="D218" s="1" t="s">
        <v>659</v>
      </c>
      <c r="E218" s="1" t="s">
        <v>660</v>
      </c>
      <c r="F218" s="1" t="s">
        <v>111</v>
      </c>
      <c r="G218" s="1">
        <v>5194419</v>
      </c>
    </row>
    <row r="219" spans="1:7" x14ac:dyDescent="0.3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661</v>
      </c>
      <c r="D219" s="1" t="s">
        <v>662</v>
      </c>
      <c r="E219" s="1" t="s">
        <v>663</v>
      </c>
      <c r="F219" s="1" t="s">
        <v>111</v>
      </c>
      <c r="G219" s="1">
        <v>4863222</v>
      </c>
    </row>
    <row r="220" spans="1:7" x14ac:dyDescent="0.3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664</v>
      </c>
      <c r="D220" s="1" t="s">
        <v>665</v>
      </c>
      <c r="E220" s="1" t="s">
        <v>666</v>
      </c>
      <c r="F220" s="1" t="s">
        <v>111</v>
      </c>
      <c r="G220" s="1">
        <v>4576734</v>
      </c>
    </row>
    <row r="221" spans="1:7" x14ac:dyDescent="0.3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667</v>
      </c>
      <c r="D221" s="1" t="s">
        <v>668</v>
      </c>
      <c r="E221" s="1" t="s">
        <v>669</v>
      </c>
      <c r="F221" s="1" t="s">
        <v>111</v>
      </c>
      <c r="G221" s="1">
        <v>3849775</v>
      </c>
    </row>
    <row r="222" spans="1:7" x14ac:dyDescent="0.3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670</v>
      </c>
      <c r="D222" s="1" t="s">
        <v>561</v>
      </c>
      <c r="E222" s="1" t="s">
        <v>671</v>
      </c>
      <c r="F222" s="1" t="s">
        <v>111</v>
      </c>
      <c r="G222" s="1">
        <v>3959893</v>
      </c>
    </row>
    <row r="223" spans="1:7" x14ac:dyDescent="0.3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672</v>
      </c>
      <c r="D223" s="1" t="s">
        <v>673</v>
      </c>
      <c r="E223" s="1" t="s">
        <v>674</v>
      </c>
      <c r="F223" s="1" t="s">
        <v>111</v>
      </c>
      <c r="G223" s="1">
        <v>3927946</v>
      </c>
    </row>
    <row r="224" spans="1:7" x14ac:dyDescent="0.3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111</v>
      </c>
    </row>
    <row r="225" spans="1:9" x14ac:dyDescent="0.3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234</v>
      </c>
      <c r="D225" s="1" t="s">
        <v>111</v>
      </c>
      <c r="E225" s="1" t="s">
        <v>235</v>
      </c>
      <c r="F225" s="1" t="s">
        <v>236</v>
      </c>
      <c r="G225" s="1" t="s">
        <v>237</v>
      </c>
      <c r="H225" s="1" t="s">
        <v>238</v>
      </c>
      <c r="I225" s="1" t="s">
        <v>239</v>
      </c>
    </row>
    <row r="226" spans="1:9" x14ac:dyDescent="0.3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675</v>
      </c>
      <c r="D226" s="1" t="s">
        <v>111</v>
      </c>
      <c r="E226" s="1" t="s">
        <v>676</v>
      </c>
      <c r="F226" s="1" t="s">
        <v>677</v>
      </c>
      <c r="G226" s="1" t="s">
        <v>678</v>
      </c>
      <c r="H226" s="1" t="s">
        <v>679</v>
      </c>
      <c r="I226" s="1">
        <v>24</v>
      </c>
    </row>
    <row r="227" spans="1:9" x14ac:dyDescent="0.3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111</v>
      </c>
    </row>
    <row r="228" spans="1:9" x14ac:dyDescent="0.3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111</v>
      </c>
    </row>
    <row r="229" spans="1:9" x14ac:dyDescent="0.3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111</v>
      </c>
    </row>
    <row r="230" spans="1:9" x14ac:dyDescent="0.3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111</v>
      </c>
    </row>
    <row r="231" spans="1:9" x14ac:dyDescent="0.3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111</v>
      </c>
    </row>
    <row r="232" spans="1:9" x14ac:dyDescent="0.3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245</v>
      </c>
      <c r="D232" s="1" t="s">
        <v>109</v>
      </c>
      <c r="E232" s="1" t="s">
        <v>110</v>
      </c>
      <c r="F232" s="1" t="s">
        <v>111</v>
      </c>
      <c r="G232" s="1" t="s">
        <v>112</v>
      </c>
    </row>
    <row r="233" spans="1:9" x14ac:dyDescent="0.35">
      <c r="A233" s="1" t="str">
        <f t="shared" si="3"/>
        <v>08 Saccharin 0,01</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680</v>
      </c>
      <c r="D233" s="1" t="s">
        <v>365</v>
      </c>
      <c r="E233" s="1" t="s">
        <v>282</v>
      </c>
      <c r="F233" s="1" t="s">
        <v>111</v>
      </c>
      <c r="G233" s="1">
        <v>27189</v>
      </c>
    </row>
    <row r="234" spans="1:9" x14ac:dyDescent="0.35">
      <c r="A234" s="1" t="str">
        <f t="shared" si="3"/>
        <v>08 Saccharin 0,01</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681</v>
      </c>
      <c r="D234" s="1" t="s">
        <v>682</v>
      </c>
      <c r="E234" s="1" t="s">
        <v>683</v>
      </c>
      <c r="F234" s="1" t="s">
        <v>111</v>
      </c>
      <c r="G234" s="1">
        <v>23988</v>
      </c>
    </row>
    <row r="235" spans="1:9" x14ac:dyDescent="0.35">
      <c r="A235" s="1" t="str">
        <f t="shared" si="3"/>
        <v>08 Saccharin 0,01</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684</v>
      </c>
    </row>
    <row r="236" spans="1:9" x14ac:dyDescent="0.35">
      <c r="A236" s="1" t="str">
        <f t="shared" si="3"/>
        <v>08 Saccharin 0,01</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685</v>
      </c>
    </row>
    <row r="237" spans="1:9" x14ac:dyDescent="0.35">
      <c r="A237" s="1" t="str">
        <f t="shared" si="3"/>
        <v>08 Saccharin 0,01</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686</v>
      </c>
      <c r="D237" s="1" t="s">
        <v>687</v>
      </c>
      <c r="E237" s="1" t="s">
        <v>688</v>
      </c>
      <c r="F237" s="1" t="s">
        <v>111</v>
      </c>
      <c r="G237" s="1">
        <v>8284</v>
      </c>
    </row>
    <row r="238" spans="1:9" x14ac:dyDescent="0.35">
      <c r="A238" s="1" t="str">
        <f t="shared" si="3"/>
        <v>08 Saccharin 0,01</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689</v>
      </c>
      <c r="D238" s="1" t="s">
        <v>278</v>
      </c>
      <c r="E238" s="1" t="s">
        <v>690</v>
      </c>
      <c r="F238" s="1" t="s">
        <v>111</v>
      </c>
      <c r="G238" s="1">
        <v>12156</v>
      </c>
    </row>
    <row r="239" spans="1:9" x14ac:dyDescent="0.35">
      <c r="A239" s="1" t="str">
        <f t="shared" si="3"/>
        <v>08 Saccharin 0,01</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691</v>
      </c>
      <c r="D239" s="1" t="s">
        <v>265</v>
      </c>
      <c r="E239" s="1" t="s">
        <v>692</v>
      </c>
      <c r="F239" s="1" t="s">
        <v>111</v>
      </c>
      <c r="G239" s="1">
        <v>20700</v>
      </c>
    </row>
    <row r="240" spans="1:9" x14ac:dyDescent="0.35">
      <c r="A240" s="1" t="str">
        <f t="shared" si="3"/>
        <v>08 Saccharin 0,01</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693</v>
      </c>
      <c r="D240" s="1" t="s">
        <v>365</v>
      </c>
      <c r="E240" s="1" t="s">
        <v>694</v>
      </c>
      <c r="F240" s="1" t="s">
        <v>111</v>
      </c>
      <c r="G240" s="1">
        <v>28054</v>
      </c>
    </row>
    <row r="241" spans="1:7" x14ac:dyDescent="0.35">
      <c r="A241" s="1" t="str">
        <f t="shared" si="3"/>
        <v>08 Saccharin 0,01</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695</v>
      </c>
      <c r="D241" s="1" t="s">
        <v>696</v>
      </c>
      <c r="E241" s="1" t="s">
        <v>697</v>
      </c>
      <c r="F241" s="1" t="s">
        <v>111</v>
      </c>
      <c r="G241" s="1">
        <v>31753</v>
      </c>
    </row>
    <row r="242" spans="1:7" x14ac:dyDescent="0.35">
      <c r="A242" s="1" t="str">
        <f t="shared" si="3"/>
        <v>08 Saccharin 0,01</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698</v>
      </c>
      <c r="D242" s="1" t="s">
        <v>699</v>
      </c>
      <c r="E242" s="1" t="s">
        <v>700</v>
      </c>
      <c r="F242" s="1" t="s">
        <v>111</v>
      </c>
      <c r="G242" s="1">
        <v>145937</v>
      </c>
    </row>
    <row r="243" spans="1:7" x14ac:dyDescent="0.35">
      <c r="A243" s="1" t="str">
        <f t="shared" si="3"/>
        <v>08 Saccharin 0,01</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701</v>
      </c>
      <c r="D243" s="1" t="s">
        <v>702</v>
      </c>
      <c r="E243" s="1" t="s">
        <v>703</v>
      </c>
      <c r="F243" s="1" t="s">
        <v>111</v>
      </c>
      <c r="G243" s="1">
        <v>62856</v>
      </c>
    </row>
    <row r="244" spans="1:7" x14ac:dyDescent="0.35">
      <c r="A244" s="1" t="str">
        <f t="shared" si="3"/>
        <v>08 Saccharin 0,01</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704</v>
      </c>
      <c r="D244" s="1" t="s">
        <v>705</v>
      </c>
      <c r="E244" s="1" t="s">
        <v>706</v>
      </c>
      <c r="F244" s="1" t="s">
        <v>111</v>
      </c>
      <c r="G244" s="1">
        <v>87320</v>
      </c>
    </row>
    <row r="245" spans="1:7" x14ac:dyDescent="0.35">
      <c r="A245" s="1" t="str">
        <f t="shared" si="3"/>
        <v>08 Saccharin 0,01</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707</v>
      </c>
      <c r="D245" s="1" t="s">
        <v>708</v>
      </c>
      <c r="E245" s="1">
        <v>64</v>
      </c>
      <c r="F245" s="1" t="s">
        <v>111</v>
      </c>
      <c r="G245" s="1">
        <v>9690</v>
      </c>
    </row>
    <row r="246" spans="1:7" x14ac:dyDescent="0.35">
      <c r="A246" s="1" t="str">
        <f t="shared" si="3"/>
        <v>08 Saccharin 0,01</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709</v>
      </c>
      <c r="D246" s="1" t="s">
        <v>710</v>
      </c>
      <c r="E246" s="1" t="s">
        <v>711</v>
      </c>
      <c r="F246" s="1" t="s">
        <v>111</v>
      </c>
      <c r="G246" s="1">
        <v>5472</v>
      </c>
    </row>
    <row r="247" spans="1:7" x14ac:dyDescent="0.35">
      <c r="A247" s="1" t="str">
        <f t="shared" si="3"/>
        <v>08 Saccharin 0,01</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712</v>
      </c>
      <c r="D247" s="1" t="s">
        <v>713</v>
      </c>
      <c r="E247" s="1" t="s">
        <v>714</v>
      </c>
      <c r="F247" s="1" t="s">
        <v>111</v>
      </c>
      <c r="G247" s="1">
        <v>10793</v>
      </c>
    </row>
    <row r="248" spans="1:7" x14ac:dyDescent="0.35">
      <c r="A248" s="1" t="str">
        <f t="shared" si="3"/>
        <v>08 Saccharin 0,01</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715</v>
      </c>
      <c r="D248" s="1" t="s">
        <v>716</v>
      </c>
      <c r="E248" s="1" t="s">
        <v>717</v>
      </c>
      <c r="F248" s="1" t="s">
        <v>111</v>
      </c>
      <c r="G248" s="1">
        <v>36079</v>
      </c>
    </row>
    <row r="249" spans="1:7" x14ac:dyDescent="0.35">
      <c r="A249" s="1" t="str">
        <f t="shared" si="3"/>
        <v>08 Saccharin 0,01</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718</v>
      </c>
      <c r="D249" s="1" t="s">
        <v>471</v>
      </c>
      <c r="E249" s="1" t="s">
        <v>719</v>
      </c>
      <c r="F249" s="1" t="s">
        <v>111</v>
      </c>
      <c r="G249" s="1">
        <v>364031</v>
      </c>
    </row>
    <row r="250" spans="1:7" x14ac:dyDescent="0.35">
      <c r="A250" s="1" t="str">
        <f t="shared" si="3"/>
        <v>08 Saccharin 0,01</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720</v>
      </c>
      <c r="D250" s="1" t="s">
        <v>721</v>
      </c>
      <c r="E250" s="1" t="s">
        <v>722</v>
      </c>
      <c r="F250" s="1" t="s">
        <v>111</v>
      </c>
      <c r="G250" s="1">
        <v>15336</v>
      </c>
    </row>
    <row r="251" spans="1:7" x14ac:dyDescent="0.35">
      <c r="A251" s="1" t="str">
        <f t="shared" si="3"/>
        <v>08 Saccharin 0,01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723</v>
      </c>
      <c r="D251" s="1" t="s">
        <v>319</v>
      </c>
      <c r="E251" s="1" t="s">
        <v>724</v>
      </c>
      <c r="F251" s="1" t="s">
        <v>111</v>
      </c>
      <c r="G251" s="1">
        <v>39237</v>
      </c>
    </row>
    <row r="252" spans="1:7" x14ac:dyDescent="0.35">
      <c r="A252" s="1" t="str">
        <f t="shared" si="3"/>
        <v>08 Saccharin 0,01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725</v>
      </c>
      <c r="D252" s="1" t="s">
        <v>265</v>
      </c>
      <c r="E252" s="1" t="s">
        <v>726</v>
      </c>
      <c r="F252" s="1" t="s">
        <v>111</v>
      </c>
      <c r="G252" s="1">
        <v>20613</v>
      </c>
    </row>
    <row r="253" spans="1:7" x14ac:dyDescent="0.35">
      <c r="A253" s="1" t="str">
        <f t="shared" si="3"/>
        <v>08 Saccharin 0,01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727</v>
      </c>
      <c r="D253" s="1" t="s">
        <v>696</v>
      </c>
      <c r="E253" s="1" t="s">
        <v>728</v>
      </c>
      <c r="F253" s="1" t="s">
        <v>111</v>
      </c>
      <c r="G253" s="1">
        <v>32618</v>
      </c>
    </row>
    <row r="254" spans="1:7" x14ac:dyDescent="0.35">
      <c r="A254" s="1" t="str">
        <f t="shared" si="3"/>
        <v>08 Saccharin 0,01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729</v>
      </c>
      <c r="D254" s="1" t="s">
        <v>710</v>
      </c>
      <c r="E254" s="1" t="s">
        <v>730</v>
      </c>
      <c r="F254" s="1" t="s">
        <v>111</v>
      </c>
      <c r="G254" s="1">
        <v>5559</v>
      </c>
    </row>
    <row r="255" spans="1:7" x14ac:dyDescent="0.35">
      <c r="A255" s="1" t="str">
        <f t="shared" si="3"/>
        <v>08 Saccharin 0,01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731</v>
      </c>
      <c r="D255" s="1" t="s">
        <v>713</v>
      </c>
      <c r="E255" s="1" t="s">
        <v>732</v>
      </c>
      <c r="F255" s="1" t="s">
        <v>111</v>
      </c>
      <c r="G255" s="1">
        <v>11010</v>
      </c>
    </row>
    <row r="256" spans="1:7" x14ac:dyDescent="0.35">
      <c r="A256" s="1" t="str">
        <f t="shared" si="3"/>
        <v>08 Saccharin 0,01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733</v>
      </c>
      <c r="D256" s="1" t="s">
        <v>734</v>
      </c>
      <c r="E256" s="1">
        <v>64</v>
      </c>
      <c r="F256" s="1" t="s">
        <v>111</v>
      </c>
      <c r="G256" s="1">
        <v>6922</v>
      </c>
    </row>
    <row r="257" spans="1:9" x14ac:dyDescent="0.3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111</v>
      </c>
    </row>
    <row r="258" spans="1:9" x14ac:dyDescent="0.3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234</v>
      </c>
      <c r="D258" s="1" t="s">
        <v>111</v>
      </c>
      <c r="E258" s="1" t="s">
        <v>235</v>
      </c>
      <c r="F258" s="1" t="s">
        <v>236</v>
      </c>
      <c r="G258" s="1" t="s">
        <v>237</v>
      </c>
      <c r="H258" s="1" t="s">
        <v>238</v>
      </c>
      <c r="I258" s="1" t="s">
        <v>239</v>
      </c>
    </row>
    <row r="259" spans="1:9" x14ac:dyDescent="0.35">
      <c r="A259" s="1" t="str">
        <f t="shared" si="4"/>
        <v>08 Saccharin 0,01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735</v>
      </c>
      <c r="D259" s="1" t="s">
        <v>111</v>
      </c>
      <c r="E259" s="1" t="s">
        <v>736</v>
      </c>
      <c r="F259" s="1" t="s">
        <v>737</v>
      </c>
      <c r="G259" s="1" t="s">
        <v>738</v>
      </c>
      <c r="H259" s="1" t="s">
        <v>739</v>
      </c>
      <c r="I259" s="1">
        <v>24</v>
      </c>
    </row>
    <row r="260" spans="1:9" x14ac:dyDescent="0.3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111</v>
      </c>
    </row>
    <row r="261" spans="1:9" x14ac:dyDescent="0.3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111</v>
      </c>
    </row>
    <row r="262" spans="1:9" x14ac:dyDescent="0.3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111</v>
      </c>
    </row>
    <row r="263" spans="1:9" x14ac:dyDescent="0.3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111</v>
      </c>
    </row>
    <row r="264" spans="1:9" x14ac:dyDescent="0.3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111</v>
      </c>
    </row>
    <row r="265" spans="1:9" x14ac:dyDescent="0.3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245</v>
      </c>
      <c r="D265" s="1" t="s">
        <v>109</v>
      </c>
      <c r="E265" s="1" t="s">
        <v>110</v>
      </c>
      <c r="F265" s="1" t="s">
        <v>111</v>
      </c>
      <c r="G265" s="1" t="s">
        <v>112</v>
      </c>
    </row>
    <row r="266" spans="1:9" x14ac:dyDescent="0.35">
      <c r="A266" s="1" t="str">
        <f t="shared" si="4"/>
        <v>09  Saccharin 0,1</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740</v>
      </c>
      <c r="D266" s="1" t="s">
        <v>371</v>
      </c>
      <c r="E266" s="1" t="s">
        <v>741</v>
      </c>
      <c r="F266" s="1" t="s">
        <v>111</v>
      </c>
      <c r="G266" s="1">
        <v>172131</v>
      </c>
    </row>
    <row r="267" spans="1:9" x14ac:dyDescent="0.35">
      <c r="A267" s="1" t="str">
        <f t="shared" si="4"/>
        <v>09  Saccharin 0,1</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742</v>
      </c>
      <c r="D267" s="1" t="s">
        <v>743</v>
      </c>
      <c r="E267" s="1" t="s">
        <v>744</v>
      </c>
      <c r="F267" s="1" t="s">
        <v>111</v>
      </c>
      <c r="G267" s="1">
        <v>182427</v>
      </c>
    </row>
    <row r="268" spans="1:9" x14ac:dyDescent="0.35">
      <c r="A268" s="1" t="str">
        <f t="shared" si="4"/>
        <v>09  Saccharin 0,1</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745</v>
      </c>
      <c r="D268" s="1" t="s">
        <v>687</v>
      </c>
      <c r="E268" s="1" t="s">
        <v>746</v>
      </c>
      <c r="F268" s="1" t="s">
        <v>111</v>
      </c>
      <c r="G268" s="1">
        <v>8457</v>
      </c>
    </row>
    <row r="269" spans="1:9" x14ac:dyDescent="0.35">
      <c r="A269" s="1" t="str">
        <f t="shared" si="4"/>
        <v>09  Saccharin 0,1</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747</v>
      </c>
      <c r="D269" s="1" t="s">
        <v>278</v>
      </c>
      <c r="E269" s="1">
        <v>62</v>
      </c>
      <c r="F269" s="1" t="s">
        <v>111</v>
      </c>
      <c r="G269" s="1">
        <v>12069</v>
      </c>
    </row>
    <row r="270" spans="1:9" x14ac:dyDescent="0.35">
      <c r="A270" s="1" t="str">
        <f t="shared" si="4"/>
        <v>09  Saccharin 0,1</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748</v>
      </c>
      <c r="D270" s="1" t="s">
        <v>696</v>
      </c>
      <c r="E270" s="1" t="s">
        <v>749</v>
      </c>
      <c r="F270" s="1" t="s">
        <v>111</v>
      </c>
      <c r="G270" s="1">
        <v>32769</v>
      </c>
    </row>
    <row r="271" spans="1:9" x14ac:dyDescent="0.35">
      <c r="A271" s="1" t="str">
        <f t="shared" si="4"/>
        <v>09  Saccharin 0,1</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750</v>
      </c>
      <c r="D271" s="1" t="s">
        <v>335</v>
      </c>
      <c r="E271" s="1" t="s">
        <v>751</v>
      </c>
      <c r="F271" s="1" t="s">
        <v>111</v>
      </c>
      <c r="G271" s="1">
        <v>37463</v>
      </c>
    </row>
    <row r="272" spans="1:9" x14ac:dyDescent="0.35">
      <c r="A272" s="1" t="str">
        <f t="shared" si="4"/>
        <v>09  Saccharin 0,1</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752</v>
      </c>
      <c r="D272" s="1" t="s">
        <v>753</v>
      </c>
      <c r="E272" s="1" t="s">
        <v>754</v>
      </c>
      <c r="F272" s="1" t="s">
        <v>111</v>
      </c>
      <c r="G272" s="1">
        <v>467660</v>
      </c>
    </row>
    <row r="273" spans="1:7" x14ac:dyDescent="0.35">
      <c r="A273" s="1" t="str">
        <f t="shared" si="4"/>
        <v>09  Saccharin 0,1</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755</v>
      </c>
      <c r="D273" s="1" t="s">
        <v>756</v>
      </c>
      <c r="E273" s="1" t="s">
        <v>757</v>
      </c>
      <c r="F273" s="1" t="s">
        <v>111</v>
      </c>
      <c r="G273" s="1">
        <v>539017</v>
      </c>
    </row>
    <row r="274" spans="1:7" x14ac:dyDescent="0.35">
      <c r="A274" s="1" t="str">
        <f t="shared" si="4"/>
        <v>09  Saccharin 0,1</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758</v>
      </c>
      <c r="D274" s="1" t="s">
        <v>759</v>
      </c>
      <c r="E274" s="1" t="s">
        <v>760</v>
      </c>
      <c r="F274" s="1" t="s">
        <v>111</v>
      </c>
      <c r="G274" s="1">
        <v>96210</v>
      </c>
    </row>
    <row r="275" spans="1:7" x14ac:dyDescent="0.35">
      <c r="A275" s="1" t="str">
        <f t="shared" si="4"/>
        <v>09  Saccharin 0,1</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761</v>
      </c>
      <c r="D275" s="1" t="s">
        <v>721</v>
      </c>
      <c r="E275" s="1" t="s">
        <v>762</v>
      </c>
      <c r="F275" s="1" t="s">
        <v>111</v>
      </c>
      <c r="G275" s="1">
        <v>15119</v>
      </c>
    </row>
    <row r="276" spans="1:7" x14ac:dyDescent="0.35">
      <c r="A276" s="1" t="str">
        <f t="shared" si="4"/>
        <v>09  Saccharin 0,1</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763</v>
      </c>
      <c r="D276" s="1" t="s">
        <v>764</v>
      </c>
      <c r="E276" s="1" t="s">
        <v>765</v>
      </c>
      <c r="F276" s="1" t="s">
        <v>111</v>
      </c>
      <c r="G276" s="1">
        <v>18169</v>
      </c>
    </row>
    <row r="277" spans="1:7" x14ac:dyDescent="0.35">
      <c r="A277" s="1" t="str">
        <f t="shared" si="4"/>
        <v>09  Saccharin 0,1</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766</v>
      </c>
      <c r="D277" s="1" t="s">
        <v>278</v>
      </c>
      <c r="E277" s="1" t="s">
        <v>767</v>
      </c>
      <c r="F277" s="1" t="s">
        <v>111</v>
      </c>
      <c r="G277" s="1">
        <v>12307</v>
      </c>
    </row>
    <row r="278" spans="1:7" x14ac:dyDescent="0.35">
      <c r="A278" s="1" t="str">
        <f t="shared" si="4"/>
        <v>09  Saccharin 0,1</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768</v>
      </c>
      <c r="D278" s="1" t="s">
        <v>217</v>
      </c>
      <c r="E278" s="1" t="s">
        <v>769</v>
      </c>
      <c r="F278" s="1" t="s">
        <v>111</v>
      </c>
      <c r="G278" s="1">
        <v>16222</v>
      </c>
    </row>
    <row r="279" spans="1:7" x14ac:dyDescent="0.35">
      <c r="A279" s="1" t="str">
        <f t="shared" si="4"/>
        <v>09  Saccharin 0,1</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770</v>
      </c>
      <c r="D279" s="1" t="s">
        <v>352</v>
      </c>
      <c r="E279" s="1">
        <v>64</v>
      </c>
      <c r="F279" s="1" t="s">
        <v>111</v>
      </c>
      <c r="G279" s="1">
        <v>51220</v>
      </c>
    </row>
    <row r="280" spans="1:7" x14ac:dyDescent="0.35">
      <c r="A280" s="1" t="str">
        <f t="shared" si="4"/>
        <v>09  Saccharin 0,1</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771</v>
      </c>
      <c r="D280" s="1" t="s">
        <v>185</v>
      </c>
      <c r="E280" s="1" t="s">
        <v>772</v>
      </c>
      <c r="F280" s="1" t="s">
        <v>111</v>
      </c>
      <c r="G280" s="1">
        <v>48191</v>
      </c>
    </row>
    <row r="281" spans="1:7" x14ac:dyDescent="0.35">
      <c r="A281" s="1" t="str">
        <f t="shared" si="4"/>
        <v>09  Saccharin 0,1</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773</v>
      </c>
      <c r="D281" s="1" t="s">
        <v>710</v>
      </c>
      <c r="E281" s="1" t="s">
        <v>711</v>
      </c>
      <c r="F281" s="1" t="s">
        <v>111</v>
      </c>
      <c r="G281" s="1">
        <v>5472</v>
      </c>
    </row>
    <row r="282" spans="1:7" x14ac:dyDescent="0.35">
      <c r="A282" s="1" t="str">
        <f t="shared" si="4"/>
        <v>09  Saccharin 0,1</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774</v>
      </c>
      <c r="D282" s="1" t="s">
        <v>721</v>
      </c>
      <c r="E282" s="1">
        <v>65</v>
      </c>
      <c r="F282" s="1" t="s">
        <v>111</v>
      </c>
      <c r="G282" s="1">
        <v>15465</v>
      </c>
    </row>
    <row r="283" spans="1:7" x14ac:dyDescent="0.35">
      <c r="A283" s="1" t="str">
        <f t="shared" si="4"/>
        <v>09  Saccharin 0,1</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775</v>
      </c>
      <c r="D283" s="1" t="s">
        <v>734</v>
      </c>
      <c r="E283" s="1" t="s">
        <v>186</v>
      </c>
      <c r="F283" s="1" t="s">
        <v>111</v>
      </c>
      <c r="G283" s="1">
        <v>6792</v>
      </c>
    </row>
    <row r="284" spans="1:7" x14ac:dyDescent="0.35">
      <c r="A284" s="1" t="str">
        <f t="shared" si="4"/>
        <v>09  Saccharin 0,1</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776</v>
      </c>
      <c r="D284" s="1" t="s">
        <v>297</v>
      </c>
      <c r="E284" s="1" t="s">
        <v>777</v>
      </c>
      <c r="F284" s="1" t="s">
        <v>111</v>
      </c>
      <c r="G284" s="1">
        <v>34456</v>
      </c>
    </row>
    <row r="285" spans="1:7" x14ac:dyDescent="0.35">
      <c r="A285" s="1" t="str">
        <f t="shared" si="4"/>
        <v>09  Saccharin 0,1</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778</v>
      </c>
      <c r="D285" s="1" t="s">
        <v>779</v>
      </c>
      <c r="E285" s="1" t="s">
        <v>780</v>
      </c>
      <c r="F285" s="1" t="s">
        <v>111</v>
      </c>
      <c r="G285" s="1">
        <v>14016</v>
      </c>
    </row>
    <row r="286" spans="1:7" x14ac:dyDescent="0.35">
      <c r="A286" s="1" t="str">
        <f t="shared" si="4"/>
        <v>09  Saccharin 0,1</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781</v>
      </c>
      <c r="D286" s="1" t="s">
        <v>217</v>
      </c>
      <c r="E286" s="1" t="s">
        <v>782</v>
      </c>
      <c r="F286" s="1" t="s">
        <v>111</v>
      </c>
      <c r="G286" s="1">
        <v>16244</v>
      </c>
    </row>
    <row r="287" spans="1:7" x14ac:dyDescent="0.35">
      <c r="A287" s="1" t="str">
        <f t="shared" si="4"/>
        <v>09  Saccharin 0,1</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783</v>
      </c>
      <c r="D287" s="1" t="s">
        <v>784</v>
      </c>
      <c r="E287" s="1" t="s">
        <v>785</v>
      </c>
      <c r="F287" s="1" t="s">
        <v>111</v>
      </c>
      <c r="G287" s="1">
        <v>48127</v>
      </c>
    </row>
    <row r="288" spans="1:7" x14ac:dyDescent="0.35">
      <c r="A288" s="1" t="str">
        <f t="shared" si="4"/>
        <v>09  Saccharin 0,1</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786</v>
      </c>
      <c r="D288" s="1" t="s">
        <v>787</v>
      </c>
      <c r="E288" s="1" t="s">
        <v>788</v>
      </c>
      <c r="F288" s="1" t="s">
        <v>111</v>
      </c>
      <c r="G288" s="1">
        <v>737947</v>
      </c>
    </row>
    <row r="289" spans="1:9" x14ac:dyDescent="0.35">
      <c r="A289" s="1" t="str">
        <f t="shared" si="4"/>
        <v>09  Saccharin 0,1</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789</v>
      </c>
      <c r="D289" s="1" t="s">
        <v>790</v>
      </c>
      <c r="E289" s="1" t="s">
        <v>791</v>
      </c>
      <c r="F289" s="1" t="s">
        <v>111</v>
      </c>
      <c r="G289" s="1">
        <v>832924</v>
      </c>
    </row>
    <row r="290" spans="1:9" x14ac:dyDescent="0.3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111</v>
      </c>
    </row>
    <row r="291" spans="1:9" x14ac:dyDescent="0.3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234</v>
      </c>
      <c r="D291" s="1" t="s">
        <v>111</v>
      </c>
      <c r="E291" s="1" t="s">
        <v>235</v>
      </c>
      <c r="F291" s="1" t="s">
        <v>236</v>
      </c>
      <c r="G291" s="1" t="s">
        <v>237</v>
      </c>
      <c r="H291" s="1" t="s">
        <v>238</v>
      </c>
      <c r="I291" s="1" t="s">
        <v>239</v>
      </c>
    </row>
    <row r="292" spans="1:9" x14ac:dyDescent="0.35">
      <c r="A292" s="1" t="str">
        <f t="shared" si="4"/>
        <v>09  Saccharin 0,1</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792</v>
      </c>
      <c r="D292" s="1" t="s">
        <v>111</v>
      </c>
      <c r="E292" s="1" t="s">
        <v>793</v>
      </c>
      <c r="F292" s="1" t="s">
        <v>794</v>
      </c>
      <c r="G292" s="1" t="s">
        <v>795</v>
      </c>
      <c r="H292" s="1" t="s">
        <v>796</v>
      </c>
      <c r="I292" s="1">
        <v>24</v>
      </c>
    </row>
    <row r="293" spans="1:9" x14ac:dyDescent="0.3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111</v>
      </c>
    </row>
    <row r="294" spans="1:9" x14ac:dyDescent="0.3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111</v>
      </c>
    </row>
    <row r="295" spans="1:9" x14ac:dyDescent="0.3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111</v>
      </c>
    </row>
    <row r="296" spans="1:9" x14ac:dyDescent="0.3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111</v>
      </c>
    </row>
    <row r="297" spans="1:9" x14ac:dyDescent="0.3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111</v>
      </c>
    </row>
    <row r="298" spans="1:9" x14ac:dyDescent="0.3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245</v>
      </c>
      <c r="D298" s="1" t="s">
        <v>109</v>
      </c>
      <c r="E298" s="1" t="s">
        <v>110</v>
      </c>
      <c r="F298" s="1" t="s">
        <v>111</v>
      </c>
      <c r="G298" s="1" t="s">
        <v>112</v>
      </c>
    </row>
    <row r="299" spans="1:9" x14ac:dyDescent="0.35">
      <c r="A299" s="1" t="str">
        <f t="shared" si="4"/>
        <v>10  Saccharin 1</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797</v>
      </c>
      <c r="D299" s="1" t="s">
        <v>708</v>
      </c>
      <c r="E299" s="1">
        <v>65</v>
      </c>
      <c r="F299" s="1" t="s">
        <v>111</v>
      </c>
      <c r="G299" s="1">
        <v>9842</v>
      </c>
    </row>
    <row r="300" spans="1:9" x14ac:dyDescent="0.35">
      <c r="A300" s="1" t="str">
        <f t="shared" si="4"/>
        <v>10  Saccharin 1</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798</v>
      </c>
    </row>
    <row r="301" spans="1:9" x14ac:dyDescent="0.35">
      <c r="A301" s="1" t="str">
        <f t="shared" si="4"/>
        <v>10  Saccharin 1</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799</v>
      </c>
      <c r="D301" s="1" t="s">
        <v>713</v>
      </c>
      <c r="E301" s="1" t="s">
        <v>800</v>
      </c>
      <c r="F301" s="1" t="s">
        <v>111</v>
      </c>
      <c r="G301" s="1">
        <v>10988</v>
      </c>
    </row>
    <row r="302" spans="1:9" x14ac:dyDescent="0.35">
      <c r="A302" s="1" t="str">
        <f t="shared" si="4"/>
        <v>10  Saccharin 1</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801</v>
      </c>
      <c r="D302" s="1" t="s">
        <v>802</v>
      </c>
      <c r="E302" s="1" t="s">
        <v>803</v>
      </c>
      <c r="F302" s="1" t="s">
        <v>111</v>
      </c>
      <c r="G302" s="1">
        <v>78041</v>
      </c>
    </row>
    <row r="303" spans="1:9" x14ac:dyDescent="0.35">
      <c r="A303" s="1" t="str">
        <f t="shared" si="4"/>
        <v>10  Saccharin 1</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804</v>
      </c>
      <c r="D303" s="1" t="s">
        <v>802</v>
      </c>
      <c r="E303" s="1" t="s">
        <v>805</v>
      </c>
      <c r="F303" s="1" t="s">
        <v>111</v>
      </c>
      <c r="G303" s="1">
        <v>77370</v>
      </c>
    </row>
    <row r="304" spans="1:9" x14ac:dyDescent="0.35">
      <c r="A304" s="1" t="str">
        <f t="shared" si="4"/>
        <v>10  Saccharin 1</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806</v>
      </c>
      <c r="D304" s="1" t="s">
        <v>807</v>
      </c>
      <c r="E304" s="1" t="s">
        <v>808</v>
      </c>
      <c r="F304" s="1" t="s">
        <v>111</v>
      </c>
      <c r="G304" s="1">
        <v>109080</v>
      </c>
    </row>
    <row r="305" spans="1:7" x14ac:dyDescent="0.35">
      <c r="A305" s="1" t="str">
        <f t="shared" si="4"/>
        <v>10  Saccharin 1</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809</v>
      </c>
      <c r="D305" s="1" t="s">
        <v>708</v>
      </c>
      <c r="E305" s="1" t="s">
        <v>810</v>
      </c>
      <c r="F305" s="1" t="s">
        <v>111</v>
      </c>
      <c r="G305" s="1">
        <v>9604</v>
      </c>
    </row>
    <row r="306" spans="1:7" x14ac:dyDescent="0.35">
      <c r="A306" s="1" t="str">
        <f t="shared" si="4"/>
        <v>10  Saccharin 1</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811</v>
      </c>
      <c r="D306" s="1" t="s">
        <v>275</v>
      </c>
      <c r="E306" s="1" t="s">
        <v>812</v>
      </c>
      <c r="F306" s="1" t="s">
        <v>111</v>
      </c>
      <c r="G306" s="1">
        <v>26194</v>
      </c>
    </row>
    <row r="307" spans="1:7" x14ac:dyDescent="0.35">
      <c r="A307" s="1" t="str">
        <f t="shared" si="4"/>
        <v>10  Saccharin 1</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813</v>
      </c>
      <c r="D307" s="1" t="s">
        <v>405</v>
      </c>
      <c r="E307" s="1" t="s">
        <v>814</v>
      </c>
      <c r="F307" s="1" t="s">
        <v>111</v>
      </c>
      <c r="G307" s="1">
        <v>96686</v>
      </c>
    </row>
    <row r="308" spans="1:7" x14ac:dyDescent="0.35">
      <c r="A308" s="1" t="str">
        <f t="shared" si="4"/>
        <v>10  Saccharin 1</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815</v>
      </c>
      <c r="D308" s="1" t="s">
        <v>705</v>
      </c>
      <c r="E308" s="1" t="s">
        <v>816</v>
      </c>
      <c r="F308" s="1" t="s">
        <v>111</v>
      </c>
      <c r="G308" s="1">
        <v>88510</v>
      </c>
    </row>
    <row r="309" spans="1:7" x14ac:dyDescent="0.35">
      <c r="A309" s="1" t="str">
        <f t="shared" si="4"/>
        <v>10  Saccharin 1</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817</v>
      </c>
      <c r="D309" s="1" t="s">
        <v>224</v>
      </c>
      <c r="E309" s="1" t="s">
        <v>818</v>
      </c>
      <c r="F309" s="1" t="s">
        <v>111</v>
      </c>
      <c r="G309" s="1">
        <v>73412</v>
      </c>
    </row>
    <row r="310" spans="1:7" x14ac:dyDescent="0.35">
      <c r="A310" s="1" t="str">
        <f t="shared" si="4"/>
        <v>10  Saccharin 1</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819</v>
      </c>
      <c r="D310" s="1" t="s">
        <v>352</v>
      </c>
      <c r="E310" s="1" t="s">
        <v>820</v>
      </c>
      <c r="F310" s="1" t="s">
        <v>111</v>
      </c>
      <c r="G310" s="1">
        <v>49684</v>
      </c>
    </row>
    <row r="311" spans="1:7" x14ac:dyDescent="0.35">
      <c r="A311" s="1" t="str">
        <f t="shared" si="4"/>
        <v>10  Saccharin 1</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821</v>
      </c>
      <c r="D311" s="1" t="s">
        <v>319</v>
      </c>
      <c r="E311" s="1" t="s">
        <v>822</v>
      </c>
      <c r="F311" s="1" t="s">
        <v>111</v>
      </c>
      <c r="G311" s="1">
        <v>39410</v>
      </c>
    </row>
    <row r="312" spans="1:7" x14ac:dyDescent="0.35">
      <c r="A312" s="1" t="str">
        <f t="shared" si="4"/>
        <v>10  Saccharin 1</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823</v>
      </c>
      <c r="D312" s="1" t="s">
        <v>275</v>
      </c>
      <c r="E312" s="1" t="s">
        <v>824</v>
      </c>
      <c r="F312" s="1" t="s">
        <v>111</v>
      </c>
      <c r="G312" s="1">
        <v>25567</v>
      </c>
    </row>
    <row r="313" spans="1:7" x14ac:dyDescent="0.35">
      <c r="A313" s="1" t="str">
        <f t="shared" si="4"/>
        <v>10  Saccharin 1</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825</v>
      </c>
      <c r="D313" s="1" t="s">
        <v>734</v>
      </c>
      <c r="E313" s="1" t="s">
        <v>266</v>
      </c>
      <c r="F313" s="1" t="s">
        <v>111</v>
      </c>
      <c r="G313" s="1">
        <v>6943</v>
      </c>
    </row>
    <row r="314" spans="1:7" x14ac:dyDescent="0.35">
      <c r="A314" s="1" t="str">
        <f t="shared" si="4"/>
        <v>10  Saccharin 1</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826</v>
      </c>
      <c r="D314" s="1" t="s">
        <v>827</v>
      </c>
      <c r="E314" s="1" t="s">
        <v>828</v>
      </c>
      <c r="F314" s="1" t="s">
        <v>111</v>
      </c>
      <c r="G314" s="1">
        <v>480422</v>
      </c>
    </row>
    <row r="315" spans="1:7" x14ac:dyDescent="0.35">
      <c r="A315" s="1" t="str">
        <f t="shared" si="4"/>
        <v>10  Saccharin 1</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829</v>
      </c>
    </row>
    <row r="316" spans="1:7" x14ac:dyDescent="0.35">
      <c r="A316" s="1" t="str">
        <f t="shared" si="4"/>
        <v>10  Saccharin 1</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830</v>
      </c>
      <c r="D316" s="1" t="s">
        <v>211</v>
      </c>
      <c r="E316" s="1" t="s">
        <v>831</v>
      </c>
      <c r="F316" s="1" t="s">
        <v>111</v>
      </c>
      <c r="G316" s="1">
        <v>41681</v>
      </c>
    </row>
    <row r="317" spans="1:7" x14ac:dyDescent="0.35">
      <c r="A317" s="1" t="str">
        <f t="shared" si="4"/>
        <v>10  Saccharin 1</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832</v>
      </c>
      <c r="D317" s="1" t="s">
        <v>833</v>
      </c>
      <c r="E317" s="1" t="s">
        <v>834</v>
      </c>
      <c r="F317" s="1" t="s">
        <v>111</v>
      </c>
      <c r="G317" s="1">
        <v>315775</v>
      </c>
    </row>
    <row r="318" spans="1:7" x14ac:dyDescent="0.35">
      <c r="A318" s="1" t="str">
        <f t="shared" si="4"/>
        <v>10  Saccharin 1</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835</v>
      </c>
      <c r="D318" s="1" t="s">
        <v>784</v>
      </c>
      <c r="E318" s="1" t="s">
        <v>836</v>
      </c>
      <c r="F318" s="1" t="s">
        <v>111</v>
      </c>
      <c r="G318" s="1">
        <v>46028</v>
      </c>
    </row>
    <row r="319" spans="1:7" x14ac:dyDescent="0.35">
      <c r="A319" s="1" t="str">
        <f t="shared" si="4"/>
        <v>10  Saccharin 1</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837</v>
      </c>
      <c r="D319" s="1" t="s">
        <v>278</v>
      </c>
      <c r="E319" s="1" t="s">
        <v>838</v>
      </c>
      <c r="F319" s="1" t="s">
        <v>111</v>
      </c>
      <c r="G319" s="1">
        <v>11961</v>
      </c>
    </row>
    <row r="320" spans="1:7" x14ac:dyDescent="0.35">
      <c r="A320" s="1" t="str">
        <f t="shared" si="4"/>
        <v>10  Saccharin 1</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839</v>
      </c>
      <c r="D320" s="1" t="s">
        <v>214</v>
      </c>
      <c r="E320" s="1" t="s">
        <v>840</v>
      </c>
      <c r="F320" s="1" t="s">
        <v>111</v>
      </c>
      <c r="G320" s="1">
        <v>32575</v>
      </c>
    </row>
    <row r="321" spans="1:9" x14ac:dyDescent="0.35">
      <c r="A321" s="1" t="str">
        <f t="shared" si="4"/>
        <v>10  Saccharin 1</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841</v>
      </c>
      <c r="D321" s="1" t="s">
        <v>842</v>
      </c>
      <c r="E321" s="1" t="s">
        <v>843</v>
      </c>
      <c r="F321" s="1" t="s">
        <v>111</v>
      </c>
      <c r="G321" s="1">
        <v>110291</v>
      </c>
    </row>
    <row r="322" spans="1:9" x14ac:dyDescent="0.35">
      <c r="A322" s="1" t="str">
        <f t="shared" ref="A322:A385" si="5">IFERROR(LEFT(RIGHT(C322,LEN(C322)-SEARCH("@",C322)),SEARCH("/",RIGHT(C322,LEN(C322)-SEARCH("@",C322)-1))),"")</f>
        <v>10  Saccharin 1</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844</v>
      </c>
      <c r="D322" s="1" t="s">
        <v>716</v>
      </c>
      <c r="E322" s="1" t="s">
        <v>845</v>
      </c>
      <c r="F322" s="1" t="s">
        <v>111</v>
      </c>
      <c r="G322" s="1">
        <v>36965</v>
      </c>
    </row>
    <row r="323" spans="1:9" x14ac:dyDescent="0.3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111</v>
      </c>
    </row>
    <row r="324" spans="1:9" x14ac:dyDescent="0.3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234</v>
      </c>
      <c r="D324" s="1" t="s">
        <v>111</v>
      </c>
      <c r="E324" s="1" t="s">
        <v>235</v>
      </c>
      <c r="F324" s="1" t="s">
        <v>236</v>
      </c>
      <c r="G324" s="1" t="s">
        <v>237</v>
      </c>
      <c r="H324" s="1" t="s">
        <v>238</v>
      </c>
      <c r="I324" s="1" t="s">
        <v>239</v>
      </c>
    </row>
    <row r="325" spans="1:9" x14ac:dyDescent="0.35">
      <c r="A325" s="1" t="str">
        <f t="shared" si="5"/>
        <v>10  Saccharin 1</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846</v>
      </c>
      <c r="D325" s="1" t="s">
        <v>111</v>
      </c>
      <c r="E325" s="1" t="s">
        <v>847</v>
      </c>
      <c r="F325" s="1" t="s">
        <v>848</v>
      </c>
      <c r="G325" s="1" t="s">
        <v>849</v>
      </c>
      <c r="H325" s="1" t="s">
        <v>850</v>
      </c>
      <c r="I325" s="1">
        <v>24</v>
      </c>
    </row>
    <row r="326" spans="1:9" x14ac:dyDescent="0.3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111</v>
      </c>
    </row>
    <row r="327" spans="1:9" x14ac:dyDescent="0.3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111</v>
      </c>
    </row>
    <row r="328" spans="1:9" x14ac:dyDescent="0.3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111</v>
      </c>
    </row>
    <row r="329" spans="1:9" x14ac:dyDescent="0.3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111</v>
      </c>
    </row>
    <row r="330" spans="1:9" x14ac:dyDescent="0.3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111</v>
      </c>
    </row>
    <row r="331" spans="1:9" x14ac:dyDescent="0.3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245</v>
      </c>
      <c r="D331" s="1" t="s">
        <v>109</v>
      </c>
      <c r="E331" s="1" t="s">
        <v>110</v>
      </c>
      <c r="F331" s="1" t="s">
        <v>111</v>
      </c>
      <c r="G331" s="1" t="s">
        <v>112</v>
      </c>
    </row>
    <row r="332" spans="1:9" x14ac:dyDescent="0.35">
      <c r="A332" s="1" t="str">
        <f t="shared" si="5"/>
        <v>11  Saccharin 10</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851</v>
      </c>
      <c r="D332" s="1" t="s">
        <v>217</v>
      </c>
      <c r="E332" s="1" t="s">
        <v>852</v>
      </c>
      <c r="F332" s="1" t="s">
        <v>111</v>
      </c>
      <c r="G332" s="1">
        <v>16785</v>
      </c>
    </row>
    <row r="333" spans="1:9" x14ac:dyDescent="0.35">
      <c r="A333" s="1" t="str">
        <f t="shared" si="5"/>
        <v>11  Saccharin 10</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853</v>
      </c>
      <c r="D333" s="1" t="s">
        <v>854</v>
      </c>
      <c r="E333" s="1" t="s">
        <v>855</v>
      </c>
      <c r="F333" s="1" t="s">
        <v>111</v>
      </c>
      <c r="G333" s="1">
        <v>21695</v>
      </c>
    </row>
    <row r="334" spans="1:9" x14ac:dyDescent="0.35">
      <c r="A334" s="1" t="str">
        <f t="shared" si="5"/>
        <v>11  Saccharin 10</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856</v>
      </c>
      <c r="D334" s="1" t="s">
        <v>713</v>
      </c>
      <c r="E334" s="1" t="s">
        <v>769</v>
      </c>
      <c r="F334" s="1" t="s">
        <v>111</v>
      </c>
      <c r="G334" s="1">
        <v>10815</v>
      </c>
    </row>
    <row r="335" spans="1:9" x14ac:dyDescent="0.35">
      <c r="A335" s="1" t="str">
        <f t="shared" si="5"/>
        <v>11  Saccharin 10</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857</v>
      </c>
    </row>
    <row r="336" spans="1:9" x14ac:dyDescent="0.35">
      <c r="A336" s="1" t="str">
        <f t="shared" si="5"/>
        <v>11  Saccharin 10</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858</v>
      </c>
      <c r="D336" s="1" t="s">
        <v>859</v>
      </c>
      <c r="E336" s="1" t="s">
        <v>860</v>
      </c>
      <c r="F336" s="1" t="s">
        <v>111</v>
      </c>
      <c r="G336" s="1">
        <v>18840</v>
      </c>
    </row>
    <row r="337" spans="1:7" x14ac:dyDescent="0.35">
      <c r="A337" s="1" t="str">
        <f t="shared" si="5"/>
        <v>11  Saccharin 10</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861</v>
      </c>
      <c r="D337" s="1" t="s">
        <v>327</v>
      </c>
      <c r="E337" s="1" t="s">
        <v>862</v>
      </c>
      <c r="F337" s="1" t="s">
        <v>111</v>
      </c>
      <c r="G337" s="1">
        <v>57319</v>
      </c>
    </row>
    <row r="338" spans="1:7" x14ac:dyDescent="0.35">
      <c r="A338" s="1" t="str">
        <f t="shared" si="5"/>
        <v>11  Saccharin 10</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863</v>
      </c>
      <c r="D338" s="1" t="s">
        <v>327</v>
      </c>
      <c r="E338" s="1" t="s">
        <v>864</v>
      </c>
      <c r="F338" s="1" t="s">
        <v>111</v>
      </c>
      <c r="G338" s="1">
        <v>56541</v>
      </c>
    </row>
    <row r="339" spans="1:7" x14ac:dyDescent="0.35">
      <c r="A339" s="1" t="str">
        <f t="shared" si="5"/>
        <v>11  Saccharin 10</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865</v>
      </c>
      <c r="D339" s="1" t="s">
        <v>866</v>
      </c>
      <c r="E339" s="1" t="s">
        <v>867</v>
      </c>
      <c r="F339" s="1" t="s">
        <v>111</v>
      </c>
      <c r="G339" s="1">
        <v>465930</v>
      </c>
    </row>
    <row r="340" spans="1:7" x14ac:dyDescent="0.35">
      <c r="A340" s="1" t="str">
        <f t="shared" si="5"/>
        <v>11  Saccharin 10</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868</v>
      </c>
      <c r="D340" s="1" t="s">
        <v>869</v>
      </c>
      <c r="E340" s="1" t="s">
        <v>870</v>
      </c>
      <c r="F340" s="1" t="s">
        <v>111</v>
      </c>
      <c r="G340" s="1">
        <v>422800</v>
      </c>
    </row>
    <row r="341" spans="1:7" x14ac:dyDescent="0.35">
      <c r="A341" s="1" t="str">
        <f t="shared" si="5"/>
        <v>11  Saccharin 10</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871</v>
      </c>
      <c r="D341" s="1" t="s">
        <v>597</v>
      </c>
      <c r="E341" s="1" t="s">
        <v>872</v>
      </c>
      <c r="F341" s="1" t="s">
        <v>111</v>
      </c>
      <c r="G341" s="1">
        <v>811921</v>
      </c>
    </row>
    <row r="342" spans="1:7" x14ac:dyDescent="0.35">
      <c r="A342" s="1" t="str">
        <f t="shared" si="5"/>
        <v>11  Saccharin 10</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873</v>
      </c>
      <c r="D342" s="1" t="s">
        <v>874</v>
      </c>
      <c r="E342" s="1" t="s">
        <v>875</v>
      </c>
      <c r="F342" s="1" t="s">
        <v>111</v>
      </c>
      <c r="G342" s="1">
        <v>549789</v>
      </c>
    </row>
    <row r="343" spans="1:7" x14ac:dyDescent="0.35">
      <c r="A343" s="1" t="str">
        <f t="shared" si="5"/>
        <v>11  Saccharin 10</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876</v>
      </c>
    </row>
    <row r="344" spans="1:7" x14ac:dyDescent="0.35">
      <c r="A344" s="1" t="str">
        <f t="shared" si="5"/>
        <v>11  Saccharin 10</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877</v>
      </c>
      <c r="D344" s="1" t="s">
        <v>878</v>
      </c>
      <c r="E344" s="1" t="s">
        <v>879</v>
      </c>
      <c r="F344" s="1" t="s">
        <v>111</v>
      </c>
      <c r="G344" s="1">
        <v>94977</v>
      </c>
    </row>
    <row r="345" spans="1:7" x14ac:dyDescent="0.35">
      <c r="A345" s="1" t="str">
        <f t="shared" si="5"/>
        <v>11  Saccharin 10</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880</v>
      </c>
      <c r="D345" s="1" t="s">
        <v>764</v>
      </c>
      <c r="E345" s="1" t="s">
        <v>881</v>
      </c>
      <c r="F345" s="1" t="s">
        <v>111</v>
      </c>
      <c r="G345" s="1">
        <v>17801</v>
      </c>
    </row>
    <row r="346" spans="1:7" x14ac:dyDescent="0.35">
      <c r="A346" s="1" t="str">
        <f t="shared" si="5"/>
        <v>11  Saccharin 10</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882</v>
      </c>
      <c r="D346" s="1" t="s">
        <v>883</v>
      </c>
      <c r="E346" s="1" t="s">
        <v>884</v>
      </c>
      <c r="F346" s="1" t="s">
        <v>111</v>
      </c>
      <c r="G346" s="1">
        <v>45661</v>
      </c>
    </row>
    <row r="347" spans="1:7" x14ac:dyDescent="0.35">
      <c r="A347" s="1" t="str">
        <f t="shared" si="5"/>
        <v>11  Saccharin 10</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885</v>
      </c>
      <c r="D347" s="1" t="s">
        <v>886</v>
      </c>
      <c r="E347" s="1" t="s">
        <v>887</v>
      </c>
      <c r="F347" s="1" t="s">
        <v>111</v>
      </c>
      <c r="G347" s="1">
        <v>507610</v>
      </c>
    </row>
    <row r="348" spans="1:7" x14ac:dyDescent="0.35">
      <c r="A348" s="1" t="str">
        <f t="shared" si="5"/>
        <v>11  Saccharin 10</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888</v>
      </c>
      <c r="D348" s="1" t="s">
        <v>889</v>
      </c>
      <c r="E348" s="1">
        <v>72</v>
      </c>
      <c r="F348" s="1" t="s">
        <v>111</v>
      </c>
      <c r="G348" s="1">
        <v>526385</v>
      </c>
    </row>
    <row r="349" spans="1:7" x14ac:dyDescent="0.35">
      <c r="A349" s="1" t="str">
        <f t="shared" si="5"/>
        <v>11  Saccharin 10</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890</v>
      </c>
      <c r="D349" s="1" t="s">
        <v>891</v>
      </c>
      <c r="E349" s="1" t="s">
        <v>892</v>
      </c>
      <c r="F349" s="1" t="s">
        <v>111</v>
      </c>
      <c r="G349" s="1">
        <v>93593</v>
      </c>
    </row>
    <row r="350" spans="1:7" x14ac:dyDescent="0.35">
      <c r="A350" s="1" t="str">
        <f t="shared" si="5"/>
        <v>11  Saccharin 10</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893</v>
      </c>
      <c r="D350" s="1" t="s">
        <v>759</v>
      </c>
      <c r="E350" s="1" t="s">
        <v>894</v>
      </c>
      <c r="F350" s="1" t="s">
        <v>111</v>
      </c>
      <c r="G350" s="1">
        <v>101206</v>
      </c>
    </row>
    <row r="351" spans="1:7" x14ac:dyDescent="0.35">
      <c r="A351" s="1" t="str">
        <f t="shared" si="5"/>
        <v>11  Saccharin 10</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895</v>
      </c>
      <c r="D351" s="1" t="s">
        <v>896</v>
      </c>
      <c r="E351" s="1" t="s">
        <v>897</v>
      </c>
      <c r="F351" s="1" t="s">
        <v>111</v>
      </c>
      <c r="G351" s="1">
        <v>118316</v>
      </c>
    </row>
    <row r="352" spans="1:7" x14ac:dyDescent="0.35">
      <c r="A352" s="1" t="str">
        <f t="shared" si="5"/>
        <v>11  Saccharin 10</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898</v>
      </c>
      <c r="D352" s="1" t="s">
        <v>784</v>
      </c>
      <c r="E352" s="1" t="s">
        <v>899</v>
      </c>
      <c r="F352" s="1" t="s">
        <v>111</v>
      </c>
      <c r="G352" s="1">
        <v>45985</v>
      </c>
    </row>
    <row r="353" spans="1:9" x14ac:dyDescent="0.35">
      <c r="A353" s="1" t="str">
        <f t="shared" si="5"/>
        <v>11  Saccharin 10</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900</v>
      </c>
      <c r="D353" s="1" t="s">
        <v>901</v>
      </c>
      <c r="E353" s="1" t="s">
        <v>902</v>
      </c>
      <c r="F353" s="1" t="s">
        <v>111</v>
      </c>
      <c r="G353" s="1">
        <v>123723</v>
      </c>
    </row>
    <row r="354" spans="1:9" x14ac:dyDescent="0.35">
      <c r="A354" s="1" t="str">
        <f t="shared" si="5"/>
        <v>11  Saccharin 10</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903</v>
      </c>
      <c r="D354" s="1" t="s">
        <v>904</v>
      </c>
      <c r="E354" s="1" t="s">
        <v>905</v>
      </c>
      <c r="F354" s="1" t="s">
        <v>111</v>
      </c>
      <c r="G354" s="1">
        <v>70686</v>
      </c>
    </row>
    <row r="355" spans="1:9" x14ac:dyDescent="0.35">
      <c r="A355" s="1" t="str">
        <f t="shared" si="5"/>
        <v>11  Saccharin 10</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906</v>
      </c>
      <c r="D355" s="1" t="s">
        <v>349</v>
      </c>
      <c r="E355" s="1" t="s">
        <v>907</v>
      </c>
      <c r="F355" s="1" t="s">
        <v>111</v>
      </c>
      <c r="G355" s="1">
        <v>79317</v>
      </c>
    </row>
    <row r="356" spans="1:9" x14ac:dyDescent="0.3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111</v>
      </c>
    </row>
    <row r="357" spans="1:9" x14ac:dyDescent="0.3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234</v>
      </c>
      <c r="D357" s="1" t="s">
        <v>111</v>
      </c>
      <c r="E357" s="1" t="s">
        <v>235</v>
      </c>
      <c r="F357" s="1" t="s">
        <v>236</v>
      </c>
      <c r="G357" s="1" t="s">
        <v>237</v>
      </c>
      <c r="H357" s="1" t="s">
        <v>238</v>
      </c>
      <c r="I357" s="1" t="s">
        <v>239</v>
      </c>
    </row>
    <row r="358" spans="1:9" x14ac:dyDescent="0.35">
      <c r="A358" s="1" t="str">
        <f t="shared" si="5"/>
        <v>11  Saccharin 10</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908</v>
      </c>
      <c r="D358" s="1" t="s">
        <v>111</v>
      </c>
      <c r="E358" s="1" t="s">
        <v>909</v>
      </c>
      <c r="F358" s="1" t="s">
        <v>910</v>
      </c>
      <c r="G358" s="1" t="s">
        <v>911</v>
      </c>
      <c r="H358" s="1" t="s">
        <v>912</v>
      </c>
      <c r="I358" s="1">
        <v>24</v>
      </c>
    </row>
    <row r="359" spans="1:9" x14ac:dyDescent="0.3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111</v>
      </c>
    </row>
    <row r="360" spans="1:9" x14ac:dyDescent="0.3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111</v>
      </c>
    </row>
    <row r="361" spans="1:9" x14ac:dyDescent="0.3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111</v>
      </c>
    </row>
    <row r="362" spans="1:9" x14ac:dyDescent="0.3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111</v>
      </c>
    </row>
    <row r="363" spans="1:9" x14ac:dyDescent="0.3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111</v>
      </c>
    </row>
    <row r="364" spans="1:9" x14ac:dyDescent="0.3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245</v>
      </c>
      <c r="D364" s="1" t="s">
        <v>109</v>
      </c>
      <c r="E364" s="1" t="s">
        <v>110</v>
      </c>
      <c r="F364" s="1" t="s">
        <v>111</v>
      </c>
      <c r="G364" s="1" t="s">
        <v>112</v>
      </c>
    </row>
    <row r="365" spans="1:9" x14ac:dyDescent="0.35">
      <c r="A365" s="1" t="str">
        <f t="shared" si="5"/>
        <v>12  Saccharin 100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913</v>
      </c>
    </row>
    <row r="366" spans="1:9" x14ac:dyDescent="0.35">
      <c r="A366" s="1" t="str">
        <f t="shared" si="5"/>
        <v>12  Saccharin 100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914</v>
      </c>
      <c r="D366" s="1" t="s">
        <v>414</v>
      </c>
      <c r="E366" s="1" t="s">
        <v>915</v>
      </c>
      <c r="F366" s="1" t="s">
        <v>111</v>
      </c>
      <c r="G366" s="1">
        <v>493529</v>
      </c>
    </row>
    <row r="367" spans="1:9" x14ac:dyDescent="0.35">
      <c r="A367" s="1" t="str">
        <f t="shared" si="5"/>
        <v>12  Saccharin 100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916</v>
      </c>
    </row>
    <row r="368" spans="1:9" x14ac:dyDescent="0.35">
      <c r="A368" s="1" t="str">
        <f t="shared" si="5"/>
        <v>12  Saccharin 100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917</v>
      </c>
      <c r="D368" s="1" t="s">
        <v>918</v>
      </c>
      <c r="E368" s="1" t="s">
        <v>919</v>
      </c>
      <c r="F368" s="1" t="s">
        <v>111</v>
      </c>
      <c r="G368" s="1">
        <v>158223</v>
      </c>
    </row>
    <row r="369" spans="1:7" x14ac:dyDescent="0.35">
      <c r="A369" s="1" t="str">
        <f t="shared" si="5"/>
        <v>12  Saccharin 100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920</v>
      </c>
      <c r="D369" s="1" t="s">
        <v>399</v>
      </c>
      <c r="E369" s="1" t="s">
        <v>921</v>
      </c>
      <c r="F369" s="1" t="s">
        <v>111</v>
      </c>
      <c r="G369" s="1">
        <v>76570</v>
      </c>
    </row>
    <row r="370" spans="1:7" x14ac:dyDescent="0.35">
      <c r="A370" s="1" t="str">
        <f t="shared" si="5"/>
        <v>12  Saccharin 100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922</v>
      </c>
      <c r="D370" s="1" t="s">
        <v>402</v>
      </c>
      <c r="E370" s="1" t="s">
        <v>923</v>
      </c>
      <c r="F370" s="1" t="s">
        <v>111</v>
      </c>
      <c r="G370" s="1">
        <v>144726</v>
      </c>
    </row>
    <row r="371" spans="1:7" x14ac:dyDescent="0.35">
      <c r="A371" s="1" t="str">
        <f t="shared" si="5"/>
        <v>12  Saccharin 100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924</v>
      </c>
      <c r="D371" s="1" t="s">
        <v>173</v>
      </c>
      <c r="E371" s="1">
        <v>63</v>
      </c>
      <c r="F371" s="1" t="s">
        <v>111</v>
      </c>
      <c r="G371" s="1">
        <v>38155</v>
      </c>
    </row>
    <row r="372" spans="1:7" x14ac:dyDescent="0.35">
      <c r="A372" s="1" t="str">
        <f t="shared" si="5"/>
        <v>12  Saccharin 100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925</v>
      </c>
      <c r="D372" s="1" t="s">
        <v>734</v>
      </c>
      <c r="E372" s="1" t="s">
        <v>780</v>
      </c>
      <c r="F372" s="1" t="s">
        <v>111</v>
      </c>
      <c r="G372" s="1">
        <v>7008</v>
      </c>
    </row>
    <row r="373" spans="1:7" x14ac:dyDescent="0.35">
      <c r="A373" s="1" t="str">
        <f t="shared" si="5"/>
        <v>12  Saccharin 100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926</v>
      </c>
      <c r="D373" s="1" t="s">
        <v>713</v>
      </c>
      <c r="E373" s="1">
        <v>63</v>
      </c>
      <c r="F373" s="1" t="s">
        <v>111</v>
      </c>
      <c r="G373" s="1">
        <v>10901</v>
      </c>
    </row>
    <row r="374" spans="1:7" x14ac:dyDescent="0.35">
      <c r="A374" s="1" t="str">
        <f t="shared" si="5"/>
        <v>12  Saccharin 100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927</v>
      </c>
      <c r="D374" s="1" t="s">
        <v>302</v>
      </c>
      <c r="E374" s="1" t="s">
        <v>928</v>
      </c>
      <c r="F374" s="1" t="s">
        <v>111</v>
      </c>
      <c r="G374" s="1">
        <v>79165</v>
      </c>
    </row>
    <row r="375" spans="1:7" x14ac:dyDescent="0.35">
      <c r="A375" s="1" t="str">
        <f t="shared" si="5"/>
        <v>12  Saccharin 100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929</v>
      </c>
    </row>
    <row r="376" spans="1:7" x14ac:dyDescent="0.35">
      <c r="A376" s="1" t="str">
        <f t="shared" si="5"/>
        <v>12  Saccharin 100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930</v>
      </c>
      <c r="D376" s="1" t="s">
        <v>878</v>
      </c>
      <c r="E376" s="1" t="s">
        <v>931</v>
      </c>
      <c r="F376" s="1" t="s">
        <v>111</v>
      </c>
      <c r="G376" s="1">
        <v>96058</v>
      </c>
    </row>
    <row r="377" spans="1:7" x14ac:dyDescent="0.35">
      <c r="A377" s="1" t="str">
        <f t="shared" si="5"/>
        <v>12  Saccharin 100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932</v>
      </c>
    </row>
    <row r="378" spans="1:7" x14ac:dyDescent="0.35">
      <c r="A378" s="1" t="str">
        <f t="shared" si="5"/>
        <v>12  Saccharin 100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933</v>
      </c>
    </row>
    <row r="379" spans="1:7" x14ac:dyDescent="0.35">
      <c r="A379" s="1" t="str">
        <f t="shared" si="5"/>
        <v>12  Saccharin 100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934</v>
      </c>
    </row>
    <row r="380" spans="1:7" x14ac:dyDescent="0.35">
      <c r="A380" s="1" t="str">
        <f t="shared" si="5"/>
        <v>12  Saccharin 100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935</v>
      </c>
      <c r="D380" s="1" t="s">
        <v>936</v>
      </c>
      <c r="E380" s="1" t="s">
        <v>937</v>
      </c>
      <c r="F380" s="1" t="s">
        <v>111</v>
      </c>
      <c r="G380" s="1">
        <v>199211</v>
      </c>
    </row>
    <row r="381" spans="1:7" x14ac:dyDescent="0.35">
      <c r="A381" s="1" t="str">
        <f t="shared" si="5"/>
        <v>12  Saccharin 100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938</v>
      </c>
      <c r="D381" s="1" t="s">
        <v>227</v>
      </c>
      <c r="E381" s="1" t="s">
        <v>939</v>
      </c>
      <c r="F381" s="1" t="s">
        <v>111</v>
      </c>
      <c r="G381" s="1">
        <v>106506</v>
      </c>
    </row>
    <row r="382" spans="1:7" x14ac:dyDescent="0.35">
      <c r="A382" s="1" t="str">
        <f t="shared" si="5"/>
        <v>12  Saccharin 100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940</v>
      </c>
      <c r="D382" s="1" t="s">
        <v>474</v>
      </c>
      <c r="E382" s="1" t="s">
        <v>941</v>
      </c>
      <c r="F382" s="1" t="s">
        <v>111</v>
      </c>
      <c r="G382" s="1">
        <v>84075</v>
      </c>
    </row>
    <row r="383" spans="1:7" x14ac:dyDescent="0.35">
      <c r="A383" s="1" t="str">
        <f t="shared" si="5"/>
        <v>12  Saccharin 100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942</v>
      </c>
      <c r="D383" s="1" t="s">
        <v>779</v>
      </c>
      <c r="E383" s="1" t="s">
        <v>943</v>
      </c>
      <c r="F383" s="1" t="s">
        <v>111</v>
      </c>
      <c r="G383" s="1">
        <v>13454</v>
      </c>
    </row>
    <row r="384" spans="1:7" x14ac:dyDescent="0.35">
      <c r="A384" s="1" t="str">
        <f t="shared" si="5"/>
        <v>12  Saccharin 100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944</v>
      </c>
      <c r="D384" s="1" t="s">
        <v>859</v>
      </c>
      <c r="E384" s="1" t="s">
        <v>945</v>
      </c>
      <c r="F384" s="1" t="s">
        <v>111</v>
      </c>
      <c r="G384" s="1">
        <v>19315</v>
      </c>
    </row>
    <row r="385" spans="1:9" x14ac:dyDescent="0.35">
      <c r="A385" s="1" t="str">
        <f t="shared" si="5"/>
        <v>12  Saccharin 100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946</v>
      </c>
      <c r="D385" s="1" t="s">
        <v>708</v>
      </c>
      <c r="E385" s="1" t="s">
        <v>947</v>
      </c>
      <c r="F385" s="1" t="s">
        <v>111</v>
      </c>
      <c r="G385" s="1">
        <v>9820</v>
      </c>
    </row>
    <row r="386" spans="1:9" x14ac:dyDescent="0.35">
      <c r="A386" s="1" t="str">
        <f t="shared" ref="A386:A449" si="6">IFERROR(LEFT(RIGHT(C386,LEN(C386)-SEARCH("@",C386)),SEARCH("/",RIGHT(C386,LEN(C386)-SEARCH("@",C386)-1))),"")</f>
        <v>12  Saccharin 100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948</v>
      </c>
      <c r="D386" s="1" t="s">
        <v>779</v>
      </c>
      <c r="E386" s="1" t="s">
        <v>366</v>
      </c>
      <c r="F386" s="1" t="s">
        <v>111</v>
      </c>
      <c r="G386" s="1">
        <v>13540</v>
      </c>
    </row>
    <row r="387" spans="1:9" x14ac:dyDescent="0.35">
      <c r="A387" s="1" t="str">
        <f t="shared" si="6"/>
        <v>12  Saccharin 100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949</v>
      </c>
      <c r="D387" s="1" t="s">
        <v>220</v>
      </c>
      <c r="E387" s="1" t="s">
        <v>950</v>
      </c>
      <c r="F387" s="1" t="s">
        <v>111</v>
      </c>
      <c r="G387" s="1">
        <v>104581</v>
      </c>
    </row>
    <row r="388" spans="1:9" x14ac:dyDescent="0.35">
      <c r="A388" s="1" t="str">
        <f t="shared" si="6"/>
        <v>12  Saccharin 100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951</v>
      </c>
      <c r="D388" s="1" t="s">
        <v>327</v>
      </c>
      <c r="E388" s="1" t="s">
        <v>728</v>
      </c>
      <c r="F388" s="1" t="s">
        <v>111</v>
      </c>
      <c r="G388" s="1">
        <v>57081</v>
      </c>
    </row>
    <row r="389" spans="1:9" x14ac:dyDescent="0.3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111</v>
      </c>
    </row>
    <row r="390" spans="1:9" x14ac:dyDescent="0.3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234</v>
      </c>
      <c r="D390" s="1" t="s">
        <v>111</v>
      </c>
      <c r="E390" s="1" t="s">
        <v>235</v>
      </c>
      <c r="F390" s="1" t="s">
        <v>236</v>
      </c>
      <c r="G390" s="1" t="s">
        <v>237</v>
      </c>
      <c r="H390" s="1" t="s">
        <v>238</v>
      </c>
      <c r="I390" s="1" t="s">
        <v>239</v>
      </c>
    </row>
    <row r="391" spans="1:9" x14ac:dyDescent="0.35">
      <c r="A391" s="1" t="str">
        <f t="shared" si="6"/>
        <v>12  Saccharin 100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952</v>
      </c>
      <c r="D391" s="1" t="s">
        <v>111</v>
      </c>
      <c r="E391" s="1" t="s">
        <v>953</v>
      </c>
      <c r="F391" s="1" t="s">
        <v>954</v>
      </c>
      <c r="G391" s="1" t="s">
        <v>955</v>
      </c>
      <c r="H391" s="1" t="s">
        <v>956</v>
      </c>
      <c r="I391" s="1">
        <v>24</v>
      </c>
    </row>
    <row r="392" spans="1:9" x14ac:dyDescent="0.3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111</v>
      </c>
    </row>
    <row r="393" spans="1:9" x14ac:dyDescent="0.3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111</v>
      </c>
    </row>
    <row r="394" spans="1:9" x14ac:dyDescent="0.3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111</v>
      </c>
    </row>
    <row r="395" spans="1:9" x14ac:dyDescent="0.3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111</v>
      </c>
    </row>
    <row r="396" spans="1:9" x14ac:dyDescent="0.3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111</v>
      </c>
    </row>
    <row r="397" spans="1:9" x14ac:dyDescent="0.3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245</v>
      </c>
      <c r="D397" s="1" t="s">
        <v>109</v>
      </c>
      <c r="E397" s="1" t="s">
        <v>110</v>
      </c>
      <c r="F397" s="1" t="s">
        <v>111</v>
      </c>
      <c r="G397" s="1" t="s">
        <v>112</v>
      </c>
    </row>
    <row r="398" spans="1:9" x14ac:dyDescent="0.35">
      <c r="A398" s="1" t="str">
        <f t="shared" si="6"/>
        <v>13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957</v>
      </c>
      <c r="D398" s="1" t="s">
        <v>958</v>
      </c>
      <c r="E398" s="1" t="s">
        <v>959</v>
      </c>
      <c r="F398" s="1" t="s">
        <v>111</v>
      </c>
      <c r="G398" s="1">
        <v>3103479</v>
      </c>
    </row>
    <row r="399" spans="1:9" x14ac:dyDescent="0.35">
      <c r="A399" s="1" t="str">
        <f t="shared" si="6"/>
        <v>13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960</v>
      </c>
      <c r="D399" s="1" t="s">
        <v>961</v>
      </c>
      <c r="E399" s="1" t="s">
        <v>962</v>
      </c>
      <c r="F399" s="1" t="s">
        <v>111</v>
      </c>
      <c r="G399" s="1">
        <v>2143998</v>
      </c>
    </row>
    <row r="400" spans="1:9" x14ac:dyDescent="0.35">
      <c r="A400" s="1" t="str">
        <f t="shared" si="6"/>
        <v>13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963</v>
      </c>
      <c r="D400" s="1" t="s">
        <v>964</v>
      </c>
      <c r="E400" s="1" t="s">
        <v>965</v>
      </c>
      <c r="F400" s="1" t="s">
        <v>111</v>
      </c>
      <c r="G400" s="1">
        <v>3070385</v>
      </c>
    </row>
    <row r="401" spans="1:7" x14ac:dyDescent="0.35">
      <c r="A401" s="1" t="str">
        <f t="shared" si="6"/>
        <v>13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966</v>
      </c>
      <c r="D401" s="1" t="s">
        <v>967</v>
      </c>
      <c r="E401" s="1" t="s">
        <v>968</v>
      </c>
      <c r="F401" s="1" t="s">
        <v>111</v>
      </c>
      <c r="G401" s="1">
        <v>2122628</v>
      </c>
    </row>
    <row r="402" spans="1:7" x14ac:dyDescent="0.35">
      <c r="A402" s="1" t="str">
        <f t="shared" si="6"/>
        <v>13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969</v>
      </c>
      <c r="D402" s="1" t="s">
        <v>970</v>
      </c>
      <c r="E402" s="1" t="s">
        <v>971</v>
      </c>
      <c r="F402" s="1" t="s">
        <v>111</v>
      </c>
      <c r="G402" s="1">
        <v>1820891</v>
      </c>
    </row>
    <row r="403" spans="1:7" x14ac:dyDescent="0.35">
      <c r="A403" s="1" t="str">
        <f t="shared" si="6"/>
        <v>13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972</v>
      </c>
      <c r="D403" s="1" t="s">
        <v>973</v>
      </c>
      <c r="E403" s="1" t="s">
        <v>974</v>
      </c>
      <c r="F403" s="1" t="s">
        <v>111</v>
      </c>
      <c r="G403" s="1">
        <v>1701581</v>
      </c>
    </row>
    <row r="404" spans="1:7" x14ac:dyDescent="0.35">
      <c r="A404" s="1" t="str">
        <f t="shared" si="6"/>
        <v>13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975</v>
      </c>
      <c r="D404" s="1" t="s">
        <v>976</v>
      </c>
      <c r="E404" s="1" t="s">
        <v>977</v>
      </c>
      <c r="F404" s="1" t="s">
        <v>111</v>
      </c>
      <c r="G404" s="1">
        <v>3103306</v>
      </c>
    </row>
    <row r="405" spans="1:7" x14ac:dyDescent="0.35">
      <c r="A405" s="1" t="str">
        <f t="shared" si="6"/>
        <v>13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978</v>
      </c>
      <c r="D405" s="1" t="s">
        <v>979</v>
      </c>
      <c r="E405" s="1" t="s">
        <v>980</v>
      </c>
      <c r="F405" s="1" t="s">
        <v>111</v>
      </c>
      <c r="G405" s="1">
        <v>2421661</v>
      </c>
    </row>
    <row r="406" spans="1:7" x14ac:dyDescent="0.35">
      <c r="A406" s="1" t="str">
        <f t="shared" si="6"/>
        <v>13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981</v>
      </c>
      <c r="D406" s="1" t="s">
        <v>543</v>
      </c>
      <c r="E406" s="1" t="s">
        <v>982</v>
      </c>
      <c r="F406" s="1" t="s">
        <v>111</v>
      </c>
      <c r="G406" s="1">
        <v>2766290</v>
      </c>
    </row>
    <row r="407" spans="1:7" x14ac:dyDescent="0.35">
      <c r="A407" s="1" t="str">
        <f t="shared" si="6"/>
        <v>13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983</v>
      </c>
    </row>
    <row r="408" spans="1:7" x14ac:dyDescent="0.35">
      <c r="A408" s="1" t="str">
        <f t="shared" si="6"/>
        <v>13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984</v>
      </c>
      <c r="D408" s="1" t="s">
        <v>449</v>
      </c>
      <c r="E408" s="1" t="s">
        <v>985</v>
      </c>
      <c r="F408" s="1" t="s">
        <v>111</v>
      </c>
      <c r="G408" s="1">
        <v>579335</v>
      </c>
    </row>
    <row r="409" spans="1:7" x14ac:dyDescent="0.35">
      <c r="A409" s="1" t="str">
        <f t="shared" si="6"/>
        <v>13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986</v>
      </c>
      <c r="D409" s="1" t="s">
        <v>987</v>
      </c>
      <c r="E409" s="1" t="s">
        <v>988</v>
      </c>
      <c r="F409" s="1" t="s">
        <v>111</v>
      </c>
      <c r="G409" s="1">
        <v>909948</v>
      </c>
    </row>
    <row r="410" spans="1:7" x14ac:dyDescent="0.35">
      <c r="A410" s="1" t="str">
        <f t="shared" si="6"/>
        <v>13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989</v>
      </c>
      <c r="D410" s="1" t="s">
        <v>990</v>
      </c>
      <c r="E410" s="1" t="s">
        <v>991</v>
      </c>
      <c r="F410" s="1" t="s">
        <v>111</v>
      </c>
      <c r="G410" s="1">
        <v>2891528</v>
      </c>
    </row>
    <row r="411" spans="1:7" x14ac:dyDescent="0.35">
      <c r="A411" s="1" t="str">
        <f t="shared" si="6"/>
        <v>13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992</v>
      </c>
      <c r="D411" s="1" t="s">
        <v>993</v>
      </c>
      <c r="E411" s="1" t="s">
        <v>994</v>
      </c>
      <c r="F411" s="1" t="s">
        <v>111</v>
      </c>
      <c r="G411" s="1">
        <v>2126348</v>
      </c>
    </row>
    <row r="412" spans="1:7" x14ac:dyDescent="0.35">
      <c r="A412" s="1" t="str">
        <f t="shared" si="6"/>
        <v>13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995</v>
      </c>
    </row>
    <row r="413" spans="1:7" x14ac:dyDescent="0.35">
      <c r="A413" s="1" t="str">
        <f t="shared" si="6"/>
        <v>13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996</v>
      </c>
      <c r="D413" s="1" t="s">
        <v>997</v>
      </c>
      <c r="E413" s="1" t="s">
        <v>998</v>
      </c>
      <c r="F413" s="1" t="s">
        <v>111</v>
      </c>
      <c r="G413" s="1">
        <v>1408063</v>
      </c>
    </row>
    <row r="414" spans="1:7" x14ac:dyDescent="0.35">
      <c r="A414" s="1" t="str">
        <f t="shared" si="6"/>
        <v>13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999</v>
      </c>
      <c r="D414" s="1" t="s">
        <v>1000</v>
      </c>
      <c r="E414" s="1" t="s">
        <v>1001</v>
      </c>
      <c r="F414" s="1" t="s">
        <v>111</v>
      </c>
      <c r="G414" s="1">
        <v>1006872</v>
      </c>
    </row>
    <row r="415" spans="1:7" x14ac:dyDescent="0.35">
      <c r="A415" s="1" t="str">
        <f t="shared" si="6"/>
        <v>13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1002</v>
      </c>
      <c r="D415" s="1" t="s">
        <v>1003</v>
      </c>
      <c r="E415" s="1" t="s">
        <v>1004</v>
      </c>
      <c r="F415" s="1" t="s">
        <v>111</v>
      </c>
      <c r="G415" s="1">
        <v>1183977</v>
      </c>
    </row>
    <row r="416" spans="1:7" x14ac:dyDescent="0.35">
      <c r="A416" s="1" t="str">
        <f t="shared" si="6"/>
        <v>13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1005</v>
      </c>
      <c r="D416" s="1" t="s">
        <v>1006</v>
      </c>
      <c r="E416" s="1" t="s">
        <v>1007</v>
      </c>
      <c r="F416" s="1" t="s">
        <v>111</v>
      </c>
      <c r="G416" s="1">
        <v>2468295</v>
      </c>
    </row>
    <row r="417" spans="1:9" x14ac:dyDescent="0.35">
      <c r="A417" s="1" t="str">
        <f t="shared" si="6"/>
        <v>13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1008</v>
      </c>
      <c r="D417" s="1" t="s">
        <v>1009</v>
      </c>
      <c r="E417" s="1" t="s">
        <v>1010</v>
      </c>
      <c r="F417" s="1" t="s">
        <v>111</v>
      </c>
      <c r="G417" s="1">
        <v>2589920</v>
      </c>
    </row>
    <row r="418" spans="1:9" x14ac:dyDescent="0.35">
      <c r="A418" s="1" t="str">
        <f t="shared" si="6"/>
        <v>13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1011</v>
      </c>
      <c r="D418" s="1" t="s">
        <v>1012</v>
      </c>
      <c r="E418" s="1" t="s">
        <v>1013</v>
      </c>
      <c r="F418" s="1" t="s">
        <v>111</v>
      </c>
      <c r="G418" s="1">
        <v>2170841</v>
      </c>
    </row>
    <row r="419" spans="1:9" x14ac:dyDescent="0.35">
      <c r="A419" s="1" t="str">
        <f t="shared" si="6"/>
        <v>13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1014</v>
      </c>
      <c r="D419" s="1" t="s">
        <v>1015</v>
      </c>
      <c r="E419" s="1" t="s">
        <v>1016</v>
      </c>
      <c r="F419" s="1" t="s">
        <v>111</v>
      </c>
      <c r="G419" s="1">
        <v>1864281</v>
      </c>
    </row>
    <row r="420" spans="1:9" x14ac:dyDescent="0.35">
      <c r="A420" s="1" t="str">
        <f t="shared" si="6"/>
        <v>13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1017</v>
      </c>
      <c r="D420" s="1" t="s">
        <v>970</v>
      </c>
      <c r="E420" s="1" t="s">
        <v>1018</v>
      </c>
      <c r="F420" s="1" t="s">
        <v>111</v>
      </c>
      <c r="G420" s="1">
        <v>1729937</v>
      </c>
    </row>
    <row r="421" spans="1:9" x14ac:dyDescent="0.35">
      <c r="A421" s="1" t="str">
        <f t="shared" si="6"/>
        <v>13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1019</v>
      </c>
      <c r="D421" s="1" t="s">
        <v>1020</v>
      </c>
      <c r="E421" s="1" t="s">
        <v>1021</v>
      </c>
      <c r="F421" s="1" t="s">
        <v>111</v>
      </c>
      <c r="G421" s="1">
        <v>1460061</v>
      </c>
    </row>
    <row r="422" spans="1:9" x14ac:dyDescent="0.3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111</v>
      </c>
    </row>
    <row r="423" spans="1:9" x14ac:dyDescent="0.3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234</v>
      </c>
      <c r="D423" s="1" t="s">
        <v>111</v>
      </c>
      <c r="E423" s="1" t="s">
        <v>235</v>
      </c>
      <c r="F423" s="1" t="s">
        <v>236</v>
      </c>
      <c r="G423" s="1" t="s">
        <v>237</v>
      </c>
      <c r="H423" s="1" t="s">
        <v>238</v>
      </c>
      <c r="I423" s="1" t="s">
        <v>239</v>
      </c>
    </row>
    <row r="424" spans="1:9" x14ac:dyDescent="0.35">
      <c r="A424" s="1" t="str">
        <f t="shared" si="6"/>
        <v>13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1022</v>
      </c>
      <c r="D424" s="1" t="s">
        <v>111</v>
      </c>
      <c r="E424" s="1" t="s">
        <v>1023</v>
      </c>
      <c r="F424" s="1" t="s">
        <v>1024</v>
      </c>
      <c r="G424" s="1" t="s">
        <v>1025</v>
      </c>
      <c r="H424" s="1" t="s">
        <v>1026</v>
      </c>
      <c r="I424" s="1">
        <v>24</v>
      </c>
    </row>
    <row r="425" spans="1:9" x14ac:dyDescent="0.3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111</v>
      </c>
    </row>
    <row r="426" spans="1:9" x14ac:dyDescent="0.3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111</v>
      </c>
    </row>
    <row r="427" spans="1:9" x14ac:dyDescent="0.3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111</v>
      </c>
    </row>
    <row r="428" spans="1:9" x14ac:dyDescent="0.3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111</v>
      </c>
    </row>
    <row r="429" spans="1:9" x14ac:dyDescent="0.3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111</v>
      </c>
    </row>
    <row r="430" spans="1:9" x14ac:dyDescent="0.3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245</v>
      </c>
      <c r="D430" s="1" t="s">
        <v>109</v>
      </c>
      <c r="E430" s="1" t="s">
        <v>110</v>
      </c>
      <c r="F430" s="1" t="s">
        <v>111</v>
      </c>
      <c r="G430" s="1" t="s">
        <v>112</v>
      </c>
    </row>
    <row r="431" spans="1:9" x14ac:dyDescent="0.35">
      <c r="A431" s="1" t="str">
        <f t="shared" si="6"/>
        <v>14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1027</v>
      </c>
    </row>
    <row r="432" spans="1:9" x14ac:dyDescent="0.35">
      <c r="A432" s="1" t="str">
        <f t="shared" si="6"/>
        <v>14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1028</v>
      </c>
      <c r="D432" s="1" t="s">
        <v>1029</v>
      </c>
      <c r="E432" s="1" t="s">
        <v>1030</v>
      </c>
      <c r="F432" s="1" t="s">
        <v>111</v>
      </c>
      <c r="G432" s="1">
        <v>440298</v>
      </c>
    </row>
    <row r="433" spans="1:7" x14ac:dyDescent="0.35">
      <c r="A433" s="1" t="str">
        <f t="shared" si="6"/>
        <v>14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1031</v>
      </c>
      <c r="D433" s="1" t="s">
        <v>1032</v>
      </c>
      <c r="E433" s="1" t="s">
        <v>1033</v>
      </c>
      <c r="F433" s="1" t="s">
        <v>111</v>
      </c>
      <c r="G433" s="1">
        <v>393318</v>
      </c>
    </row>
    <row r="434" spans="1:7" x14ac:dyDescent="0.35">
      <c r="A434" s="1" t="str">
        <f t="shared" si="6"/>
        <v>14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1034</v>
      </c>
      <c r="D434" s="1" t="s">
        <v>1035</v>
      </c>
      <c r="E434" s="1" t="s">
        <v>1036</v>
      </c>
      <c r="F434" s="1" t="s">
        <v>111</v>
      </c>
      <c r="G434" s="1">
        <v>2147416</v>
      </c>
    </row>
    <row r="435" spans="1:7" x14ac:dyDescent="0.35">
      <c r="A435" s="1" t="str">
        <f t="shared" si="6"/>
        <v>14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1037</v>
      </c>
      <c r="D435" s="1" t="s">
        <v>1038</v>
      </c>
      <c r="E435" s="1" t="s">
        <v>1039</v>
      </c>
      <c r="F435" s="1" t="s">
        <v>111</v>
      </c>
      <c r="G435" s="1">
        <v>2424690</v>
      </c>
    </row>
    <row r="436" spans="1:7" x14ac:dyDescent="0.35">
      <c r="A436" s="1" t="str">
        <f t="shared" si="6"/>
        <v>14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1040</v>
      </c>
      <c r="D436" s="1" t="s">
        <v>1041</v>
      </c>
      <c r="E436" s="1" t="s">
        <v>1042</v>
      </c>
      <c r="F436" s="1" t="s">
        <v>111</v>
      </c>
      <c r="G436" s="1">
        <v>2137142</v>
      </c>
    </row>
    <row r="437" spans="1:7" x14ac:dyDescent="0.35">
      <c r="A437" s="1" t="str">
        <f t="shared" si="6"/>
        <v>14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1043</v>
      </c>
      <c r="D437" s="1" t="s">
        <v>1044</v>
      </c>
      <c r="E437" s="1" t="s">
        <v>1045</v>
      </c>
      <c r="F437" s="1" t="s">
        <v>111</v>
      </c>
      <c r="G437" s="1">
        <v>3427170</v>
      </c>
    </row>
    <row r="438" spans="1:7" x14ac:dyDescent="0.35">
      <c r="A438" s="1" t="str">
        <f t="shared" si="6"/>
        <v>14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1046</v>
      </c>
      <c r="D438" s="1" t="s">
        <v>1047</v>
      </c>
      <c r="E438" s="1" t="s">
        <v>1048</v>
      </c>
      <c r="F438" s="1" t="s">
        <v>111</v>
      </c>
      <c r="G438" s="1">
        <v>3177367</v>
      </c>
    </row>
    <row r="439" spans="1:7" x14ac:dyDescent="0.35">
      <c r="A439" s="1" t="str">
        <f t="shared" si="6"/>
        <v>14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1049</v>
      </c>
      <c r="D439" s="1" t="s">
        <v>1050</v>
      </c>
      <c r="E439" s="1" t="s">
        <v>1051</v>
      </c>
      <c r="F439" s="1" t="s">
        <v>111</v>
      </c>
      <c r="G439" s="1">
        <v>3235529</v>
      </c>
    </row>
    <row r="440" spans="1:7" x14ac:dyDescent="0.35">
      <c r="A440" s="1" t="str">
        <f t="shared" si="6"/>
        <v>14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1052</v>
      </c>
    </row>
    <row r="441" spans="1:7" x14ac:dyDescent="0.35">
      <c r="A441" s="1" t="str">
        <f t="shared" si="6"/>
        <v>14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1053</v>
      </c>
      <c r="D441" s="1" t="s">
        <v>1054</v>
      </c>
      <c r="E441" s="1" t="s">
        <v>1055</v>
      </c>
      <c r="F441" s="1" t="s">
        <v>111</v>
      </c>
      <c r="G441" s="1">
        <v>2248687</v>
      </c>
    </row>
    <row r="442" spans="1:7" x14ac:dyDescent="0.35">
      <c r="A442" s="1" t="str">
        <f t="shared" si="6"/>
        <v>14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1056</v>
      </c>
      <c r="D442" s="1" t="s">
        <v>1057</v>
      </c>
      <c r="E442" s="1" t="s">
        <v>1058</v>
      </c>
      <c r="F442" s="1" t="s">
        <v>111</v>
      </c>
      <c r="G442" s="1">
        <v>2065417</v>
      </c>
    </row>
    <row r="443" spans="1:7" x14ac:dyDescent="0.35">
      <c r="A443" s="1" t="str">
        <f t="shared" si="6"/>
        <v>14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1059</v>
      </c>
      <c r="D443" s="1" t="s">
        <v>1060</v>
      </c>
      <c r="E443" s="1" t="s">
        <v>1061</v>
      </c>
      <c r="F443" s="1" t="s">
        <v>111</v>
      </c>
      <c r="G443" s="1">
        <v>2623490</v>
      </c>
    </row>
    <row r="444" spans="1:7" x14ac:dyDescent="0.35">
      <c r="A444" s="1" t="str">
        <f t="shared" si="6"/>
        <v>14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1062</v>
      </c>
      <c r="D444" s="1" t="s">
        <v>1063</v>
      </c>
      <c r="E444" s="1" t="s">
        <v>1064</v>
      </c>
      <c r="F444" s="1" t="s">
        <v>111</v>
      </c>
      <c r="G444" s="1">
        <v>1856689</v>
      </c>
    </row>
    <row r="445" spans="1:7" x14ac:dyDescent="0.35">
      <c r="A445" s="1" t="str">
        <f t="shared" si="6"/>
        <v>14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1065</v>
      </c>
      <c r="D445" s="1" t="s">
        <v>1066</v>
      </c>
      <c r="E445" s="1" t="s">
        <v>1067</v>
      </c>
      <c r="F445" s="1" t="s">
        <v>111</v>
      </c>
      <c r="G445" s="1">
        <v>2927347</v>
      </c>
    </row>
    <row r="446" spans="1:7" x14ac:dyDescent="0.35">
      <c r="A446" s="1" t="str">
        <f t="shared" si="6"/>
        <v>14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1068</v>
      </c>
      <c r="D446" s="1" t="s">
        <v>327</v>
      </c>
      <c r="E446" s="1" t="s">
        <v>1069</v>
      </c>
      <c r="F446" s="1" t="s">
        <v>111</v>
      </c>
      <c r="G446" s="1">
        <v>57925</v>
      </c>
    </row>
    <row r="447" spans="1:7" x14ac:dyDescent="0.35">
      <c r="A447" s="1" t="str">
        <f t="shared" si="6"/>
        <v>14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1070</v>
      </c>
      <c r="D447" s="1" t="s">
        <v>1071</v>
      </c>
      <c r="E447" s="1" t="s">
        <v>1072</v>
      </c>
      <c r="F447" s="1" t="s">
        <v>111</v>
      </c>
      <c r="G447" s="1">
        <v>125280</v>
      </c>
    </row>
    <row r="448" spans="1:7" x14ac:dyDescent="0.35">
      <c r="A448" s="1" t="str">
        <f t="shared" si="6"/>
        <v>14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1073</v>
      </c>
      <c r="D448" s="1" t="s">
        <v>891</v>
      </c>
      <c r="E448" s="1" t="s">
        <v>1074</v>
      </c>
      <c r="F448" s="1" t="s">
        <v>111</v>
      </c>
      <c r="G448" s="1">
        <v>93009</v>
      </c>
    </row>
    <row r="449" spans="1:9" x14ac:dyDescent="0.35">
      <c r="A449" s="1" t="str">
        <f t="shared" si="6"/>
        <v>14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1075</v>
      </c>
      <c r="D449" s="1" t="s">
        <v>1076</v>
      </c>
      <c r="E449" s="1" t="s">
        <v>1077</v>
      </c>
      <c r="F449" s="1" t="s">
        <v>111</v>
      </c>
      <c r="G449" s="1">
        <v>2038769</v>
      </c>
    </row>
    <row r="450" spans="1:9" x14ac:dyDescent="0.35">
      <c r="A450" s="1" t="str">
        <f t="shared" ref="A450:A513" si="7">IFERROR(LEFT(RIGHT(C450,LEN(C450)-SEARCH("@",C450)),SEARCH("/",RIGHT(C450,LEN(C450)-SEARCH("@",C450)-1))),"")</f>
        <v>14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1078</v>
      </c>
      <c r="D450" s="1" t="s">
        <v>1079</v>
      </c>
      <c r="E450" s="1" t="s">
        <v>1080</v>
      </c>
      <c r="F450" s="1" t="s">
        <v>111</v>
      </c>
      <c r="G450" s="1">
        <v>1693815</v>
      </c>
    </row>
    <row r="451" spans="1:9" x14ac:dyDescent="0.35">
      <c r="A451" s="1" t="str">
        <f t="shared" si="7"/>
        <v>14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1081</v>
      </c>
      <c r="D451" s="1" t="s">
        <v>1082</v>
      </c>
      <c r="E451" s="1" t="s">
        <v>1083</v>
      </c>
      <c r="F451" s="1" t="s">
        <v>111</v>
      </c>
      <c r="G451" s="1">
        <v>2043592</v>
      </c>
    </row>
    <row r="452" spans="1:9" x14ac:dyDescent="0.35">
      <c r="A452" s="1" t="str">
        <f t="shared" si="7"/>
        <v>14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1084</v>
      </c>
    </row>
    <row r="453" spans="1:9" x14ac:dyDescent="0.35">
      <c r="A453" s="1" t="str">
        <f t="shared" si="7"/>
        <v>14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1085</v>
      </c>
    </row>
    <row r="454" spans="1:9" x14ac:dyDescent="0.35">
      <c r="A454" s="1" t="str">
        <f t="shared" si="7"/>
        <v>14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1086</v>
      </c>
      <c r="D454" s="1" t="s">
        <v>1087</v>
      </c>
      <c r="E454" s="1" t="s">
        <v>1088</v>
      </c>
      <c r="F454" s="1" t="s">
        <v>111</v>
      </c>
      <c r="G454" s="1">
        <v>702366</v>
      </c>
    </row>
    <row r="455" spans="1:9" x14ac:dyDescent="0.3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111</v>
      </c>
    </row>
    <row r="456" spans="1:9" x14ac:dyDescent="0.3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234</v>
      </c>
      <c r="D456" s="1" t="s">
        <v>111</v>
      </c>
      <c r="E456" s="1" t="s">
        <v>235</v>
      </c>
      <c r="F456" s="1" t="s">
        <v>236</v>
      </c>
      <c r="G456" s="1" t="s">
        <v>237</v>
      </c>
      <c r="H456" s="1" t="s">
        <v>238</v>
      </c>
      <c r="I456" s="1" t="s">
        <v>239</v>
      </c>
    </row>
    <row r="457" spans="1:9" x14ac:dyDescent="0.35">
      <c r="A457" s="1" t="str">
        <f t="shared" si="7"/>
        <v>14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1089</v>
      </c>
      <c r="D457" s="1" t="s">
        <v>111</v>
      </c>
      <c r="E457" s="1" t="s">
        <v>1090</v>
      </c>
      <c r="F457" s="1" t="s">
        <v>1091</v>
      </c>
      <c r="G457" s="1" t="s">
        <v>1092</v>
      </c>
      <c r="H457" s="1" t="s">
        <v>1093</v>
      </c>
      <c r="I457" s="1">
        <v>24</v>
      </c>
    </row>
    <row r="458" spans="1:9" x14ac:dyDescent="0.3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111</v>
      </c>
    </row>
    <row r="459" spans="1:9" x14ac:dyDescent="0.3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111</v>
      </c>
    </row>
    <row r="460" spans="1:9" x14ac:dyDescent="0.3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111</v>
      </c>
    </row>
    <row r="461" spans="1:9" x14ac:dyDescent="0.3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111</v>
      </c>
    </row>
    <row r="462" spans="1:9" x14ac:dyDescent="0.3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111</v>
      </c>
    </row>
    <row r="463" spans="1:9" x14ac:dyDescent="0.3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245</v>
      </c>
      <c r="D463" s="1" t="s">
        <v>109</v>
      </c>
      <c r="E463" s="1" t="s">
        <v>110</v>
      </c>
      <c r="F463" s="1" t="s">
        <v>111</v>
      </c>
      <c r="G463" s="1" t="s">
        <v>112</v>
      </c>
    </row>
    <row r="464" spans="1:9" x14ac:dyDescent="0.35">
      <c r="A464" s="1" t="str">
        <f t="shared" si="7"/>
        <v>15 Testo +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1094</v>
      </c>
      <c r="D464" s="1" t="s">
        <v>1095</v>
      </c>
      <c r="E464" s="1" t="s">
        <v>1096</v>
      </c>
      <c r="F464" s="1" t="s">
        <v>111</v>
      </c>
      <c r="G464" s="1">
        <v>3705244</v>
      </c>
    </row>
    <row r="465" spans="1:7" x14ac:dyDescent="0.35">
      <c r="A465" s="1" t="str">
        <f t="shared" si="7"/>
        <v>15 Testo +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1097</v>
      </c>
      <c r="D465" s="1" t="s">
        <v>1098</v>
      </c>
      <c r="E465" s="1" t="s">
        <v>1099</v>
      </c>
      <c r="F465" s="1" t="s">
        <v>111</v>
      </c>
      <c r="G465" s="1">
        <v>3395677</v>
      </c>
    </row>
    <row r="466" spans="1:7" x14ac:dyDescent="0.35">
      <c r="A466" s="1" t="str">
        <f t="shared" si="7"/>
        <v>15 Testo +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1100</v>
      </c>
      <c r="D466" s="1" t="s">
        <v>1101</v>
      </c>
      <c r="E466" s="1" t="s">
        <v>1102</v>
      </c>
      <c r="F466" s="1" t="s">
        <v>111</v>
      </c>
      <c r="G466" s="1">
        <v>3639078</v>
      </c>
    </row>
    <row r="467" spans="1:7" x14ac:dyDescent="0.35">
      <c r="A467" s="1" t="str">
        <f t="shared" si="7"/>
        <v>15 Testo +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1103</v>
      </c>
      <c r="D467" s="1" t="s">
        <v>1104</v>
      </c>
      <c r="E467" s="1" t="s">
        <v>1105</v>
      </c>
      <c r="F467" s="1" t="s">
        <v>111</v>
      </c>
      <c r="G467" s="1">
        <v>5019671</v>
      </c>
    </row>
    <row r="468" spans="1:7" x14ac:dyDescent="0.35">
      <c r="A468" s="1" t="str">
        <f t="shared" si="7"/>
        <v>15 Testo +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1106</v>
      </c>
      <c r="D468" s="1" t="s">
        <v>1107</v>
      </c>
      <c r="E468" s="1" t="s">
        <v>1108</v>
      </c>
      <c r="F468" s="1" t="s">
        <v>111</v>
      </c>
      <c r="G468" s="1">
        <v>4555148</v>
      </c>
    </row>
    <row r="469" spans="1:7" x14ac:dyDescent="0.35">
      <c r="A469" s="1" t="str">
        <f t="shared" si="7"/>
        <v>15 Testo +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1109</v>
      </c>
      <c r="D469" s="1" t="s">
        <v>1110</v>
      </c>
      <c r="E469" s="1" t="s">
        <v>1111</v>
      </c>
      <c r="F469" s="1" t="s">
        <v>111</v>
      </c>
      <c r="G469" s="1">
        <v>4527159</v>
      </c>
    </row>
    <row r="470" spans="1:7" x14ac:dyDescent="0.35">
      <c r="A470" s="1" t="str">
        <f t="shared" si="7"/>
        <v>15 Testo +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1112</v>
      </c>
    </row>
    <row r="471" spans="1:7" x14ac:dyDescent="0.35">
      <c r="A471" s="1" t="str">
        <f t="shared" si="7"/>
        <v>15 Testo +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1113</v>
      </c>
      <c r="D471" s="1" t="s">
        <v>1114</v>
      </c>
      <c r="E471" s="1" t="s">
        <v>1115</v>
      </c>
      <c r="F471" s="1" t="s">
        <v>111</v>
      </c>
      <c r="G471" s="1">
        <v>2135217</v>
      </c>
    </row>
    <row r="472" spans="1:7" x14ac:dyDescent="0.35">
      <c r="A472" s="1" t="str">
        <f t="shared" si="7"/>
        <v>15 Testo +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1116</v>
      </c>
      <c r="D472" s="1" t="s">
        <v>1117</v>
      </c>
      <c r="E472" s="1" t="s">
        <v>1118</v>
      </c>
      <c r="F472" s="1" t="s">
        <v>111</v>
      </c>
      <c r="G472" s="1">
        <v>1827921</v>
      </c>
    </row>
    <row r="473" spans="1:7" x14ac:dyDescent="0.35">
      <c r="A473" s="1" t="str">
        <f t="shared" si="7"/>
        <v>15 Testo +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1119</v>
      </c>
      <c r="D473" s="1" t="s">
        <v>1120</v>
      </c>
      <c r="E473" s="1" t="s">
        <v>1121</v>
      </c>
      <c r="F473" s="1" t="s">
        <v>111</v>
      </c>
      <c r="G473" s="1">
        <v>2507748</v>
      </c>
    </row>
    <row r="474" spans="1:7" x14ac:dyDescent="0.35">
      <c r="A474" s="1" t="str">
        <f t="shared" si="7"/>
        <v>15 Testo +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1122</v>
      </c>
      <c r="D474" s="1" t="s">
        <v>1123</v>
      </c>
      <c r="E474" s="1" t="s">
        <v>1124</v>
      </c>
      <c r="F474" s="1" t="s">
        <v>111</v>
      </c>
      <c r="G474" s="1">
        <v>3470430</v>
      </c>
    </row>
    <row r="475" spans="1:7" x14ac:dyDescent="0.35">
      <c r="A475" s="1" t="str">
        <f t="shared" si="7"/>
        <v>15 Testo +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1125</v>
      </c>
      <c r="D475" s="1" t="s">
        <v>1126</v>
      </c>
      <c r="E475" s="1" t="s">
        <v>1127</v>
      </c>
      <c r="F475" s="1" t="s">
        <v>111</v>
      </c>
      <c r="G475" s="1">
        <v>3262567</v>
      </c>
    </row>
    <row r="476" spans="1:7" x14ac:dyDescent="0.35">
      <c r="A476" s="1" t="str">
        <f t="shared" si="7"/>
        <v>15 Testo +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1128</v>
      </c>
      <c r="D476" s="1" t="s">
        <v>1129</v>
      </c>
      <c r="E476" s="1" t="s">
        <v>1130</v>
      </c>
      <c r="F476" s="1" t="s">
        <v>111</v>
      </c>
      <c r="G476" s="1">
        <v>4987551</v>
      </c>
    </row>
    <row r="477" spans="1:7" x14ac:dyDescent="0.35">
      <c r="A477" s="1" t="str">
        <f t="shared" si="7"/>
        <v>15 Testo +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1131</v>
      </c>
      <c r="D477" s="1" t="s">
        <v>1132</v>
      </c>
      <c r="E477" s="1" t="s">
        <v>1133</v>
      </c>
      <c r="F477" s="1" t="s">
        <v>111</v>
      </c>
      <c r="G477" s="1">
        <v>4506480</v>
      </c>
    </row>
    <row r="478" spans="1:7" x14ac:dyDescent="0.35">
      <c r="A478" s="1" t="str">
        <f t="shared" si="7"/>
        <v>15 Testo +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1134</v>
      </c>
      <c r="D478" s="1" t="s">
        <v>1135</v>
      </c>
      <c r="E478" s="1" t="s">
        <v>1136</v>
      </c>
      <c r="F478" s="1" t="s">
        <v>111</v>
      </c>
      <c r="G478" s="1">
        <v>5162969</v>
      </c>
    </row>
    <row r="479" spans="1:7" x14ac:dyDescent="0.35">
      <c r="A479" s="1" t="str">
        <f t="shared" si="7"/>
        <v>15 Testo +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1137</v>
      </c>
      <c r="D479" s="1" t="s">
        <v>1138</v>
      </c>
      <c r="E479" s="1" t="s">
        <v>1139</v>
      </c>
      <c r="F479" s="1" t="s">
        <v>111</v>
      </c>
      <c r="G479" s="1">
        <v>3067790</v>
      </c>
    </row>
    <row r="480" spans="1:7" x14ac:dyDescent="0.35">
      <c r="A480" s="1" t="str">
        <f t="shared" si="7"/>
        <v>15 Testo +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1140</v>
      </c>
      <c r="D480" s="1" t="s">
        <v>1141</v>
      </c>
      <c r="E480" s="1" t="s">
        <v>1142</v>
      </c>
      <c r="F480" s="1" t="s">
        <v>111</v>
      </c>
      <c r="G480" s="1">
        <v>3328387</v>
      </c>
    </row>
    <row r="481" spans="1:9" x14ac:dyDescent="0.35">
      <c r="A481" s="1" t="str">
        <f t="shared" si="7"/>
        <v>15 Testo +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1143</v>
      </c>
      <c r="D481" s="1" t="s">
        <v>1144</v>
      </c>
      <c r="E481" s="1" t="s">
        <v>1145</v>
      </c>
      <c r="F481" s="1" t="s">
        <v>111</v>
      </c>
      <c r="G481" s="1">
        <v>3072180</v>
      </c>
    </row>
    <row r="482" spans="1:9" x14ac:dyDescent="0.35">
      <c r="A482" s="1" t="str">
        <f t="shared" si="7"/>
        <v>15 Testo +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1146</v>
      </c>
      <c r="D482" s="1" t="s">
        <v>1147</v>
      </c>
      <c r="E482" s="1" t="s">
        <v>1148</v>
      </c>
      <c r="F482" s="1" t="s">
        <v>111</v>
      </c>
      <c r="G482" s="1">
        <v>5388266</v>
      </c>
    </row>
    <row r="483" spans="1:9" x14ac:dyDescent="0.35">
      <c r="A483" s="1" t="str">
        <f t="shared" si="7"/>
        <v>15 Testo +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1149</v>
      </c>
      <c r="D483" s="1" t="s">
        <v>1150</v>
      </c>
      <c r="E483" s="1" t="s">
        <v>1151</v>
      </c>
      <c r="F483" s="1" t="s">
        <v>111</v>
      </c>
      <c r="G483" s="1">
        <v>5186113</v>
      </c>
    </row>
    <row r="484" spans="1:9" x14ac:dyDescent="0.35">
      <c r="A484" s="1" t="str">
        <f t="shared" si="7"/>
        <v>15 Testo +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1152</v>
      </c>
      <c r="D484" s="1" t="s">
        <v>1153</v>
      </c>
      <c r="E484" s="1" t="s">
        <v>1154</v>
      </c>
      <c r="F484" s="1" t="s">
        <v>111</v>
      </c>
      <c r="G484" s="1">
        <v>5031092</v>
      </c>
    </row>
    <row r="485" spans="1:9" x14ac:dyDescent="0.35">
      <c r="A485" s="1" t="str">
        <f t="shared" si="7"/>
        <v>15 Testo +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1155</v>
      </c>
      <c r="D485" s="1" t="s">
        <v>1156</v>
      </c>
      <c r="E485" s="1" t="s">
        <v>1157</v>
      </c>
      <c r="F485" s="1" t="s">
        <v>111</v>
      </c>
      <c r="G485" s="1">
        <v>3085851</v>
      </c>
    </row>
    <row r="486" spans="1:9" x14ac:dyDescent="0.35">
      <c r="A486" s="1" t="str">
        <f t="shared" si="7"/>
        <v>15 Testo +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1158</v>
      </c>
      <c r="D486" s="1" t="s">
        <v>1159</v>
      </c>
      <c r="E486" s="1" t="s">
        <v>1160</v>
      </c>
      <c r="F486" s="1" t="s">
        <v>111</v>
      </c>
      <c r="G486" s="1">
        <v>2398561</v>
      </c>
    </row>
    <row r="487" spans="1:9" x14ac:dyDescent="0.35">
      <c r="A487" s="1" t="str">
        <f t="shared" si="7"/>
        <v>15 Testo +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1161</v>
      </c>
      <c r="D487" s="1" t="s">
        <v>1162</v>
      </c>
      <c r="E487" s="1" t="s">
        <v>1163</v>
      </c>
      <c r="F487" s="1" t="s">
        <v>111</v>
      </c>
      <c r="G487" s="1">
        <v>2746542</v>
      </c>
    </row>
    <row r="488" spans="1:9" x14ac:dyDescent="0.3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111</v>
      </c>
    </row>
    <row r="489" spans="1:9" x14ac:dyDescent="0.3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234</v>
      </c>
      <c r="D489" s="1" t="s">
        <v>111</v>
      </c>
      <c r="E489" s="1" t="s">
        <v>235</v>
      </c>
      <c r="F489" s="1" t="s">
        <v>236</v>
      </c>
      <c r="G489" s="1" t="s">
        <v>237</v>
      </c>
      <c r="H489" s="1" t="s">
        <v>238</v>
      </c>
      <c r="I489" s="1" t="s">
        <v>239</v>
      </c>
    </row>
    <row r="490" spans="1:9" x14ac:dyDescent="0.35">
      <c r="A490" s="1" t="str">
        <f t="shared" si="7"/>
        <v>15 Testo +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1164</v>
      </c>
      <c r="D490" s="1" t="s">
        <v>111</v>
      </c>
      <c r="E490" s="1" t="s">
        <v>1165</v>
      </c>
      <c r="F490" s="1" t="s">
        <v>1166</v>
      </c>
      <c r="G490" s="1" t="s">
        <v>1167</v>
      </c>
      <c r="H490" s="1" t="s">
        <v>1168</v>
      </c>
      <c r="I490" s="1">
        <v>24</v>
      </c>
    </row>
    <row r="491" spans="1:9" x14ac:dyDescent="0.3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111</v>
      </c>
    </row>
    <row r="492" spans="1:9" x14ac:dyDescent="0.3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111</v>
      </c>
    </row>
    <row r="493" spans="1:9" x14ac:dyDescent="0.3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111</v>
      </c>
    </row>
    <row r="494" spans="1:9" x14ac:dyDescent="0.3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111</v>
      </c>
    </row>
    <row r="495" spans="1:9" x14ac:dyDescent="0.3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111</v>
      </c>
    </row>
    <row r="496" spans="1:9" x14ac:dyDescent="0.3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245</v>
      </c>
      <c r="D496" s="1" t="s">
        <v>109</v>
      </c>
      <c r="E496" s="1" t="s">
        <v>110</v>
      </c>
      <c r="F496" s="1" t="s">
        <v>111</v>
      </c>
      <c r="G496" s="1" t="s">
        <v>112</v>
      </c>
    </row>
    <row r="497" spans="1:7" x14ac:dyDescent="0.35">
      <c r="A497" s="1" t="str">
        <f t="shared" si="7"/>
        <v>16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1169</v>
      </c>
      <c r="D497" s="1" t="s">
        <v>702</v>
      </c>
      <c r="E497" s="1" t="s">
        <v>1170</v>
      </c>
      <c r="F497" s="1" t="s">
        <v>111</v>
      </c>
      <c r="G497" s="1">
        <v>58206</v>
      </c>
    </row>
    <row r="498" spans="1:7" x14ac:dyDescent="0.35">
      <c r="A498" s="1" t="str">
        <f t="shared" si="7"/>
        <v>16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1171</v>
      </c>
      <c r="D498" s="1" t="s">
        <v>297</v>
      </c>
      <c r="E498" s="1" t="s">
        <v>1172</v>
      </c>
      <c r="F498" s="1" t="s">
        <v>111</v>
      </c>
      <c r="G498" s="1">
        <v>33678</v>
      </c>
    </row>
    <row r="499" spans="1:7" x14ac:dyDescent="0.35">
      <c r="A499" s="1" t="str">
        <f t="shared" si="7"/>
        <v>16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1173</v>
      </c>
      <c r="D499" s="1" t="s">
        <v>265</v>
      </c>
      <c r="E499" s="1" t="s">
        <v>1174</v>
      </c>
      <c r="F499" s="1" t="s">
        <v>111</v>
      </c>
      <c r="G499" s="1">
        <v>20570</v>
      </c>
    </row>
    <row r="500" spans="1:7" x14ac:dyDescent="0.35">
      <c r="A500" s="1" t="str">
        <f t="shared" si="7"/>
        <v>16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1175</v>
      </c>
      <c r="D500" s="1" t="s">
        <v>1071</v>
      </c>
      <c r="E500" s="1" t="s">
        <v>1176</v>
      </c>
      <c r="F500" s="1" t="s">
        <v>111</v>
      </c>
      <c r="G500" s="1">
        <v>124761</v>
      </c>
    </row>
    <row r="501" spans="1:7" x14ac:dyDescent="0.35">
      <c r="A501" s="1" t="str">
        <f t="shared" si="7"/>
        <v>16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1177</v>
      </c>
      <c r="D501" s="1" t="s">
        <v>214</v>
      </c>
      <c r="E501" s="1" t="s">
        <v>1178</v>
      </c>
      <c r="F501" s="1" t="s">
        <v>111</v>
      </c>
      <c r="G501" s="1">
        <v>30909</v>
      </c>
    </row>
    <row r="502" spans="1:7" x14ac:dyDescent="0.35">
      <c r="A502" s="1" t="str">
        <f t="shared" si="7"/>
        <v>16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1179</v>
      </c>
      <c r="D502" s="1" t="s">
        <v>713</v>
      </c>
      <c r="E502" s="1" t="s">
        <v>730</v>
      </c>
      <c r="F502" s="1" t="s">
        <v>111</v>
      </c>
      <c r="G502" s="1">
        <v>11118</v>
      </c>
    </row>
    <row r="503" spans="1:7" x14ac:dyDescent="0.35">
      <c r="A503" s="1" t="str">
        <f t="shared" si="7"/>
        <v>16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1180</v>
      </c>
      <c r="D503" s="1" t="s">
        <v>460</v>
      </c>
      <c r="E503" s="1" t="s">
        <v>1181</v>
      </c>
      <c r="F503" s="1" t="s">
        <v>111</v>
      </c>
      <c r="G503" s="1">
        <v>190711</v>
      </c>
    </row>
    <row r="504" spans="1:7" x14ac:dyDescent="0.35">
      <c r="A504" s="1" t="str">
        <f t="shared" si="7"/>
        <v>16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1182</v>
      </c>
      <c r="D504" s="1" t="s">
        <v>1183</v>
      </c>
      <c r="E504" s="1" t="s">
        <v>1184</v>
      </c>
      <c r="F504" s="1" t="s">
        <v>111</v>
      </c>
      <c r="G504" s="1">
        <v>72525</v>
      </c>
    </row>
    <row r="505" spans="1:7" x14ac:dyDescent="0.35">
      <c r="A505" s="1" t="str">
        <f t="shared" si="7"/>
        <v>16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1185</v>
      </c>
      <c r="D505" s="1" t="s">
        <v>1186</v>
      </c>
      <c r="E505" s="1" t="s">
        <v>1187</v>
      </c>
      <c r="F505" s="1" t="s">
        <v>111</v>
      </c>
      <c r="G505" s="1">
        <v>29114</v>
      </c>
    </row>
    <row r="506" spans="1:7" x14ac:dyDescent="0.35">
      <c r="A506" s="1" t="str">
        <f t="shared" si="7"/>
        <v>16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1188</v>
      </c>
      <c r="D506" s="1" t="s">
        <v>1189</v>
      </c>
      <c r="E506" s="1" t="s">
        <v>1190</v>
      </c>
      <c r="F506" s="1" t="s">
        <v>111</v>
      </c>
      <c r="G506" s="1">
        <v>410644</v>
      </c>
    </row>
    <row r="507" spans="1:7" x14ac:dyDescent="0.35">
      <c r="A507" s="1" t="str">
        <f t="shared" si="7"/>
        <v>16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1191</v>
      </c>
      <c r="D507" s="1" t="s">
        <v>405</v>
      </c>
      <c r="E507" s="1" t="s">
        <v>1192</v>
      </c>
      <c r="F507" s="1" t="s">
        <v>111</v>
      </c>
      <c r="G507" s="1">
        <v>95561</v>
      </c>
    </row>
    <row r="508" spans="1:7" x14ac:dyDescent="0.35">
      <c r="A508" s="1" t="str">
        <f t="shared" si="7"/>
        <v>16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1193</v>
      </c>
      <c r="D508" s="1" t="s">
        <v>1194</v>
      </c>
      <c r="E508" s="1" t="s">
        <v>1195</v>
      </c>
      <c r="F508" s="1" t="s">
        <v>111</v>
      </c>
      <c r="G508" s="1">
        <v>166291</v>
      </c>
    </row>
    <row r="509" spans="1:7" x14ac:dyDescent="0.35">
      <c r="A509" s="1" t="str">
        <f t="shared" si="7"/>
        <v>16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1196</v>
      </c>
      <c r="D509" s="1" t="s">
        <v>1197</v>
      </c>
      <c r="E509" s="1" t="s">
        <v>1198</v>
      </c>
      <c r="F509" s="1" t="s">
        <v>111</v>
      </c>
      <c r="G509" s="1">
        <v>573884</v>
      </c>
    </row>
    <row r="510" spans="1:7" x14ac:dyDescent="0.35">
      <c r="A510" s="1" t="str">
        <f t="shared" si="7"/>
        <v>16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1199</v>
      </c>
      <c r="D510" s="1" t="s">
        <v>1200</v>
      </c>
      <c r="E510" s="1" t="s">
        <v>1201</v>
      </c>
      <c r="F510" s="1" t="s">
        <v>111</v>
      </c>
      <c r="G510" s="1">
        <v>528483</v>
      </c>
    </row>
    <row r="511" spans="1:7" x14ac:dyDescent="0.35">
      <c r="A511" s="1" t="str">
        <f t="shared" si="7"/>
        <v>16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1202</v>
      </c>
      <c r="D511" s="1" t="s">
        <v>1203</v>
      </c>
      <c r="E511" s="1" t="s">
        <v>1204</v>
      </c>
      <c r="F511" s="1" t="s">
        <v>111</v>
      </c>
      <c r="G511" s="1">
        <v>69302</v>
      </c>
    </row>
    <row r="512" spans="1:7" x14ac:dyDescent="0.35">
      <c r="A512" s="1" t="str">
        <f t="shared" si="7"/>
        <v>16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1205</v>
      </c>
    </row>
    <row r="513" spans="1:9" x14ac:dyDescent="0.35">
      <c r="A513" s="1" t="str">
        <f t="shared" si="7"/>
        <v>16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1206</v>
      </c>
      <c r="D513" s="1" t="s">
        <v>1207</v>
      </c>
      <c r="E513" s="1" t="s">
        <v>1208</v>
      </c>
      <c r="F513" s="1" t="s">
        <v>111</v>
      </c>
      <c r="G513" s="1">
        <v>306625</v>
      </c>
    </row>
    <row r="514" spans="1:9" x14ac:dyDescent="0.35">
      <c r="A514" s="1" t="str">
        <f t="shared" ref="A514:A577" si="8">IFERROR(LEFT(RIGHT(C514,LEN(C514)-SEARCH("@",C514)),SEARCH("/",RIGHT(C514,LEN(C514)-SEARCH("@",C514)-1))),"")</f>
        <v>16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1209</v>
      </c>
      <c r="D514" s="1" t="s">
        <v>1210</v>
      </c>
      <c r="E514" s="1" t="s">
        <v>1211</v>
      </c>
      <c r="F514" s="1" t="s">
        <v>111</v>
      </c>
      <c r="G514" s="1">
        <v>248030</v>
      </c>
    </row>
    <row r="515" spans="1:9" x14ac:dyDescent="0.35">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1212</v>
      </c>
      <c r="D515" s="1" t="s">
        <v>1213</v>
      </c>
      <c r="E515" s="1" t="s">
        <v>1214</v>
      </c>
      <c r="F515" s="1" t="s">
        <v>111</v>
      </c>
      <c r="G515" s="1">
        <v>259970</v>
      </c>
    </row>
    <row r="516" spans="1:9" x14ac:dyDescent="0.35">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1215</v>
      </c>
      <c r="D516" s="1" t="s">
        <v>1216</v>
      </c>
      <c r="E516" s="1" t="s">
        <v>1217</v>
      </c>
      <c r="F516" s="1" t="s">
        <v>111</v>
      </c>
      <c r="G516" s="1">
        <v>62575</v>
      </c>
    </row>
    <row r="517" spans="1:9" x14ac:dyDescent="0.35">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1218</v>
      </c>
      <c r="D517" s="1" t="s">
        <v>281</v>
      </c>
      <c r="E517" s="1" t="s">
        <v>943</v>
      </c>
      <c r="F517" s="1" t="s">
        <v>111</v>
      </c>
      <c r="G517" s="1">
        <v>53815</v>
      </c>
    </row>
    <row r="518" spans="1:9" x14ac:dyDescent="0.35">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1219</v>
      </c>
      <c r="D518" s="1" t="s">
        <v>1220</v>
      </c>
      <c r="E518" s="1" t="s">
        <v>1221</v>
      </c>
      <c r="F518" s="1" t="s">
        <v>111</v>
      </c>
      <c r="G518" s="1">
        <v>292306</v>
      </c>
    </row>
    <row r="519" spans="1:9" x14ac:dyDescent="0.35">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1222</v>
      </c>
    </row>
    <row r="520" spans="1:9" x14ac:dyDescent="0.35">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1223</v>
      </c>
    </row>
    <row r="521" spans="1:9" x14ac:dyDescent="0.3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111</v>
      </c>
    </row>
    <row r="522" spans="1:9" x14ac:dyDescent="0.3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234</v>
      </c>
      <c r="D522" s="1" t="s">
        <v>111</v>
      </c>
      <c r="E522" s="1" t="s">
        <v>235</v>
      </c>
      <c r="F522" s="1" t="s">
        <v>236</v>
      </c>
      <c r="G522" s="1" t="s">
        <v>237</v>
      </c>
      <c r="H522" s="1" t="s">
        <v>238</v>
      </c>
      <c r="I522" s="1" t="s">
        <v>239</v>
      </c>
    </row>
    <row r="523" spans="1:9" x14ac:dyDescent="0.35">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1224</v>
      </c>
      <c r="D523" s="1" t="s">
        <v>111</v>
      </c>
      <c r="E523" s="1" t="s">
        <v>1225</v>
      </c>
      <c r="F523" s="1" t="s">
        <v>1226</v>
      </c>
      <c r="G523" s="1" t="s">
        <v>1227</v>
      </c>
      <c r="H523" s="1" t="s">
        <v>1228</v>
      </c>
      <c r="I523" s="1">
        <v>24</v>
      </c>
    </row>
    <row r="524" spans="1:9" x14ac:dyDescent="0.3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111</v>
      </c>
    </row>
    <row r="525" spans="1:9" x14ac:dyDescent="0.3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111</v>
      </c>
    </row>
    <row r="526" spans="1:9" x14ac:dyDescent="0.3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111</v>
      </c>
    </row>
    <row r="527" spans="1:9" x14ac:dyDescent="0.3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111</v>
      </c>
    </row>
    <row r="528" spans="1:9" x14ac:dyDescent="0.3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111</v>
      </c>
    </row>
    <row r="529" spans="1:7" x14ac:dyDescent="0.3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245</v>
      </c>
      <c r="D529" s="1" t="s">
        <v>109</v>
      </c>
      <c r="E529" s="1" t="s">
        <v>110</v>
      </c>
      <c r="F529" s="1" t="s">
        <v>111</v>
      </c>
      <c r="G529" s="1" t="s">
        <v>112</v>
      </c>
    </row>
    <row r="530" spans="1:7" x14ac:dyDescent="0.35">
      <c r="A530" s="1" t="str">
        <f t="shared" si="8"/>
        <v>17 Testo +  Saccharin 0,01</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1229</v>
      </c>
      <c r="D530" s="1" t="s">
        <v>1230</v>
      </c>
      <c r="E530" s="1" t="s">
        <v>1231</v>
      </c>
      <c r="F530" s="1" t="s">
        <v>111</v>
      </c>
      <c r="G530" s="1">
        <v>1875355</v>
      </c>
    </row>
    <row r="531" spans="1:7" x14ac:dyDescent="0.35">
      <c r="A531" s="1" t="str">
        <f t="shared" si="8"/>
        <v>17 Testo +  Saccharin 0,01</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1232</v>
      </c>
      <c r="D531" s="1" t="s">
        <v>1233</v>
      </c>
      <c r="E531" s="1" t="s">
        <v>1234</v>
      </c>
      <c r="F531" s="1" t="s">
        <v>111</v>
      </c>
      <c r="G531" s="1">
        <v>1333396</v>
      </c>
    </row>
    <row r="532" spans="1:7" x14ac:dyDescent="0.35">
      <c r="A532" s="1" t="str">
        <f t="shared" si="8"/>
        <v>17 Testo +  Saccharin 0,01</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1235</v>
      </c>
      <c r="D532" s="1" t="s">
        <v>1236</v>
      </c>
      <c r="E532" s="1" t="s">
        <v>1237</v>
      </c>
      <c r="F532" s="1" t="s">
        <v>111</v>
      </c>
      <c r="G532" s="1">
        <v>378653</v>
      </c>
    </row>
    <row r="533" spans="1:7" x14ac:dyDescent="0.35">
      <c r="A533" s="1" t="str">
        <f t="shared" si="8"/>
        <v>17 Testo +  Saccharin 0,01</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1238</v>
      </c>
    </row>
    <row r="534" spans="1:7" x14ac:dyDescent="0.35">
      <c r="A534" s="1" t="str">
        <f t="shared" si="8"/>
        <v>17 Testo +  Saccharin 0,01</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1239</v>
      </c>
      <c r="D534" s="1" t="s">
        <v>1240</v>
      </c>
      <c r="E534" s="1" t="s">
        <v>1241</v>
      </c>
      <c r="F534" s="1" t="s">
        <v>111</v>
      </c>
      <c r="G534" s="1">
        <v>2648278</v>
      </c>
    </row>
    <row r="535" spans="1:7" x14ac:dyDescent="0.35">
      <c r="A535" s="1" t="str">
        <f t="shared" si="8"/>
        <v>17 Testo +  Saccharin 0,01</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1242</v>
      </c>
      <c r="D535" s="1" t="s">
        <v>1243</v>
      </c>
      <c r="E535" s="1" t="s">
        <v>1244</v>
      </c>
      <c r="F535" s="1" t="s">
        <v>111</v>
      </c>
      <c r="G535" s="1">
        <v>2587476</v>
      </c>
    </row>
    <row r="536" spans="1:7" x14ac:dyDescent="0.35">
      <c r="A536" s="1" t="str">
        <f t="shared" si="8"/>
        <v>17 Testo +  Saccharin 0,01</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1245</v>
      </c>
    </row>
    <row r="537" spans="1:7" x14ac:dyDescent="0.35">
      <c r="A537" s="1" t="str">
        <f t="shared" si="8"/>
        <v>17 Testo +  Saccharin 0,01</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1246</v>
      </c>
      <c r="D537" s="1" t="s">
        <v>1247</v>
      </c>
      <c r="E537" s="1" t="s">
        <v>1248</v>
      </c>
      <c r="F537" s="1" t="s">
        <v>111</v>
      </c>
      <c r="G537" s="1">
        <v>1899083</v>
      </c>
    </row>
    <row r="538" spans="1:7" x14ac:dyDescent="0.35">
      <c r="A538" s="1" t="str">
        <f t="shared" si="8"/>
        <v>17 Testo +  Saccharin 0,01</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1249</v>
      </c>
      <c r="D538" s="1" t="s">
        <v>1250</v>
      </c>
      <c r="E538" s="1" t="s">
        <v>1251</v>
      </c>
      <c r="F538" s="1" t="s">
        <v>111</v>
      </c>
      <c r="G538" s="1">
        <v>1976280</v>
      </c>
    </row>
    <row r="539" spans="1:7" x14ac:dyDescent="0.35">
      <c r="A539" s="1" t="str">
        <f t="shared" si="8"/>
        <v>17 Testo +  Saccharin 0,01</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1252</v>
      </c>
      <c r="D539" s="1" t="s">
        <v>1253</v>
      </c>
      <c r="E539" s="1" t="s">
        <v>1254</v>
      </c>
      <c r="F539" s="1" t="s">
        <v>111</v>
      </c>
      <c r="G539" s="1">
        <v>144747</v>
      </c>
    </row>
    <row r="540" spans="1:7" x14ac:dyDescent="0.35">
      <c r="A540" s="1" t="str">
        <f t="shared" si="8"/>
        <v>17 Testo +  Saccharin 0,01</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1255</v>
      </c>
      <c r="D540" s="1" t="s">
        <v>705</v>
      </c>
      <c r="E540" s="1" t="s">
        <v>1256</v>
      </c>
      <c r="F540" s="1" t="s">
        <v>111</v>
      </c>
      <c r="G540" s="1">
        <v>86260</v>
      </c>
    </row>
    <row r="541" spans="1:7" x14ac:dyDescent="0.35">
      <c r="A541" s="1" t="str">
        <f t="shared" si="8"/>
        <v>17 Testo +  Saccharin 0,01</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1257</v>
      </c>
      <c r="D541" s="1" t="s">
        <v>1258</v>
      </c>
      <c r="E541" s="1" t="s">
        <v>1259</v>
      </c>
      <c r="F541" s="1" t="s">
        <v>111</v>
      </c>
      <c r="G541" s="1">
        <v>215282</v>
      </c>
    </row>
    <row r="542" spans="1:7" x14ac:dyDescent="0.35">
      <c r="A542" s="1" t="str">
        <f t="shared" si="8"/>
        <v>17 Testo +  Saccharin 0,01</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1260</v>
      </c>
      <c r="D542" s="1" t="s">
        <v>1261</v>
      </c>
      <c r="E542" s="1" t="s">
        <v>1262</v>
      </c>
      <c r="F542" s="1" t="s">
        <v>111</v>
      </c>
      <c r="G542" s="1">
        <v>2250136</v>
      </c>
    </row>
    <row r="543" spans="1:7" x14ac:dyDescent="0.35">
      <c r="A543" s="1" t="str">
        <f t="shared" si="8"/>
        <v>17 Testo +  Saccharin 0,01</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1263</v>
      </c>
      <c r="D543" s="1" t="s">
        <v>1264</v>
      </c>
      <c r="E543" s="1" t="s">
        <v>1265</v>
      </c>
      <c r="F543" s="1" t="s">
        <v>111</v>
      </c>
      <c r="G543" s="1">
        <v>2140581</v>
      </c>
    </row>
    <row r="544" spans="1:7" x14ac:dyDescent="0.35">
      <c r="A544" s="1" t="str">
        <f t="shared" si="8"/>
        <v>17 Testo +  Saccharin 0,01</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1266</v>
      </c>
      <c r="D544" s="1" t="s">
        <v>1267</v>
      </c>
      <c r="E544" s="1" t="s">
        <v>1268</v>
      </c>
      <c r="F544" s="1" t="s">
        <v>111</v>
      </c>
      <c r="G544" s="1">
        <v>2270014</v>
      </c>
    </row>
    <row r="545" spans="1:9" x14ac:dyDescent="0.35">
      <c r="A545" s="1" t="str">
        <f t="shared" si="8"/>
        <v>17 Testo +  Saccharin 0,01</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1269</v>
      </c>
      <c r="D545" s="1" t="s">
        <v>1270</v>
      </c>
      <c r="E545" s="1" t="s">
        <v>1121</v>
      </c>
      <c r="F545" s="1" t="s">
        <v>111</v>
      </c>
      <c r="G545" s="1">
        <v>2944413</v>
      </c>
    </row>
    <row r="546" spans="1:9" x14ac:dyDescent="0.35">
      <c r="A546" s="1" t="str">
        <f t="shared" si="8"/>
        <v>17 Testo +  Saccharin 0,01</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1271</v>
      </c>
      <c r="D546" s="1" t="s">
        <v>1272</v>
      </c>
      <c r="E546" s="1" t="s">
        <v>1273</v>
      </c>
      <c r="F546" s="1" t="s">
        <v>111</v>
      </c>
      <c r="G546" s="1">
        <v>2564181</v>
      </c>
    </row>
    <row r="547" spans="1:9" x14ac:dyDescent="0.35">
      <c r="A547" s="1" t="str">
        <f t="shared" si="8"/>
        <v>17 Testo +  Saccharin 0,01</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1274</v>
      </c>
      <c r="D547" s="1" t="s">
        <v>1275</v>
      </c>
      <c r="E547" s="1" t="s">
        <v>1276</v>
      </c>
      <c r="F547" s="1" t="s">
        <v>111</v>
      </c>
      <c r="G547" s="1">
        <v>2274578</v>
      </c>
    </row>
    <row r="548" spans="1:9" x14ac:dyDescent="0.35">
      <c r="A548" s="1" t="str">
        <f t="shared" si="8"/>
        <v>17 Testo +  Saccharin 0,01</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1277</v>
      </c>
      <c r="D548" s="1" t="s">
        <v>1278</v>
      </c>
      <c r="E548" s="1" t="s">
        <v>1279</v>
      </c>
      <c r="F548" s="1" t="s">
        <v>111</v>
      </c>
      <c r="G548" s="1">
        <v>729533</v>
      </c>
    </row>
    <row r="549" spans="1:9" x14ac:dyDescent="0.35">
      <c r="A549" s="1" t="str">
        <f t="shared" si="8"/>
        <v>17 Testo +  Saccharin 0,01</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1280</v>
      </c>
      <c r="D549" s="1" t="s">
        <v>1281</v>
      </c>
      <c r="E549" s="1" t="s">
        <v>1282</v>
      </c>
      <c r="F549" s="1" t="s">
        <v>111</v>
      </c>
      <c r="G549" s="1">
        <v>400672</v>
      </c>
    </row>
    <row r="550" spans="1:9" x14ac:dyDescent="0.35">
      <c r="A550" s="1" t="str">
        <f t="shared" si="8"/>
        <v>17 Testo +  Saccharin 0,01</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1283</v>
      </c>
      <c r="D550" s="1" t="s">
        <v>1284</v>
      </c>
      <c r="E550" s="1" t="s">
        <v>1285</v>
      </c>
      <c r="F550" s="1" t="s">
        <v>111</v>
      </c>
      <c r="G550" s="1">
        <v>720102</v>
      </c>
    </row>
    <row r="551" spans="1:9" x14ac:dyDescent="0.35">
      <c r="A551" s="1" t="str">
        <f t="shared" si="8"/>
        <v>17 Testo +  Saccharin 0,01</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1286</v>
      </c>
      <c r="D551" s="1" t="s">
        <v>1287</v>
      </c>
      <c r="E551" s="1" t="s">
        <v>1288</v>
      </c>
      <c r="F551" s="1" t="s">
        <v>111</v>
      </c>
      <c r="G551" s="1">
        <v>2563510</v>
      </c>
    </row>
    <row r="552" spans="1:9" x14ac:dyDescent="0.35">
      <c r="A552" s="1" t="str">
        <f t="shared" si="8"/>
        <v>17 Testo +  Saccharin 0,01</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1289</v>
      </c>
      <c r="D552" s="1" t="s">
        <v>1290</v>
      </c>
      <c r="E552" s="1" t="s">
        <v>1291</v>
      </c>
      <c r="F552" s="1" t="s">
        <v>111</v>
      </c>
      <c r="G552" s="1">
        <v>2469269</v>
      </c>
    </row>
    <row r="553" spans="1:9" x14ac:dyDescent="0.35">
      <c r="A553" s="1" t="str">
        <f t="shared" si="8"/>
        <v>17 Testo +  Saccharin 0,01</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1292</v>
      </c>
      <c r="D553" s="1" t="s">
        <v>1293</v>
      </c>
      <c r="E553" s="1" t="s">
        <v>1294</v>
      </c>
      <c r="F553" s="1" t="s">
        <v>111</v>
      </c>
      <c r="G553" s="1">
        <v>2819803</v>
      </c>
    </row>
    <row r="554" spans="1:9" x14ac:dyDescent="0.3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111</v>
      </c>
    </row>
    <row r="555" spans="1:9" x14ac:dyDescent="0.3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234</v>
      </c>
      <c r="D555" s="1" t="s">
        <v>111</v>
      </c>
      <c r="E555" s="1" t="s">
        <v>235</v>
      </c>
      <c r="F555" s="1" t="s">
        <v>236</v>
      </c>
      <c r="G555" s="1" t="s">
        <v>237</v>
      </c>
      <c r="H555" s="1" t="s">
        <v>238</v>
      </c>
      <c r="I555" s="1" t="s">
        <v>239</v>
      </c>
    </row>
    <row r="556" spans="1:9" x14ac:dyDescent="0.35">
      <c r="A556" s="1" t="str">
        <f t="shared" si="8"/>
        <v>17 Testo +  Saccharin 0,01</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1295</v>
      </c>
      <c r="D556" s="1" t="s">
        <v>111</v>
      </c>
      <c r="E556" s="1" t="s">
        <v>1296</v>
      </c>
      <c r="F556" s="1" t="s">
        <v>1297</v>
      </c>
      <c r="G556" s="1" t="s">
        <v>1298</v>
      </c>
      <c r="H556" s="1" t="s">
        <v>1299</v>
      </c>
      <c r="I556" s="1">
        <v>24</v>
      </c>
    </row>
    <row r="557" spans="1:9" x14ac:dyDescent="0.3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111</v>
      </c>
    </row>
    <row r="558" spans="1:9" x14ac:dyDescent="0.3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111</v>
      </c>
    </row>
    <row r="559" spans="1:9" x14ac:dyDescent="0.3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111</v>
      </c>
    </row>
    <row r="560" spans="1:9" x14ac:dyDescent="0.3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111</v>
      </c>
    </row>
    <row r="561" spans="1:7" x14ac:dyDescent="0.3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111</v>
      </c>
    </row>
    <row r="562" spans="1:7" x14ac:dyDescent="0.3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245</v>
      </c>
      <c r="D562" s="1" t="s">
        <v>109</v>
      </c>
      <c r="E562" s="1" t="s">
        <v>110</v>
      </c>
      <c r="F562" s="1" t="s">
        <v>111</v>
      </c>
      <c r="G562" s="1" t="s">
        <v>112</v>
      </c>
    </row>
    <row r="563" spans="1:7" x14ac:dyDescent="0.35">
      <c r="A563" s="1" t="str">
        <f t="shared" si="8"/>
        <v>18  Testo +  Saccharin 0,1</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1300</v>
      </c>
      <c r="D563" s="1" t="s">
        <v>1301</v>
      </c>
      <c r="E563" s="1" t="s">
        <v>1302</v>
      </c>
      <c r="F563" s="1" t="s">
        <v>111</v>
      </c>
      <c r="G563" s="1">
        <v>3158354</v>
      </c>
    </row>
    <row r="564" spans="1:7" x14ac:dyDescent="0.35">
      <c r="A564" s="1" t="str">
        <f t="shared" si="8"/>
        <v>18  Testo +  Saccharin 0,1</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1303</v>
      </c>
      <c r="D564" s="1" t="s">
        <v>1304</v>
      </c>
      <c r="E564" s="1" t="s">
        <v>1305</v>
      </c>
      <c r="F564" s="1" t="s">
        <v>111</v>
      </c>
      <c r="G564" s="1">
        <v>2705900</v>
      </c>
    </row>
    <row r="565" spans="1:7" x14ac:dyDescent="0.35">
      <c r="A565" s="1" t="str">
        <f t="shared" si="8"/>
        <v>18  Testo +  Saccharin 0,1</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1306</v>
      </c>
      <c r="D565" s="1" t="s">
        <v>1307</v>
      </c>
      <c r="E565" s="1" t="s">
        <v>1308</v>
      </c>
      <c r="F565" s="1" t="s">
        <v>111</v>
      </c>
      <c r="G565" s="1">
        <v>2833797</v>
      </c>
    </row>
    <row r="566" spans="1:7" x14ac:dyDescent="0.35">
      <c r="A566" s="1" t="str">
        <f t="shared" si="8"/>
        <v>18  Testo +  Saccharin 0,1</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1309</v>
      </c>
      <c r="D566" s="1" t="s">
        <v>1310</v>
      </c>
      <c r="E566" s="1" t="s">
        <v>1311</v>
      </c>
      <c r="F566" s="1" t="s">
        <v>111</v>
      </c>
      <c r="G566" s="1">
        <v>514164</v>
      </c>
    </row>
    <row r="567" spans="1:7" x14ac:dyDescent="0.35">
      <c r="A567" s="1" t="str">
        <f t="shared" si="8"/>
        <v>18  Testo +  Saccharin 0,1</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1312</v>
      </c>
    </row>
    <row r="568" spans="1:7" x14ac:dyDescent="0.35">
      <c r="A568" s="1" t="str">
        <f t="shared" si="8"/>
        <v>18  Testo +  Saccharin 0,1</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1313</v>
      </c>
      <c r="D568" s="1" t="s">
        <v>250</v>
      </c>
      <c r="E568" s="1" t="s">
        <v>1314</v>
      </c>
      <c r="F568" s="1" t="s">
        <v>111</v>
      </c>
      <c r="G568" s="1">
        <v>447328</v>
      </c>
    </row>
    <row r="569" spans="1:7" x14ac:dyDescent="0.35">
      <c r="A569" s="1" t="str">
        <f t="shared" si="8"/>
        <v>18  Testo +  Saccharin 0,1</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1315</v>
      </c>
      <c r="D569" s="1" t="s">
        <v>1316</v>
      </c>
      <c r="E569" s="1" t="s">
        <v>1317</v>
      </c>
      <c r="F569" s="1" t="s">
        <v>111</v>
      </c>
      <c r="G569" s="1">
        <v>395978</v>
      </c>
    </row>
    <row r="570" spans="1:7" x14ac:dyDescent="0.35">
      <c r="A570" s="1" t="str">
        <f t="shared" si="8"/>
        <v>18  Testo +  Saccharin 0,1</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1318</v>
      </c>
      <c r="D570" s="1" t="s">
        <v>1319</v>
      </c>
      <c r="E570" s="1" t="s">
        <v>1320</v>
      </c>
      <c r="F570" s="1" t="s">
        <v>111</v>
      </c>
      <c r="G570" s="1">
        <v>43498</v>
      </c>
    </row>
    <row r="571" spans="1:7" x14ac:dyDescent="0.35">
      <c r="A571" s="1" t="str">
        <f t="shared" si="8"/>
        <v>18  Testo +  Saccharin 0,1</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1321</v>
      </c>
      <c r="D571" s="1" t="s">
        <v>1322</v>
      </c>
      <c r="E571" s="1" t="s">
        <v>1323</v>
      </c>
      <c r="F571" s="1" t="s">
        <v>111</v>
      </c>
      <c r="G571" s="1">
        <v>198995</v>
      </c>
    </row>
    <row r="572" spans="1:7" x14ac:dyDescent="0.35">
      <c r="A572" s="1" t="str">
        <f t="shared" si="8"/>
        <v>18  Testo +  Saccharin 0,1</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1324</v>
      </c>
      <c r="D572" s="1" t="s">
        <v>1325</v>
      </c>
      <c r="E572" s="1" t="s">
        <v>1326</v>
      </c>
      <c r="F572" s="1" t="s">
        <v>111</v>
      </c>
      <c r="G572" s="1">
        <v>1830841</v>
      </c>
    </row>
    <row r="573" spans="1:7" x14ac:dyDescent="0.35">
      <c r="A573" s="1" t="str">
        <f t="shared" si="8"/>
        <v>18  Testo +  Saccharin 0,1</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1327</v>
      </c>
      <c r="D573" s="1" t="s">
        <v>1328</v>
      </c>
      <c r="E573" s="1" t="s">
        <v>1329</v>
      </c>
      <c r="F573" s="1" t="s">
        <v>111</v>
      </c>
      <c r="G573" s="1">
        <v>1506782</v>
      </c>
    </row>
    <row r="574" spans="1:7" x14ac:dyDescent="0.35">
      <c r="A574" s="1" t="str">
        <f t="shared" si="8"/>
        <v>18  Testo +  Saccharin 0,1</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1330</v>
      </c>
      <c r="D574" s="1" t="s">
        <v>1331</v>
      </c>
      <c r="E574" s="1" t="s">
        <v>1332</v>
      </c>
      <c r="F574" s="1" t="s">
        <v>111</v>
      </c>
      <c r="G574" s="1">
        <v>1222500</v>
      </c>
    </row>
    <row r="575" spans="1:7" x14ac:dyDescent="0.35">
      <c r="A575" s="1" t="str">
        <f t="shared" si="8"/>
        <v>18  Testo +  Saccharin 0,1</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1333</v>
      </c>
      <c r="D575" s="1" t="s">
        <v>1334</v>
      </c>
      <c r="E575" s="1" t="s">
        <v>1335</v>
      </c>
      <c r="F575" s="1" t="s">
        <v>111</v>
      </c>
      <c r="G575" s="1">
        <v>1060297</v>
      </c>
    </row>
    <row r="576" spans="1:7" x14ac:dyDescent="0.35">
      <c r="A576" s="1" t="str">
        <f t="shared" si="8"/>
        <v>18  Testo +  Saccharin 0,1</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1336</v>
      </c>
      <c r="D576" s="1" t="s">
        <v>1337</v>
      </c>
      <c r="E576" s="1" t="s">
        <v>1338</v>
      </c>
      <c r="F576" s="1" t="s">
        <v>111</v>
      </c>
      <c r="G576" s="1">
        <v>865239</v>
      </c>
    </row>
    <row r="577" spans="1:9" x14ac:dyDescent="0.35">
      <c r="A577" s="1" t="str">
        <f t="shared" si="8"/>
        <v>18  Testo +  Saccharin 0,1</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1339</v>
      </c>
      <c r="D577" s="1" t="s">
        <v>1340</v>
      </c>
      <c r="E577" s="1" t="s">
        <v>1341</v>
      </c>
      <c r="F577" s="1" t="s">
        <v>111</v>
      </c>
      <c r="G577" s="1">
        <v>906336</v>
      </c>
    </row>
    <row r="578" spans="1:9" x14ac:dyDescent="0.35">
      <c r="A578" s="1" t="str">
        <f t="shared" ref="A578:A641" si="9">IFERROR(LEFT(RIGHT(C578,LEN(C578)-SEARCH("@",C578)),SEARCH("/",RIGHT(C578,LEN(C578)-SEARCH("@",C578)-1))),"")</f>
        <v>18  Testo +  Saccharin 0,1</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1342</v>
      </c>
      <c r="D578" s="1" t="s">
        <v>214</v>
      </c>
      <c r="E578" s="1" t="s">
        <v>1343</v>
      </c>
      <c r="F578" s="1" t="s">
        <v>111</v>
      </c>
      <c r="G578" s="1">
        <v>31515</v>
      </c>
    </row>
    <row r="579" spans="1:9" x14ac:dyDescent="0.35">
      <c r="A579" s="1" t="str">
        <f t="shared" si="9"/>
        <v>18  Testo +  Saccharin 0,1</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1344</v>
      </c>
      <c r="D579" s="1" t="s">
        <v>1319</v>
      </c>
      <c r="E579" s="1">
        <v>64</v>
      </c>
      <c r="F579" s="1" t="s">
        <v>111</v>
      </c>
      <c r="G579" s="1">
        <v>44298</v>
      </c>
    </row>
    <row r="580" spans="1:9" x14ac:dyDescent="0.35">
      <c r="A580" s="1" t="str">
        <f t="shared" si="9"/>
        <v>18  Testo +  Saccharin 0,1</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1345</v>
      </c>
      <c r="D580" s="1" t="s">
        <v>365</v>
      </c>
      <c r="E580" s="1" t="s">
        <v>1346</v>
      </c>
      <c r="F580" s="1" t="s">
        <v>111</v>
      </c>
      <c r="G580" s="1">
        <v>27513</v>
      </c>
    </row>
    <row r="581" spans="1:9" x14ac:dyDescent="0.35">
      <c r="A581" s="1" t="str">
        <f t="shared" si="9"/>
        <v>18  Testo +  Saccharin 0,1</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1347</v>
      </c>
      <c r="D581" s="1" t="s">
        <v>1348</v>
      </c>
      <c r="E581" s="1" t="s">
        <v>1349</v>
      </c>
      <c r="F581" s="1" t="s">
        <v>111</v>
      </c>
      <c r="G581" s="1">
        <v>1732295</v>
      </c>
    </row>
    <row r="582" spans="1:9" x14ac:dyDescent="0.35">
      <c r="A582" s="1" t="str">
        <f t="shared" si="9"/>
        <v>18  Testo +  Saccharin 0,1</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1350</v>
      </c>
      <c r="D582" s="1" t="s">
        <v>1351</v>
      </c>
      <c r="E582" s="1" t="s">
        <v>1352</v>
      </c>
      <c r="F582" s="1" t="s">
        <v>111</v>
      </c>
      <c r="G582" s="1">
        <v>2367089</v>
      </c>
    </row>
    <row r="583" spans="1:9" x14ac:dyDescent="0.35">
      <c r="A583" s="1" t="str">
        <f t="shared" si="9"/>
        <v>18  Testo +  Saccharin 0,1</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1353</v>
      </c>
      <c r="D583" s="1" t="s">
        <v>1354</v>
      </c>
      <c r="E583" s="1" t="s">
        <v>1355</v>
      </c>
      <c r="F583" s="1" t="s">
        <v>111</v>
      </c>
      <c r="G583" s="1">
        <v>2294456</v>
      </c>
    </row>
    <row r="584" spans="1:9" x14ac:dyDescent="0.35">
      <c r="A584" s="1" t="str">
        <f t="shared" si="9"/>
        <v>18  Testo +  Saccharin 0,1</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1356</v>
      </c>
      <c r="D584" s="1" t="s">
        <v>1357</v>
      </c>
      <c r="E584" s="1" t="s">
        <v>1358</v>
      </c>
      <c r="F584" s="1" t="s">
        <v>111</v>
      </c>
      <c r="G584" s="1">
        <v>1318775</v>
      </c>
    </row>
    <row r="585" spans="1:9" x14ac:dyDescent="0.35">
      <c r="A585" s="1" t="str">
        <f t="shared" si="9"/>
        <v>18  Testo +  Saccharin 0,1</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1359</v>
      </c>
      <c r="D585" s="1" t="s">
        <v>878</v>
      </c>
      <c r="E585" s="1" t="s">
        <v>1360</v>
      </c>
      <c r="F585" s="1" t="s">
        <v>111</v>
      </c>
      <c r="G585" s="1">
        <v>94847</v>
      </c>
    </row>
    <row r="586" spans="1:9" x14ac:dyDescent="0.35">
      <c r="A586" s="1" t="str">
        <f t="shared" si="9"/>
        <v>18  Testo +  Saccharin 0,1</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1361</v>
      </c>
      <c r="D586" s="1" t="s">
        <v>1362</v>
      </c>
      <c r="E586" s="1" t="s">
        <v>1363</v>
      </c>
      <c r="F586" s="1" t="s">
        <v>111</v>
      </c>
      <c r="G586" s="1">
        <v>1047882</v>
      </c>
    </row>
    <row r="587" spans="1:9" x14ac:dyDescent="0.3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111</v>
      </c>
    </row>
    <row r="588" spans="1:9" x14ac:dyDescent="0.3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234</v>
      </c>
      <c r="D588" s="1" t="s">
        <v>111</v>
      </c>
      <c r="E588" s="1" t="s">
        <v>235</v>
      </c>
      <c r="F588" s="1" t="s">
        <v>236</v>
      </c>
      <c r="G588" s="1" t="s">
        <v>237</v>
      </c>
      <c r="H588" s="1" t="s">
        <v>238</v>
      </c>
      <c r="I588" s="1" t="s">
        <v>239</v>
      </c>
    </row>
    <row r="589" spans="1:9" x14ac:dyDescent="0.35">
      <c r="A589" s="1" t="str">
        <f t="shared" si="9"/>
        <v>18  Testo +  Saccharin 0,1</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1364</v>
      </c>
      <c r="D589" s="1" t="s">
        <v>111</v>
      </c>
      <c r="E589" s="1" t="s">
        <v>1365</v>
      </c>
      <c r="F589" s="1" t="s">
        <v>1366</v>
      </c>
      <c r="G589" s="1" t="s">
        <v>1367</v>
      </c>
      <c r="H589" s="1" t="s">
        <v>1368</v>
      </c>
      <c r="I589" s="1">
        <v>24</v>
      </c>
    </row>
    <row r="590" spans="1:9" x14ac:dyDescent="0.3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111</v>
      </c>
    </row>
    <row r="591" spans="1:9" x14ac:dyDescent="0.3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111</v>
      </c>
    </row>
    <row r="592" spans="1:9" x14ac:dyDescent="0.3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111</v>
      </c>
    </row>
    <row r="593" spans="1:7" x14ac:dyDescent="0.3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111</v>
      </c>
    </row>
    <row r="594" spans="1:7" x14ac:dyDescent="0.3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111</v>
      </c>
    </row>
    <row r="595" spans="1:7" x14ac:dyDescent="0.3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245</v>
      </c>
      <c r="D595" s="1" t="s">
        <v>109</v>
      </c>
      <c r="E595" s="1" t="s">
        <v>110</v>
      </c>
      <c r="F595" s="1" t="s">
        <v>111</v>
      </c>
      <c r="G595" s="1" t="s">
        <v>112</v>
      </c>
    </row>
    <row r="596" spans="1:7" x14ac:dyDescent="0.35">
      <c r="A596" s="1" t="str">
        <f t="shared" si="9"/>
        <v>19 Testo +  Saccharin 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1369</v>
      </c>
      <c r="D596" s="1" t="s">
        <v>1370</v>
      </c>
      <c r="E596" s="1" t="s">
        <v>1371</v>
      </c>
      <c r="F596" s="1" t="s">
        <v>111</v>
      </c>
      <c r="G596" s="1">
        <v>401191</v>
      </c>
    </row>
    <row r="597" spans="1:7" x14ac:dyDescent="0.35">
      <c r="A597" s="1" t="str">
        <f t="shared" si="9"/>
        <v>19 Testo +  Saccharin 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1372</v>
      </c>
      <c r="D597" s="1" t="s">
        <v>1373</v>
      </c>
      <c r="E597" s="1" t="s">
        <v>1374</v>
      </c>
      <c r="F597" s="1" t="s">
        <v>111</v>
      </c>
      <c r="G597" s="1">
        <v>30130</v>
      </c>
    </row>
    <row r="598" spans="1:7" x14ac:dyDescent="0.35">
      <c r="A598" s="1" t="str">
        <f t="shared" si="9"/>
        <v>19 Testo +  Saccharin 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1375</v>
      </c>
      <c r="D598" s="1" t="s">
        <v>356</v>
      </c>
      <c r="E598" s="1" t="s">
        <v>1376</v>
      </c>
      <c r="F598" s="1" t="s">
        <v>111</v>
      </c>
      <c r="G598" s="1">
        <v>158720</v>
      </c>
    </row>
    <row r="599" spans="1:7" x14ac:dyDescent="0.35">
      <c r="A599" s="1" t="str">
        <f t="shared" si="9"/>
        <v>19 Testo +  Saccharin 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1377</v>
      </c>
      <c r="D599" s="1" t="s">
        <v>1378</v>
      </c>
      <c r="E599" s="1" t="s">
        <v>1379</v>
      </c>
      <c r="F599" s="1" t="s">
        <v>111</v>
      </c>
      <c r="G599" s="1">
        <v>3258998</v>
      </c>
    </row>
    <row r="600" spans="1:7" x14ac:dyDescent="0.35">
      <c r="A600" s="1" t="str">
        <f t="shared" si="9"/>
        <v>19 Testo +  Saccharin 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1380</v>
      </c>
      <c r="D600" s="1" t="s">
        <v>1381</v>
      </c>
      <c r="E600" s="1" t="s">
        <v>1382</v>
      </c>
      <c r="F600" s="1" t="s">
        <v>111</v>
      </c>
      <c r="G600" s="1">
        <v>3121583</v>
      </c>
    </row>
    <row r="601" spans="1:7" x14ac:dyDescent="0.35">
      <c r="A601" s="1" t="str">
        <f t="shared" si="9"/>
        <v>19 Testo +  Saccharin 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1383</v>
      </c>
      <c r="D601" s="1" t="s">
        <v>1384</v>
      </c>
      <c r="E601" s="1" t="s">
        <v>1385</v>
      </c>
      <c r="F601" s="1" t="s">
        <v>111</v>
      </c>
      <c r="G601" s="1">
        <v>3270224</v>
      </c>
    </row>
    <row r="602" spans="1:7" x14ac:dyDescent="0.35">
      <c r="A602" s="1" t="str">
        <f t="shared" si="9"/>
        <v>19 Testo +  Saccharin 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1386</v>
      </c>
      <c r="D602" s="1" t="s">
        <v>1387</v>
      </c>
      <c r="E602" s="1" t="s">
        <v>1388</v>
      </c>
      <c r="F602" s="1" t="s">
        <v>111</v>
      </c>
      <c r="G602" s="1">
        <v>1136153</v>
      </c>
    </row>
    <row r="603" spans="1:7" x14ac:dyDescent="0.35">
      <c r="A603" s="1" t="str">
        <f t="shared" si="9"/>
        <v>19 Testo +  Saccharin 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1389</v>
      </c>
      <c r="D603" s="1" t="s">
        <v>1390</v>
      </c>
      <c r="E603" s="1" t="s">
        <v>1391</v>
      </c>
      <c r="F603" s="1" t="s">
        <v>111</v>
      </c>
      <c r="G603" s="1">
        <v>416419</v>
      </c>
    </row>
    <row r="604" spans="1:7" x14ac:dyDescent="0.35">
      <c r="A604" s="1" t="str">
        <f t="shared" si="9"/>
        <v>19 Testo +  Saccharin 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1392</v>
      </c>
      <c r="D604" s="1" t="s">
        <v>1393</v>
      </c>
      <c r="E604" s="1" t="s">
        <v>1394</v>
      </c>
      <c r="F604" s="1" t="s">
        <v>111</v>
      </c>
      <c r="G604" s="1">
        <v>429007</v>
      </c>
    </row>
    <row r="605" spans="1:7" x14ac:dyDescent="0.35">
      <c r="A605" s="1" t="str">
        <f t="shared" si="9"/>
        <v>19 Testo +  Saccharin 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1395</v>
      </c>
      <c r="D605" s="1" t="s">
        <v>1396</v>
      </c>
      <c r="E605" s="1" t="s">
        <v>1397</v>
      </c>
      <c r="F605" s="1" t="s">
        <v>111</v>
      </c>
      <c r="G605" s="1">
        <v>2305725</v>
      </c>
    </row>
    <row r="606" spans="1:7" x14ac:dyDescent="0.35">
      <c r="A606" s="1" t="str">
        <f t="shared" si="9"/>
        <v>19 Testo +  Saccharin 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1398</v>
      </c>
      <c r="D606" s="1" t="s">
        <v>1399</v>
      </c>
      <c r="E606" s="1" t="s">
        <v>1400</v>
      </c>
      <c r="F606" s="1" t="s">
        <v>111</v>
      </c>
      <c r="G606" s="1">
        <v>2259242</v>
      </c>
    </row>
    <row r="607" spans="1:7" x14ac:dyDescent="0.35">
      <c r="A607" s="1" t="str">
        <f t="shared" si="9"/>
        <v>19 Testo +  Saccharin 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1401</v>
      </c>
      <c r="D607" s="1" t="s">
        <v>1402</v>
      </c>
      <c r="E607" s="1" t="s">
        <v>1403</v>
      </c>
      <c r="F607" s="1" t="s">
        <v>111</v>
      </c>
      <c r="G607" s="1">
        <v>1569898</v>
      </c>
    </row>
    <row r="608" spans="1:7" x14ac:dyDescent="0.35">
      <c r="A608" s="1" t="str">
        <f t="shared" si="9"/>
        <v>19 Testo +  Saccharin 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1404</v>
      </c>
      <c r="D608" s="1" t="s">
        <v>1405</v>
      </c>
      <c r="E608" s="1" t="s">
        <v>1406</v>
      </c>
      <c r="F608" s="1" t="s">
        <v>111</v>
      </c>
      <c r="G608" s="1">
        <v>1579588</v>
      </c>
    </row>
    <row r="609" spans="1:9" x14ac:dyDescent="0.35">
      <c r="A609" s="1" t="str">
        <f t="shared" si="9"/>
        <v>19 Testo +  Saccharin 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1407</v>
      </c>
      <c r="D609" s="1" t="s">
        <v>1408</v>
      </c>
      <c r="E609" s="1" t="s">
        <v>1409</v>
      </c>
      <c r="F609" s="1" t="s">
        <v>111</v>
      </c>
      <c r="G609" s="1">
        <v>1105050</v>
      </c>
    </row>
    <row r="610" spans="1:9" x14ac:dyDescent="0.35">
      <c r="A610" s="1" t="str">
        <f t="shared" si="9"/>
        <v>19 Testo +  Saccharin 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1410</v>
      </c>
      <c r="D610" s="1" t="s">
        <v>1411</v>
      </c>
      <c r="E610" s="1" t="s">
        <v>1412</v>
      </c>
      <c r="F610" s="1" t="s">
        <v>111</v>
      </c>
      <c r="G610" s="1">
        <v>907872</v>
      </c>
    </row>
    <row r="611" spans="1:9" x14ac:dyDescent="0.35">
      <c r="A611" s="1" t="str">
        <f t="shared" si="9"/>
        <v>19 Testo +  Saccharin 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1413</v>
      </c>
      <c r="D611" s="1" t="s">
        <v>1414</v>
      </c>
      <c r="E611" s="1" t="s">
        <v>1415</v>
      </c>
      <c r="F611" s="1" t="s">
        <v>111</v>
      </c>
      <c r="G611" s="1">
        <v>3221275</v>
      </c>
    </row>
    <row r="612" spans="1:9" x14ac:dyDescent="0.35">
      <c r="A612" s="1" t="str">
        <f t="shared" si="9"/>
        <v>19 Testo +  Saccharin 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1416</v>
      </c>
      <c r="D612" s="1" t="s">
        <v>1417</v>
      </c>
      <c r="E612" s="1" t="s">
        <v>1418</v>
      </c>
      <c r="F612" s="1" t="s">
        <v>111</v>
      </c>
      <c r="G612" s="1">
        <v>2835528</v>
      </c>
    </row>
    <row r="613" spans="1:9" x14ac:dyDescent="0.35">
      <c r="A613" s="1" t="str">
        <f t="shared" si="9"/>
        <v>19 Testo +  Saccharin 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1419</v>
      </c>
      <c r="D613" s="1" t="s">
        <v>1420</v>
      </c>
      <c r="E613" s="1" t="s">
        <v>1421</v>
      </c>
      <c r="F613" s="1" t="s">
        <v>111</v>
      </c>
      <c r="G613" s="1">
        <v>2636922</v>
      </c>
    </row>
    <row r="614" spans="1:9" x14ac:dyDescent="0.35">
      <c r="A614" s="1" t="str">
        <f t="shared" si="9"/>
        <v>19 Testo +  Saccharin 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1422</v>
      </c>
      <c r="D614" s="1" t="s">
        <v>1423</v>
      </c>
      <c r="E614" s="1" t="s">
        <v>1424</v>
      </c>
      <c r="F614" s="1" t="s">
        <v>111</v>
      </c>
      <c r="G614" s="1">
        <v>2974478</v>
      </c>
    </row>
    <row r="615" spans="1:9" x14ac:dyDescent="0.35">
      <c r="A615" s="1" t="str">
        <f t="shared" si="9"/>
        <v>19 Testo +  Saccharin 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1425</v>
      </c>
      <c r="D615" s="1" t="s">
        <v>1426</v>
      </c>
      <c r="E615" s="1" t="s">
        <v>1427</v>
      </c>
      <c r="F615" s="1" t="s">
        <v>111</v>
      </c>
      <c r="G615" s="1">
        <v>2736593</v>
      </c>
    </row>
    <row r="616" spans="1:9" x14ac:dyDescent="0.35">
      <c r="A616" s="1" t="str">
        <f t="shared" si="9"/>
        <v>19 Testo +  Saccharin 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1428</v>
      </c>
      <c r="D616" s="1" t="s">
        <v>1429</v>
      </c>
      <c r="E616" s="1" t="s">
        <v>1430</v>
      </c>
      <c r="F616" s="1" t="s">
        <v>111</v>
      </c>
      <c r="G616" s="1">
        <v>2376001</v>
      </c>
    </row>
    <row r="617" spans="1:9" x14ac:dyDescent="0.35">
      <c r="A617" s="1" t="str">
        <f t="shared" si="9"/>
        <v>19 Testo +  Saccharin 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1431</v>
      </c>
      <c r="D617" s="1" t="s">
        <v>275</v>
      </c>
      <c r="E617" s="1">
        <v>64</v>
      </c>
      <c r="F617" s="1" t="s">
        <v>111</v>
      </c>
      <c r="G617" s="1">
        <v>26302</v>
      </c>
    </row>
    <row r="618" spans="1:9" x14ac:dyDescent="0.35">
      <c r="A618" s="1" t="str">
        <f t="shared" si="9"/>
        <v>19 Testo +  Saccharin 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1432</v>
      </c>
      <c r="D618" s="1" t="s">
        <v>297</v>
      </c>
      <c r="E618" s="1" t="s">
        <v>1433</v>
      </c>
      <c r="F618" s="1" t="s">
        <v>111</v>
      </c>
      <c r="G618" s="1">
        <v>35192</v>
      </c>
    </row>
    <row r="619" spans="1:9" x14ac:dyDescent="0.35">
      <c r="A619" s="1" t="str">
        <f t="shared" si="9"/>
        <v>19 Testo +  Saccharin 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1434</v>
      </c>
      <c r="D619" s="1" t="s">
        <v>1186</v>
      </c>
      <c r="E619" s="1" t="s">
        <v>1435</v>
      </c>
      <c r="F619" s="1" t="s">
        <v>111</v>
      </c>
      <c r="G619" s="1">
        <v>28876</v>
      </c>
    </row>
    <row r="620" spans="1:9" x14ac:dyDescent="0.3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111</v>
      </c>
    </row>
    <row r="621" spans="1:9" x14ac:dyDescent="0.3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234</v>
      </c>
      <c r="D621" s="1" t="s">
        <v>111</v>
      </c>
      <c r="E621" s="1" t="s">
        <v>235</v>
      </c>
      <c r="F621" s="1" t="s">
        <v>236</v>
      </c>
      <c r="G621" s="1" t="s">
        <v>237</v>
      </c>
      <c r="H621" s="1" t="s">
        <v>238</v>
      </c>
      <c r="I621" s="1" t="s">
        <v>239</v>
      </c>
    </row>
    <row r="622" spans="1:9" x14ac:dyDescent="0.35">
      <c r="A622" s="1" t="str">
        <f t="shared" si="9"/>
        <v>19 Testo +  Saccharin 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1436</v>
      </c>
      <c r="D622" s="1" t="s">
        <v>111</v>
      </c>
      <c r="E622" s="1" t="s">
        <v>1437</v>
      </c>
      <c r="F622" s="1" t="s">
        <v>1438</v>
      </c>
      <c r="G622" s="1" t="s">
        <v>1439</v>
      </c>
      <c r="H622" s="1" t="s">
        <v>1440</v>
      </c>
      <c r="I622" s="1">
        <v>24</v>
      </c>
    </row>
    <row r="623" spans="1:9" x14ac:dyDescent="0.3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111</v>
      </c>
    </row>
    <row r="624" spans="1:9" x14ac:dyDescent="0.3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111</v>
      </c>
    </row>
    <row r="625" spans="1:7" x14ac:dyDescent="0.3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111</v>
      </c>
    </row>
    <row r="626" spans="1:7" x14ac:dyDescent="0.3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111</v>
      </c>
    </row>
    <row r="627" spans="1:7" x14ac:dyDescent="0.3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111</v>
      </c>
    </row>
    <row r="628" spans="1:7" x14ac:dyDescent="0.3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245</v>
      </c>
      <c r="D628" s="1" t="s">
        <v>109</v>
      </c>
      <c r="E628" s="1" t="s">
        <v>110</v>
      </c>
      <c r="F628" s="1" t="s">
        <v>111</v>
      </c>
      <c r="G628" s="1" t="s">
        <v>112</v>
      </c>
    </row>
    <row r="629" spans="1:7" x14ac:dyDescent="0.35">
      <c r="A629" s="1" t="str">
        <f t="shared" si="9"/>
        <v>20 Testo +  Saccharin 10</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1441</v>
      </c>
      <c r="D629" s="1" t="s">
        <v>1442</v>
      </c>
      <c r="E629" s="1" t="s">
        <v>1443</v>
      </c>
      <c r="F629" s="1" t="s">
        <v>111</v>
      </c>
      <c r="G629" s="1">
        <v>2969222</v>
      </c>
    </row>
    <row r="630" spans="1:7" x14ac:dyDescent="0.35">
      <c r="A630" s="1" t="str">
        <f t="shared" si="9"/>
        <v>20 Testo +  Saccharin 10</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1444</v>
      </c>
      <c r="D630" s="1" t="s">
        <v>1445</v>
      </c>
      <c r="E630" s="1" t="s">
        <v>1446</v>
      </c>
      <c r="F630" s="1" t="s">
        <v>111</v>
      </c>
      <c r="G630" s="1">
        <v>3130927</v>
      </c>
    </row>
    <row r="631" spans="1:7" x14ac:dyDescent="0.35">
      <c r="A631" s="1" t="str">
        <f t="shared" si="9"/>
        <v>20 Testo +  Saccharin 10</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1447</v>
      </c>
      <c r="D631" s="1" t="s">
        <v>1448</v>
      </c>
      <c r="E631" s="1" t="s">
        <v>1449</v>
      </c>
      <c r="F631" s="1" t="s">
        <v>111</v>
      </c>
      <c r="G631" s="1">
        <v>2638999</v>
      </c>
    </row>
    <row r="632" spans="1:7" x14ac:dyDescent="0.35">
      <c r="A632" s="1" t="str">
        <f t="shared" si="9"/>
        <v>20 Testo +  Saccharin 10</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1450</v>
      </c>
      <c r="D632" s="1" t="s">
        <v>1451</v>
      </c>
      <c r="E632" s="1" t="s">
        <v>1452</v>
      </c>
      <c r="F632" s="1" t="s">
        <v>111</v>
      </c>
      <c r="G632" s="1">
        <v>81307</v>
      </c>
    </row>
    <row r="633" spans="1:7" x14ac:dyDescent="0.35">
      <c r="A633" s="1" t="str">
        <f t="shared" si="9"/>
        <v>20 Testo +  Saccharin 10</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1453</v>
      </c>
      <c r="D633" s="1" t="s">
        <v>708</v>
      </c>
      <c r="E633" s="1">
        <v>65</v>
      </c>
      <c r="F633" s="1" t="s">
        <v>111</v>
      </c>
      <c r="G633" s="1">
        <v>9842</v>
      </c>
    </row>
    <row r="634" spans="1:7" x14ac:dyDescent="0.35">
      <c r="A634" s="1" t="str">
        <f t="shared" si="9"/>
        <v>20 Testo +  Saccharin 10</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1454</v>
      </c>
      <c r="D634" s="1" t="s">
        <v>721</v>
      </c>
      <c r="E634" s="1" t="s">
        <v>1455</v>
      </c>
      <c r="F634" s="1" t="s">
        <v>111</v>
      </c>
      <c r="G634" s="1">
        <v>15357</v>
      </c>
    </row>
    <row r="635" spans="1:7" x14ac:dyDescent="0.35">
      <c r="A635" s="1" t="str">
        <f t="shared" si="9"/>
        <v>20 Testo +  Saccharin 10</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1456</v>
      </c>
      <c r="D635" s="1" t="s">
        <v>1457</v>
      </c>
      <c r="E635" s="1" t="s">
        <v>1458</v>
      </c>
      <c r="F635" s="1" t="s">
        <v>111</v>
      </c>
      <c r="G635" s="1">
        <v>339611</v>
      </c>
    </row>
    <row r="636" spans="1:7" x14ac:dyDescent="0.35">
      <c r="A636" s="1" t="str">
        <f t="shared" si="9"/>
        <v>20 Testo +  Saccharin 10</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1459</v>
      </c>
      <c r="D636" s="1" t="s">
        <v>1460</v>
      </c>
      <c r="E636" s="1" t="s">
        <v>1461</v>
      </c>
      <c r="F636" s="1" t="s">
        <v>111</v>
      </c>
      <c r="G636" s="1">
        <v>100298</v>
      </c>
    </row>
    <row r="637" spans="1:7" x14ac:dyDescent="0.35">
      <c r="A637" s="1" t="str">
        <f t="shared" si="9"/>
        <v>20 Testo +  Saccharin 10</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1462</v>
      </c>
      <c r="D637" s="1" t="s">
        <v>220</v>
      </c>
      <c r="E637" s="1" t="s">
        <v>1463</v>
      </c>
      <c r="F637" s="1" t="s">
        <v>111</v>
      </c>
      <c r="G637" s="1">
        <v>106008</v>
      </c>
    </row>
    <row r="638" spans="1:7" x14ac:dyDescent="0.35">
      <c r="A638" s="1" t="str">
        <f t="shared" si="9"/>
        <v>20 Testo +  Saccharin 10</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1464</v>
      </c>
    </row>
    <row r="639" spans="1:7" x14ac:dyDescent="0.35">
      <c r="A639" s="1" t="str">
        <f t="shared" si="9"/>
        <v>20 Testo +  Saccharin 10</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1465</v>
      </c>
      <c r="D639" s="1" t="s">
        <v>1466</v>
      </c>
      <c r="E639" s="1" t="s">
        <v>1467</v>
      </c>
      <c r="F639" s="1" t="s">
        <v>111</v>
      </c>
      <c r="G639" s="1">
        <v>1699396</v>
      </c>
    </row>
    <row r="640" spans="1:7" x14ac:dyDescent="0.35">
      <c r="A640" s="1" t="str">
        <f t="shared" si="9"/>
        <v>20 Testo +  Saccharin 10</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1468</v>
      </c>
      <c r="D640" s="1" t="s">
        <v>1469</v>
      </c>
      <c r="E640" s="1" t="s">
        <v>1470</v>
      </c>
      <c r="F640" s="1" t="s">
        <v>111</v>
      </c>
      <c r="G640" s="1">
        <v>1737659</v>
      </c>
    </row>
    <row r="641" spans="1:9" x14ac:dyDescent="0.35">
      <c r="A641" s="1" t="str">
        <f t="shared" si="9"/>
        <v>20 Testo +  Saccharin 10</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1471</v>
      </c>
      <c r="D641" s="1" t="s">
        <v>716</v>
      </c>
      <c r="E641" s="1" t="s">
        <v>1472</v>
      </c>
      <c r="F641" s="1" t="s">
        <v>111</v>
      </c>
      <c r="G641" s="1">
        <v>35581</v>
      </c>
    </row>
    <row r="642" spans="1:9" x14ac:dyDescent="0.35">
      <c r="A642" s="1" t="str">
        <f t="shared" ref="A642:A705" si="10">IFERROR(LEFT(RIGHT(C642,LEN(C642)-SEARCH("@",C642)),SEARCH("/",RIGHT(C642,LEN(C642)-SEARCH("@",C642)-1))),"")</f>
        <v>20 Testo +  Saccharin 10</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1473</v>
      </c>
      <c r="D642" s="1" t="s">
        <v>1474</v>
      </c>
      <c r="E642" s="1" t="s">
        <v>1475</v>
      </c>
      <c r="F642" s="1" t="s">
        <v>111</v>
      </c>
      <c r="G642" s="1">
        <v>24225</v>
      </c>
    </row>
    <row r="643" spans="1:9" x14ac:dyDescent="0.35">
      <c r="A643" s="1" t="str">
        <f t="shared" si="10"/>
        <v>20 Testo +  Saccharin 10</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1476</v>
      </c>
      <c r="D643" s="1" t="s">
        <v>217</v>
      </c>
      <c r="E643" s="1" t="s">
        <v>1477</v>
      </c>
      <c r="F643" s="1" t="s">
        <v>111</v>
      </c>
      <c r="G643" s="1">
        <v>16633</v>
      </c>
    </row>
    <row r="644" spans="1:9" x14ac:dyDescent="0.35">
      <c r="A644" s="1" t="str">
        <f t="shared" si="10"/>
        <v>20 Testo +  Saccharin 10</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1478</v>
      </c>
    </row>
    <row r="645" spans="1:9" x14ac:dyDescent="0.35">
      <c r="A645" s="1" t="str">
        <f t="shared" si="10"/>
        <v>20 Testo +  Saccharin 10</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1479</v>
      </c>
      <c r="D645" s="1" t="s">
        <v>1480</v>
      </c>
      <c r="E645" s="1" t="s">
        <v>1481</v>
      </c>
      <c r="F645" s="1" t="s">
        <v>111</v>
      </c>
      <c r="G645" s="1">
        <v>1321240</v>
      </c>
    </row>
    <row r="646" spans="1:9" x14ac:dyDescent="0.35">
      <c r="A646" s="1" t="str">
        <f t="shared" si="10"/>
        <v>20 Testo +  Saccharin 10</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1482</v>
      </c>
      <c r="D646" s="1" t="s">
        <v>1483</v>
      </c>
      <c r="E646" s="1" t="s">
        <v>1484</v>
      </c>
      <c r="F646" s="1" t="s">
        <v>111</v>
      </c>
      <c r="G646" s="1">
        <v>1364154</v>
      </c>
    </row>
    <row r="647" spans="1:9" x14ac:dyDescent="0.35">
      <c r="A647" s="1" t="str">
        <f t="shared" si="10"/>
        <v>20 Testo +  Saccharin 10</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1485</v>
      </c>
      <c r="D647" s="1" t="s">
        <v>1474</v>
      </c>
      <c r="E647" s="1" t="s">
        <v>1486</v>
      </c>
      <c r="F647" s="1" t="s">
        <v>111</v>
      </c>
      <c r="G647" s="1">
        <v>24507</v>
      </c>
    </row>
    <row r="648" spans="1:9" x14ac:dyDescent="0.35">
      <c r="A648" s="1" t="str">
        <f t="shared" si="10"/>
        <v>20 Testo +  Saccharin 10</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1487</v>
      </c>
      <c r="D648" s="1" t="s">
        <v>883</v>
      </c>
      <c r="E648" s="1" t="s">
        <v>1488</v>
      </c>
      <c r="F648" s="1" t="s">
        <v>111</v>
      </c>
      <c r="G648" s="1">
        <v>45077</v>
      </c>
    </row>
    <row r="649" spans="1:9" x14ac:dyDescent="0.35">
      <c r="A649" s="1" t="str">
        <f t="shared" si="10"/>
        <v>20 Testo +  Saccharin 10</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1489</v>
      </c>
      <c r="D649" s="1" t="s">
        <v>1490</v>
      </c>
      <c r="E649" s="1" t="s">
        <v>1491</v>
      </c>
      <c r="F649" s="1" t="s">
        <v>111</v>
      </c>
      <c r="G649" s="1">
        <v>54053</v>
      </c>
    </row>
    <row r="650" spans="1:9" x14ac:dyDescent="0.35">
      <c r="A650" s="1" t="str">
        <f t="shared" si="10"/>
        <v>20 Testo +  Saccharin 10</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1492</v>
      </c>
      <c r="D650" s="1" t="s">
        <v>1493</v>
      </c>
      <c r="E650" s="1" t="s">
        <v>1494</v>
      </c>
      <c r="F650" s="1" t="s">
        <v>111</v>
      </c>
      <c r="G650" s="1">
        <v>1997175</v>
      </c>
    </row>
    <row r="651" spans="1:9" x14ac:dyDescent="0.35">
      <c r="A651" s="1" t="str">
        <f t="shared" si="10"/>
        <v>20 Testo +  Saccharin 10</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1495</v>
      </c>
      <c r="D651" s="1" t="s">
        <v>1496</v>
      </c>
      <c r="E651" s="1" t="s">
        <v>1497</v>
      </c>
      <c r="F651" s="1" t="s">
        <v>111</v>
      </c>
      <c r="G651" s="1">
        <v>1669612</v>
      </c>
    </row>
    <row r="652" spans="1:9" x14ac:dyDescent="0.35">
      <c r="A652" s="1" t="str">
        <f t="shared" si="10"/>
        <v>20 Testo +  Saccharin 10</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1498</v>
      </c>
      <c r="D652" s="1" t="s">
        <v>1328</v>
      </c>
      <c r="E652" s="1" t="s">
        <v>1499</v>
      </c>
      <c r="F652" s="1" t="s">
        <v>111</v>
      </c>
      <c r="G652" s="1">
        <v>1491251</v>
      </c>
    </row>
    <row r="653" spans="1:9" x14ac:dyDescent="0.3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111</v>
      </c>
    </row>
    <row r="654" spans="1:9" x14ac:dyDescent="0.3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234</v>
      </c>
      <c r="D654" s="1" t="s">
        <v>111</v>
      </c>
      <c r="E654" s="1" t="s">
        <v>235</v>
      </c>
      <c r="F654" s="1" t="s">
        <v>236</v>
      </c>
      <c r="G654" s="1" t="s">
        <v>237</v>
      </c>
      <c r="H654" s="1" t="s">
        <v>238</v>
      </c>
      <c r="I654" s="1" t="s">
        <v>239</v>
      </c>
    </row>
    <row r="655" spans="1:9" x14ac:dyDescent="0.35">
      <c r="A655" s="1" t="str">
        <f t="shared" si="10"/>
        <v>20 Testo +  Saccharin 10</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1500</v>
      </c>
      <c r="D655" s="1" t="s">
        <v>111</v>
      </c>
      <c r="E655" s="1" t="s">
        <v>1501</v>
      </c>
      <c r="F655" s="1" t="s">
        <v>1502</v>
      </c>
      <c r="G655" s="1" t="s">
        <v>1503</v>
      </c>
      <c r="H655" s="1" t="s">
        <v>1504</v>
      </c>
      <c r="I655" s="1">
        <v>24</v>
      </c>
    </row>
    <row r="656" spans="1:9" x14ac:dyDescent="0.3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111</v>
      </c>
    </row>
    <row r="657" spans="1:7" x14ac:dyDescent="0.3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111</v>
      </c>
    </row>
    <row r="658" spans="1:7" x14ac:dyDescent="0.3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111</v>
      </c>
    </row>
    <row r="659" spans="1:7" x14ac:dyDescent="0.3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111</v>
      </c>
    </row>
    <row r="660" spans="1:7" x14ac:dyDescent="0.3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111</v>
      </c>
    </row>
    <row r="661" spans="1:7" x14ac:dyDescent="0.3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245</v>
      </c>
      <c r="D661" s="1" t="s">
        <v>109</v>
      </c>
      <c r="E661" s="1" t="s">
        <v>110</v>
      </c>
      <c r="F661" s="1" t="s">
        <v>111</v>
      </c>
      <c r="G661" s="1" t="s">
        <v>112</v>
      </c>
    </row>
    <row r="662" spans="1:7" x14ac:dyDescent="0.35">
      <c r="A662" s="1" t="str">
        <f t="shared" si="10"/>
        <v>21 Testo +   Saccharin 100</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1505</v>
      </c>
      <c r="D662" s="1" t="s">
        <v>335</v>
      </c>
      <c r="E662" s="1" t="s">
        <v>1506</v>
      </c>
      <c r="F662" s="1" t="s">
        <v>111</v>
      </c>
      <c r="G662" s="1">
        <v>37268</v>
      </c>
    </row>
    <row r="663" spans="1:7" x14ac:dyDescent="0.35">
      <c r="A663" s="1" t="str">
        <f t="shared" si="10"/>
        <v>21 Testo +   Saccharin 100</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1507</v>
      </c>
      <c r="D663" s="1" t="s">
        <v>474</v>
      </c>
      <c r="E663" s="1" t="s">
        <v>1508</v>
      </c>
      <c r="F663" s="1" t="s">
        <v>111</v>
      </c>
      <c r="G663" s="1">
        <v>81977</v>
      </c>
    </row>
    <row r="664" spans="1:7" x14ac:dyDescent="0.35">
      <c r="A664" s="1" t="str">
        <f t="shared" si="10"/>
        <v>21 Testo +   Saccharin 100</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1509</v>
      </c>
      <c r="D664" s="1" t="s">
        <v>1510</v>
      </c>
      <c r="E664" s="1" t="s">
        <v>1511</v>
      </c>
      <c r="F664" s="1" t="s">
        <v>111</v>
      </c>
      <c r="G664" s="1">
        <v>49662</v>
      </c>
    </row>
    <row r="665" spans="1:7" x14ac:dyDescent="0.35">
      <c r="A665" s="1" t="str">
        <f t="shared" si="10"/>
        <v>21 Testo +   Saccharin 100</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1512</v>
      </c>
      <c r="D665" s="1" t="s">
        <v>1513</v>
      </c>
      <c r="E665" s="1" t="s">
        <v>1514</v>
      </c>
      <c r="F665" s="1" t="s">
        <v>111</v>
      </c>
      <c r="G665" s="1">
        <v>4560166</v>
      </c>
    </row>
    <row r="666" spans="1:7" x14ac:dyDescent="0.35">
      <c r="A666" s="1" t="str">
        <f t="shared" si="10"/>
        <v>21 Testo +   Saccharin 100</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1515</v>
      </c>
      <c r="D666" s="1" t="s">
        <v>1516</v>
      </c>
      <c r="E666" s="1" t="s">
        <v>1517</v>
      </c>
      <c r="F666" s="1" t="s">
        <v>111</v>
      </c>
      <c r="G666" s="1">
        <v>3558377</v>
      </c>
    </row>
    <row r="667" spans="1:7" x14ac:dyDescent="0.35">
      <c r="A667" s="1" t="str">
        <f t="shared" si="10"/>
        <v>21 Testo +   Saccharin 100</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1518</v>
      </c>
      <c r="D667" s="1" t="s">
        <v>1519</v>
      </c>
      <c r="E667" s="1" t="s">
        <v>1520</v>
      </c>
      <c r="F667" s="1" t="s">
        <v>111</v>
      </c>
      <c r="G667" s="1">
        <v>3829292</v>
      </c>
    </row>
    <row r="668" spans="1:7" x14ac:dyDescent="0.35">
      <c r="A668" s="1" t="str">
        <f t="shared" si="10"/>
        <v>21 Testo +   Saccharin 100</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1521</v>
      </c>
      <c r="D668" s="1" t="s">
        <v>1522</v>
      </c>
      <c r="E668" s="1" t="s">
        <v>1523</v>
      </c>
      <c r="F668" s="1" t="s">
        <v>111</v>
      </c>
      <c r="G668" s="1">
        <v>3020788</v>
      </c>
    </row>
    <row r="669" spans="1:7" x14ac:dyDescent="0.35">
      <c r="A669" s="1" t="str">
        <f t="shared" si="10"/>
        <v>21 Testo +   Saccharin 100</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1524</v>
      </c>
      <c r="D669" s="1" t="s">
        <v>1525</v>
      </c>
      <c r="E669" s="1" t="s">
        <v>1526</v>
      </c>
      <c r="F669" s="1" t="s">
        <v>111</v>
      </c>
      <c r="G669" s="1">
        <v>2888737</v>
      </c>
    </row>
    <row r="670" spans="1:7" x14ac:dyDescent="0.35">
      <c r="A670" s="1" t="str">
        <f t="shared" si="10"/>
        <v>21 Testo +   Saccharin 100</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1527</v>
      </c>
      <c r="D670" s="1" t="s">
        <v>1528</v>
      </c>
      <c r="E670" s="1" t="s">
        <v>1529</v>
      </c>
      <c r="F670" s="1" t="s">
        <v>111</v>
      </c>
      <c r="G670" s="1">
        <v>3192205</v>
      </c>
    </row>
    <row r="671" spans="1:7" x14ac:dyDescent="0.35">
      <c r="A671" s="1" t="str">
        <f t="shared" si="10"/>
        <v>21 Testo +   Saccharin 100</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1530</v>
      </c>
      <c r="D671" s="1" t="s">
        <v>1531</v>
      </c>
      <c r="E671" s="1" t="s">
        <v>1532</v>
      </c>
      <c r="F671" s="1" t="s">
        <v>111</v>
      </c>
      <c r="G671" s="1">
        <v>138302</v>
      </c>
    </row>
    <row r="672" spans="1:7" x14ac:dyDescent="0.35">
      <c r="A672" s="1" t="str">
        <f t="shared" si="10"/>
        <v>21 Testo +   Saccharin 100</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1533</v>
      </c>
      <c r="D672" s="1" t="s">
        <v>211</v>
      </c>
      <c r="E672" s="1" t="s">
        <v>1534</v>
      </c>
      <c r="F672" s="1" t="s">
        <v>111</v>
      </c>
      <c r="G672" s="1">
        <v>42697</v>
      </c>
    </row>
    <row r="673" spans="1:9" x14ac:dyDescent="0.35">
      <c r="A673" s="1" t="str">
        <f t="shared" si="10"/>
        <v>21 Testo +   Saccharin 100</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1535</v>
      </c>
      <c r="D673" s="1" t="s">
        <v>1536</v>
      </c>
      <c r="E673" s="1" t="s">
        <v>1537</v>
      </c>
      <c r="F673" s="1" t="s">
        <v>111</v>
      </c>
      <c r="G673" s="1">
        <v>107760</v>
      </c>
    </row>
    <row r="674" spans="1:9" x14ac:dyDescent="0.35">
      <c r="A674" s="1" t="str">
        <f t="shared" si="10"/>
        <v>21 Testo +   Saccharin 100</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1538</v>
      </c>
      <c r="D674" s="1" t="s">
        <v>1539</v>
      </c>
      <c r="E674" s="1" t="s">
        <v>1540</v>
      </c>
      <c r="F674" s="1" t="s">
        <v>111</v>
      </c>
      <c r="G674" s="1">
        <v>3632914</v>
      </c>
    </row>
    <row r="675" spans="1:9" x14ac:dyDescent="0.35">
      <c r="A675" s="1" t="str">
        <f t="shared" si="10"/>
        <v>21 Testo +   Saccharin 100</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1541</v>
      </c>
      <c r="D675" s="1" t="s">
        <v>1542</v>
      </c>
      <c r="E675" s="1" t="s">
        <v>1543</v>
      </c>
      <c r="F675" s="1" t="s">
        <v>111</v>
      </c>
      <c r="G675" s="1">
        <v>3274160</v>
      </c>
    </row>
    <row r="676" spans="1:9" x14ac:dyDescent="0.35">
      <c r="A676" s="1" t="str">
        <f t="shared" si="10"/>
        <v>21 Testo +   Saccharin 100</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1544</v>
      </c>
      <c r="D676" s="1" t="s">
        <v>1545</v>
      </c>
      <c r="E676" s="1" t="s">
        <v>1546</v>
      </c>
      <c r="F676" s="1" t="s">
        <v>111</v>
      </c>
      <c r="G676" s="1">
        <v>3662460</v>
      </c>
    </row>
    <row r="677" spans="1:9" x14ac:dyDescent="0.35">
      <c r="A677" s="1" t="str">
        <f t="shared" si="10"/>
        <v>21 Testo +   Saccharin 100</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1547</v>
      </c>
      <c r="D677" s="1" t="s">
        <v>1548</v>
      </c>
      <c r="E677" s="1" t="s">
        <v>1549</v>
      </c>
      <c r="F677" s="1" t="s">
        <v>111</v>
      </c>
      <c r="G677" s="1">
        <v>717875</v>
      </c>
    </row>
    <row r="678" spans="1:9" x14ac:dyDescent="0.35">
      <c r="A678" s="1" t="str">
        <f t="shared" si="10"/>
        <v>21 Testo +   Saccharin 100</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1550</v>
      </c>
      <c r="D678" s="1" t="s">
        <v>1551</v>
      </c>
      <c r="E678" s="1" t="s">
        <v>1552</v>
      </c>
      <c r="F678" s="1" t="s">
        <v>111</v>
      </c>
      <c r="G678" s="1">
        <v>959675</v>
      </c>
    </row>
    <row r="679" spans="1:9" x14ac:dyDescent="0.35">
      <c r="A679" s="1" t="str">
        <f t="shared" si="10"/>
        <v>21 Testo +   Saccharin 100</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1553</v>
      </c>
      <c r="D679" s="1" t="s">
        <v>1554</v>
      </c>
      <c r="E679" s="1" t="s">
        <v>1555</v>
      </c>
      <c r="F679" s="1" t="s">
        <v>111</v>
      </c>
      <c r="G679" s="1">
        <v>597612</v>
      </c>
    </row>
    <row r="680" spans="1:9" x14ac:dyDescent="0.35">
      <c r="A680" s="1" t="str">
        <f t="shared" si="10"/>
        <v>21 Testo +   Saccharin 100</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1556</v>
      </c>
      <c r="D680" s="1" t="s">
        <v>1557</v>
      </c>
      <c r="E680" s="1" t="s">
        <v>1558</v>
      </c>
      <c r="F680" s="1" t="s">
        <v>111</v>
      </c>
      <c r="G680" s="1">
        <v>878390</v>
      </c>
    </row>
    <row r="681" spans="1:9" x14ac:dyDescent="0.35">
      <c r="A681" s="1" t="str">
        <f t="shared" si="10"/>
        <v>21 Testo +   Saccharin 100</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1559</v>
      </c>
      <c r="D681" s="1" t="s">
        <v>1560</v>
      </c>
      <c r="E681" s="1" t="s">
        <v>1561</v>
      </c>
      <c r="F681" s="1" t="s">
        <v>111</v>
      </c>
      <c r="G681" s="1">
        <v>1919913</v>
      </c>
    </row>
    <row r="682" spans="1:9" x14ac:dyDescent="0.35">
      <c r="A682" s="1" t="str">
        <f t="shared" si="10"/>
        <v>21 Testo +   Saccharin 100</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1562</v>
      </c>
      <c r="D682" s="1" t="s">
        <v>1563</v>
      </c>
      <c r="E682" s="1" t="s">
        <v>1564</v>
      </c>
      <c r="F682" s="1" t="s">
        <v>111</v>
      </c>
      <c r="G682" s="1">
        <v>1032179</v>
      </c>
    </row>
    <row r="683" spans="1:9" x14ac:dyDescent="0.35">
      <c r="A683" s="1" t="str">
        <f t="shared" si="10"/>
        <v>21 Testo +   Saccharin 100</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1565</v>
      </c>
      <c r="D683" s="1" t="s">
        <v>1566</v>
      </c>
      <c r="E683" s="1" t="s">
        <v>1567</v>
      </c>
      <c r="F683" s="1" t="s">
        <v>111</v>
      </c>
      <c r="G683" s="1">
        <v>731891</v>
      </c>
    </row>
    <row r="684" spans="1:9" x14ac:dyDescent="0.35">
      <c r="A684" s="1" t="str">
        <f t="shared" si="10"/>
        <v>21 Testo +   Saccharin 100</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1568</v>
      </c>
      <c r="D684" s="1" t="s">
        <v>1569</v>
      </c>
      <c r="E684" s="1" t="s">
        <v>1570</v>
      </c>
      <c r="F684" s="1" t="s">
        <v>111</v>
      </c>
      <c r="G684" s="1">
        <v>473565</v>
      </c>
    </row>
    <row r="685" spans="1:9" x14ac:dyDescent="0.35">
      <c r="A685" s="1" t="str">
        <f t="shared" si="10"/>
        <v>21 Testo +   Saccharin 100</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1571</v>
      </c>
      <c r="D685" s="1" t="s">
        <v>1572</v>
      </c>
      <c r="E685" s="1" t="s">
        <v>1573</v>
      </c>
      <c r="F685" s="1" t="s">
        <v>111</v>
      </c>
      <c r="G685" s="1">
        <v>576415</v>
      </c>
    </row>
    <row r="686" spans="1:9" x14ac:dyDescent="0.3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111</v>
      </c>
    </row>
    <row r="687" spans="1:9" x14ac:dyDescent="0.3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234</v>
      </c>
      <c r="D687" s="1" t="s">
        <v>111</v>
      </c>
      <c r="E687" s="1" t="s">
        <v>235</v>
      </c>
      <c r="F687" s="1" t="s">
        <v>236</v>
      </c>
      <c r="G687" s="1" t="s">
        <v>237</v>
      </c>
      <c r="H687" s="1" t="s">
        <v>238</v>
      </c>
      <c r="I687" s="1" t="s">
        <v>239</v>
      </c>
    </row>
    <row r="688" spans="1:9" x14ac:dyDescent="0.35">
      <c r="A688" s="1" t="str">
        <f t="shared" si="10"/>
        <v>21 Testo +   Saccharin 100</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1574</v>
      </c>
      <c r="D688" s="1" t="s">
        <v>111</v>
      </c>
      <c r="E688" s="1" t="s">
        <v>1575</v>
      </c>
      <c r="F688" s="1" t="s">
        <v>1576</v>
      </c>
      <c r="G688" s="1" t="s">
        <v>1577</v>
      </c>
      <c r="H688" s="1" t="s">
        <v>1578</v>
      </c>
      <c r="I688" s="1">
        <v>24</v>
      </c>
    </row>
    <row r="689" spans="1:4" x14ac:dyDescent="0.3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111</v>
      </c>
    </row>
    <row r="690" spans="1:4" x14ac:dyDescent="0.3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111</v>
      </c>
    </row>
    <row r="691" spans="1:4" x14ac:dyDescent="0.3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111</v>
      </c>
    </row>
    <row r="692" spans="1:4" x14ac:dyDescent="0.3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111</v>
      </c>
    </row>
    <row r="693" spans="1:4" x14ac:dyDescent="0.3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3" s="1" t="s">
        <v>111</v>
      </c>
    </row>
    <row r="694" spans="1:4" x14ac:dyDescent="0.3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111</v>
      </c>
    </row>
    <row r="695" spans="1:4" x14ac:dyDescent="0.3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5" s="1" t="s">
        <v>1579</v>
      </c>
    </row>
    <row r="696" spans="1:4" x14ac:dyDescent="0.3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6" s="1">
        <v>504</v>
      </c>
    </row>
    <row r="697" spans="1:4" x14ac:dyDescent="0.3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4" x14ac:dyDescent="0.3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4" x14ac:dyDescent="0.3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4" x14ac:dyDescent="0.3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4" x14ac:dyDescent="0.3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4" x14ac:dyDescent="0.3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4" x14ac:dyDescent="0.3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4" x14ac:dyDescent="0.3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opLeftCell="A24" zoomScale="85" zoomScaleNormal="85" zoomScaleSheetLayoutView="40" zoomScalePageLayoutView="30" workbookViewId="0">
      <pane xSplit="1" topLeftCell="H1" activePane="topRight" state="frozen"/>
      <selection pane="topRight" activeCell="J66" sqref="J66"/>
    </sheetView>
  </sheetViews>
  <sheetFormatPr baseColWidth="10" defaultColWidth="9.1796875" defaultRowHeight="14.5" x14ac:dyDescent="0.35"/>
  <cols>
    <col min="1" max="1" width="29.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8.26953125" bestFit="1" customWidth="1"/>
    <col min="15" max="15" width="14.81640625" customWidth="1"/>
    <col min="16" max="16" width="17.7265625" customWidth="1"/>
    <col min="17" max="18" width="25.81640625" bestFit="1" customWidth="1"/>
    <col min="19" max="22" width="25.81640625" style="1" customWidth="1"/>
  </cols>
  <sheetData>
    <row r="1" spans="1:22" s="1" customFormat="1" ht="26.5" thickBot="1" x14ac:dyDescent="0.65">
      <c r="A1" s="210" t="s">
        <v>40</v>
      </c>
      <c r="B1" s="211"/>
      <c r="C1" s="211"/>
      <c r="D1" s="211"/>
      <c r="E1" s="211"/>
      <c r="F1" s="211"/>
      <c r="G1" s="211"/>
      <c r="H1" s="211"/>
      <c r="I1" s="211"/>
      <c r="J1" s="211"/>
      <c r="K1" s="211"/>
      <c r="L1" s="211"/>
      <c r="M1" s="211"/>
      <c r="N1" s="211"/>
      <c r="O1" s="211"/>
      <c r="P1" s="211"/>
      <c r="Q1" s="211"/>
      <c r="R1" s="211"/>
      <c r="S1" s="211"/>
      <c r="T1" s="211"/>
      <c r="U1" s="211"/>
      <c r="V1" s="211"/>
    </row>
    <row r="2" spans="1:22" ht="15" thickBot="1" x14ac:dyDescent="0.4">
      <c r="A2"/>
      <c r="B2"/>
      <c r="C2"/>
      <c r="D2"/>
      <c r="E2"/>
      <c r="F2"/>
      <c r="G2"/>
      <c r="H2"/>
      <c r="I2"/>
      <c r="J2"/>
      <c r="K2"/>
      <c r="L2"/>
      <c r="M2"/>
      <c r="S2"/>
      <c r="T2"/>
      <c r="U2"/>
      <c r="V2"/>
    </row>
    <row r="3" spans="1:22" ht="15" thickBot="1" x14ac:dyDescent="0.4">
      <c r="A3" s="51" t="s">
        <v>17</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Saccharin-0,01mg/L</v>
      </c>
      <c r="J4" s="35" t="str">
        <f>'Page de garde'!A15</f>
        <v>Saccharin-0,1mg/L</v>
      </c>
      <c r="K4" s="35" t="str">
        <f>'Page de garde'!A16</f>
        <v>Saccharin-1mg/L</v>
      </c>
      <c r="L4" s="35" t="str">
        <f>'Page de garde'!A17</f>
        <v>Saccharin-10mg/L</v>
      </c>
      <c r="M4" s="35" t="str">
        <f>'Page de garde'!A18</f>
        <v>Saccharin-100mg/L</v>
      </c>
      <c r="N4" s="3"/>
      <c r="O4" s="36" t="str">
        <f>'Page de garde'!A35</f>
        <v>Testo -30µg/L</v>
      </c>
      <c r="P4" s="36" t="str">
        <f>'Page de garde'!A36</f>
        <v>Testo 30µg/L + EE2 -64ng/L</v>
      </c>
      <c r="Q4" s="36" t="str">
        <f>'Page de garde'!A37</f>
        <v>Testo 30µg/L + FAD-10mg/L</v>
      </c>
      <c r="R4" s="36" t="str">
        <f>'Page de garde'!A38</f>
        <v>Saccharin-0,01mg/L + Testostérone</v>
      </c>
      <c r="S4" s="36" t="str">
        <f>'Page de garde'!A39</f>
        <v>Saccharin-0,1mg/L + Testostérone</v>
      </c>
      <c r="T4" s="36" t="str">
        <f>'Page de garde'!A40</f>
        <v>Saccharin-1mg/L + Testostérone</v>
      </c>
      <c r="U4" s="36" t="str">
        <f>'Page de garde'!A41</f>
        <v>Saccharin-10mg/L + Testostérone</v>
      </c>
      <c r="V4" s="36" t="str">
        <f>'Page de garde'!A42</f>
        <v>Saccharin-100mg/L + Testostérone</v>
      </c>
    </row>
    <row r="5" spans="1:22" ht="16.5" x14ac:dyDescent="0.35">
      <c r="A5" s="214" t="s">
        <v>33</v>
      </c>
      <c r="B5" s="73">
        <v>152937.66666666666</v>
      </c>
      <c r="C5" s="13">
        <v>307050.66666666669</v>
      </c>
      <c r="D5" s="32">
        <v>99237.666666666672</v>
      </c>
      <c r="E5" s="32">
        <v>470320.5</v>
      </c>
      <c r="F5" s="32">
        <v>379561.33333333331</v>
      </c>
      <c r="G5" s="32">
        <v>2830481</v>
      </c>
      <c r="H5" s="32">
        <v>4610368.666666667</v>
      </c>
      <c r="I5" s="32">
        <v>25588.5</v>
      </c>
      <c r="J5" s="16">
        <v>121005</v>
      </c>
      <c r="K5" s="13">
        <v>10415</v>
      </c>
      <c r="L5" s="13">
        <v>16431.666666666668</v>
      </c>
      <c r="M5" s="13">
        <v>493529</v>
      </c>
      <c r="N5" s="3"/>
      <c r="O5" s="32">
        <v>2772620.6666666665</v>
      </c>
      <c r="P5" s="13">
        <v>3579999.6666666665</v>
      </c>
      <c r="Q5" s="13">
        <v>37484.666666666664</v>
      </c>
      <c r="R5" s="4">
        <v>1195801.3333333333</v>
      </c>
      <c r="S5" s="32">
        <v>2899350.3333333335</v>
      </c>
      <c r="T5" s="32">
        <v>196680.33333333334</v>
      </c>
      <c r="U5" s="32">
        <v>2913049.3333333335</v>
      </c>
      <c r="V5" s="32">
        <v>56302.333333333336</v>
      </c>
    </row>
    <row r="6" spans="1:22" ht="16.5" x14ac:dyDescent="0.35">
      <c r="A6" s="215"/>
      <c r="B6" s="73">
        <v>184005.66666666666</v>
      </c>
      <c r="C6" s="13">
        <v>599494</v>
      </c>
      <c r="D6" s="32">
        <v>48591.5</v>
      </c>
      <c r="E6" s="32">
        <v>1371025.6666666667</v>
      </c>
      <c r="F6" s="32">
        <v>360527</v>
      </c>
      <c r="G6" s="32">
        <v>2984211.6666666665</v>
      </c>
      <c r="H6" s="32">
        <v>3028480.6666666665</v>
      </c>
      <c r="I6" s="32">
        <v>10220</v>
      </c>
      <c r="J6" s="16">
        <v>27433.666666666668</v>
      </c>
      <c r="K6" s="13">
        <v>88163.666666666672</v>
      </c>
      <c r="L6" s="13">
        <v>38079.5</v>
      </c>
      <c r="M6" s="13">
        <v>126506.33333333333</v>
      </c>
      <c r="N6" s="3"/>
      <c r="O6" s="32">
        <v>1881700</v>
      </c>
      <c r="P6" s="13">
        <v>4700659.333333333</v>
      </c>
      <c r="Q6" s="13">
        <v>55596</v>
      </c>
      <c r="R6" s="4">
        <v>2617877</v>
      </c>
      <c r="S6" s="32">
        <v>480746</v>
      </c>
      <c r="T6" s="32">
        <v>3216935</v>
      </c>
      <c r="U6" s="32">
        <v>35502</v>
      </c>
      <c r="V6" s="32">
        <v>3982611.6666666665</v>
      </c>
    </row>
    <row r="7" spans="1:22" ht="16.5" x14ac:dyDescent="0.35">
      <c r="A7" s="215"/>
      <c r="B7" s="73">
        <v>438899.33333333331</v>
      </c>
      <c r="C7" s="13">
        <v>100810</v>
      </c>
      <c r="D7" s="32">
        <v>74421.333333333328</v>
      </c>
      <c r="E7" s="32">
        <v>105820.66666666667</v>
      </c>
      <c r="F7" s="32">
        <v>92828.333333333328</v>
      </c>
      <c r="G7" s="32">
        <v>2609243</v>
      </c>
      <c r="H7" s="32">
        <v>6051532.666666667</v>
      </c>
      <c r="I7" s="32">
        <v>26835.666666666668</v>
      </c>
      <c r="J7" s="16">
        <v>367629</v>
      </c>
      <c r="K7" s="13">
        <v>44161.333333333336</v>
      </c>
      <c r="L7" s="13">
        <v>315090.33333333331</v>
      </c>
      <c r="M7" s="13">
        <v>18688</v>
      </c>
      <c r="N7" s="3"/>
      <c r="O7" s="32">
        <v>2763752.3333333335</v>
      </c>
      <c r="P7" s="13">
        <v>1981569</v>
      </c>
      <c r="Q7" s="13">
        <v>97450</v>
      </c>
      <c r="R7" s="4">
        <v>1937681.5</v>
      </c>
      <c r="S7" s="32">
        <v>212823.66666666666</v>
      </c>
      <c r="T7" s="32">
        <v>660526.33333333337</v>
      </c>
      <c r="U7" s="32">
        <v>181972.33333333334</v>
      </c>
      <c r="V7" s="32">
        <v>3033910</v>
      </c>
    </row>
    <row r="8" spans="1:22" ht="16.5" x14ac:dyDescent="0.35">
      <c r="A8" s="215"/>
      <c r="B8" s="73">
        <v>334722.66666666669</v>
      </c>
      <c r="C8" s="13">
        <v>28472</v>
      </c>
      <c r="D8" s="32">
        <v>85885</v>
      </c>
      <c r="E8" s="32">
        <v>471589.33333333331</v>
      </c>
      <c r="F8" s="32">
        <v>462245.33333333331</v>
      </c>
      <c r="G8" s="32">
        <v>2949214.3333333335</v>
      </c>
      <c r="H8" s="32">
        <v>4312474.666666667</v>
      </c>
      <c r="I8" s="32">
        <v>98704.333333333328</v>
      </c>
      <c r="J8" s="16">
        <v>15198.333333333334</v>
      </c>
      <c r="K8" s="13">
        <v>70535.333333333328</v>
      </c>
      <c r="L8" s="13">
        <v>680855</v>
      </c>
      <c r="M8" s="13">
        <v>87611.5</v>
      </c>
      <c r="N8" s="3"/>
      <c r="O8" s="32">
        <v>744641.5</v>
      </c>
      <c r="P8" s="13">
        <v>3080248.3333333335</v>
      </c>
      <c r="Q8" s="13">
        <v>224165.33333333334</v>
      </c>
      <c r="R8" s="4">
        <v>148763</v>
      </c>
      <c r="S8" s="32">
        <v>1520041</v>
      </c>
      <c r="T8" s="32">
        <v>2044955</v>
      </c>
      <c r="U8" s="32">
        <v>1718527.5</v>
      </c>
      <c r="V8" s="32">
        <v>96253</v>
      </c>
    </row>
    <row r="9" spans="1:22" ht="16.5" x14ac:dyDescent="0.35">
      <c r="A9" s="215"/>
      <c r="B9" s="73">
        <v>93225</v>
      </c>
      <c r="C9" s="13">
        <v>78452</v>
      </c>
      <c r="D9" s="32">
        <v>65171</v>
      </c>
      <c r="E9" s="32">
        <v>271340</v>
      </c>
      <c r="F9" s="32">
        <v>1018696.3333333334</v>
      </c>
      <c r="G9" s="32">
        <v>3293786</v>
      </c>
      <c r="H9" s="32">
        <v>6634898</v>
      </c>
      <c r="I9" s="32">
        <v>8651.6666666666661</v>
      </c>
      <c r="J9" s="16">
        <v>38544.333333333336</v>
      </c>
      <c r="K9" s="13">
        <v>23973.333333333332</v>
      </c>
      <c r="L9" s="13">
        <v>52813</v>
      </c>
      <c r="M9" s="13"/>
      <c r="N9" s="3"/>
      <c r="O9" s="32">
        <v>2508938</v>
      </c>
      <c r="P9" s="13">
        <v>4885666.666666667</v>
      </c>
      <c r="Q9" s="13">
        <v>390556.33333333331</v>
      </c>
      <c r="R9" s="4">
        <v>2220243.6666666665</v>
      </c>
      <c r="S9" s="32">
        <v>943957.33333333337</v>
      </c>
      <c r="T9" s="32">
        <v>1197503.3333333333</v>
      </c>
      <c r="U9" s="32">
        <v>25479.666666666668</v>
      </c>
      <c r="V9" s="32">
        <v>3523178</v>
      </c>
    </row>
    <row r="10" spans="1:22" ht="16.5" x14ac:dyDescent="0.35">
      <c r="A10" s="215"/>
      <c r="B10" s="73">
        <v>29243.666666666668</v>
      </c>
      <c r="C10" s="13">
        <v>78019.333333333328</v>
      </c>
      <c r="D10" s="32">
        <v>301455.66666666669</v>
      </c>
      <c r="E10" s="32">
        <v>332523.33333333331</v>
      </c>
      <c r="F10" s="32">
        <v>123128</v>
      </c>
      <c r="G10" s="32">
        <v>1338631</v>
      </c>
      <c r="H10" s="32">
        <v>2866898.6666666665</v>
      </c>
      <c r="I10" s="32">
        <v>138482</v>
      </c>
      <c r="J10" s="16">
        <v>9243</v>
      </c>
      <c r="K10" s="13">
        <v>261051.5</v>
      </c>
      <c r="L10" s="13">
        <v>375862.66666666669</v>
      </c>
      <c r="M10" s="13">
        <v>129930.66666666667</v>
      </c>
      <c r="N10" s="3"/>
      <c r="O10" s="32">
        <v>1199637.3333333333</v>
      </c>
      <c r="P10" s="13">
        <v>3156119</v>
      </c>
      <c r="Q10" s="13">
        <v>277327.5</v>
      </c>
      <c r="R10" s="4">
        <v>2594390.6666666665</v>
      </c>
      <c r="S10" s="32">
        <v>34442</v>
      </c>
      <c r="T10" s="32">
        <v>2897908.3333333335</v>
      </c>
      <c r="U10" s="32">
        <v>1342697</v>
      </c>
      <c r="V10" s="32">
        <v>758387.33333333337</v>
      </c>
    </row>
    <row r="11" spans="1:22" ht="16.5" x14ac:dyDescent="0.35">
      <c r="A11" s="215"/>
      <c r="B11" s="73">
        <v>87979.5</v>
      </c>
      <c r="C11" s="13">
        <v>50138</v>
      </c>
      <c r="D11" s="32">
        <v>190170</v>
      </c>
      <c r="E11" s="32">
        <v>288153.66666666669</v>
      </c>
      <c r="F11" s="32">
        <v>4645885</v>
      </c>
      <c r="G11" s="32">
        <v>2066823</v>
      </c>
      <c r="H11" s="32">
        <v>4878125</v>
      </c>
      <c r="I11" s="32">
        <v>30822.666666666668</v>
      </c>
      <c r="J11" s="16">
        <v>21572</v>
      </c>
      <c r="K11" s="13">
        <v>124588</v>
      </c>
      <c r="L11" s="13">
        <v>88502.333333333328</v>
      </c>
      <c r="M11" s="13">
        <v>14196.333333333334</v>
      </c>
      <c r="N11" s="3"/>
      <c r="O11" s="32">
        <v>2409685.3333333335</v>
      </c>
      <c r="P11" s="13">
        <v>5201823.666666667</v>
      </c>
      <c r="Q11" s="13">
        <v>125453.33333333333</v>
      </c>
      <c r="R11" s="4">
        <v>616769</v>
      </c>
      <c r="S11" s="32">
        <v>2131280</v>
      </c>
      <c r="T11" s="32">
        <v>2695690.6666666665</v>
      </c>
      <c r="U11" s="32">
        <v>41212.333333333336</v>
      </c>
      <c r="V11" s="32">
        <v>1276827.3333333333</v>
      </c>
    </row>
    <row r="12" spans="1:22" ht="16.5" x14ac:dyDescent="0.35">
      <c r="A12" s="215"/>
      <c r="B12" s="73">
        <v>102857.66666666667</v>
      </c>
      <c r="C12" s="13">
        <v>376591</v>
      </c>
      <c r="D12" s="32">
        <v>658695</v>
      </c>
      <c r="E12" s="32">
        <v>559435.66666666663</v>
      </c>
      <c r="F12" s="32">
        <v>1825678.3333333333</v>
      </c>
      <c r="G12" s="32">
        <v>621037.66666666663</v>
      </c>
      <c r="H12" s="32">
        <v>3912538</v>
      </c>
      <c r="I12" s="32">
        <v>7830.333333333333</v>
      </c>
      <c r="J12" s="16">
        <v>539666</v>
      </c>
      <c r="K12" s="13">
        <v>59943.666666666664</v>
      </c>
      <c r="L12" s="13">
        <v>91242</v>
      </c>
      <c r="M12" s="13">
        <v>58400.666666666664</v>
      </c>
      <c r="N12" s="3"/>
      <c r="O12" s="32">
        <v>1684759.6666666667</v>
      </c>
      <c r="P12" s="13">
        <v>2743651.3333333335</v>
      </c>
      <c r="Q12" s="13">
        <v>292306</v>
      </c>
      <c r="R12" s="4">
        <v>2617527.3333333335</v>
      </c>
      <c r="S12" s="32">
        <v>820501.33333333337</v>
      </c>
      <c r="T12" s="32">
        <v>30123.333333333332</v>
      </c>
      <c r="U12" s="32">
        <v>1719346</v>
      </c>
      <c r="V12" s="32">
        <v>593957</v>
      </c>
    </row>
    <row r="13" spans="1:22" ht="16.5" x14ac:dyDescent="0.35">
      <c r="A13" s="215"/>
      <c r="B13" s="14"/>
      <c r="C13" s="13"/>
      <c r="D13" s="16"/>
      <c r="E13" s="16"/>
      <c r="F13" s="16"/>
      <c r="G13" s="16"/>
      <c r="H13" s="16"/>
      <c r="I13" s="32"/>
      <c r="J13" s="16"/>
      <c r="K13" s="13"/>
      <c r="L13" s="13"/>
      <c r="M13" s="13"/>
      <c r="N13" s="3"/>
      <c r="O13" s="32">
        <v>416808</v>
      </c>
      <c r="P13" s="13"/>
      <c r="Q13" s="13"/>
      <c r="R13" s="4"/>
      <c r="S13" s="32"/>
      <c r="T13" s="32"/>
      <c r="U13" s="32"/>
      <c r="V13" s="32"/>
    </row>
    <row r="14" spans="1:22" ht="16.5" x14ac:dyDescent="0.35">
      <c r="A14" s="215"/>
      <c r="B14" s="14"/>
      <c r="C14" s="16"/>
      <c r="D14" s="16"/>
      <c r="E14" s="16"/>
      <c r="F14" s="16"/>
      <c r="G14" s="16"/>
      <c r="H14" s="16"/>
      <c r="I14" s="32"/>
      <c r="J14" s="16"/>
      <c r="K14" s="13"/>
      <c r="L14" s="13"/>
      <c r="M14" s="13"/>
      <c r="N14" s="3"/>
      <c r="O14" s="32">
        <v>2236416</v>
      </c>
      <c r="P14" s="13"/>
      <c r="Q14" s="13"/>
      <c r="R14" s="4"/>
      <c r="S14" s="32"/>
      <c r="T14" s="32"/>
      <c r="U14" s="32"/>
      <c r="V14" s="32"/>
    </row>
    <row r="15" spans="1:22" ht="16.5" x14ac:dyDescent="0.35">
      <c r="A15" s="215"/>
      <c r="B15" s="14"/>
      <c r="C15" s="16"/>
      <c r="D15" s="16"/>
      <c r="E15" s="16"/>
      <c r="F15" s="16"/>
      <c r="G15" s="16"/>
      <c r="H15" s="16"/>
      <c r="I15" s="32"/>
      <c r="J15" s="16"/>
      <c r="K15" s="13"/>
      <c r="L15" s="13"/>
      <c r="M15" s="13"/>
      <c r="N15" s="3"/>
      <c r="O15" s="32">
        <v>3280022</v>
      </c>
      <c r="P15" s="13"/>
      <c r="Q15" s="13"/>
      <c r="R15" s="4"/>
      <c r="S15" s="32"/>
      <c r="T15" s="32"/>
      <c r="U15" s="32"/>
      <c r="V15" s="32"/>
    </row>
    <row r="16" spans="1:22" ht="16.5" x14ac:dyDescent="0.35">
      <c r="A16" s="215"/>
      <c r="B16" s="14"/>
      <c r="C16" s="16"/>
      <c r="D16" s="16"/>
      <c r="E16" s="16"/>
      <c r="F16" s="16"/>
      <c r="G16" s="16"/>
      <c r="H16" s="16"/>
      <c r="I16" s="32"/>
      <c r="J16" s="16"/>
      <c r="K16" s="13"/>
      <c r="L16" s="13"/>
      <c r="M16" s="13"/>
      <c r="N16" s="3"/>
      <c r="O16" s="32">
        <v>2157052</v>
      </c>
      <c r="P16" s="13"/>
      <c r="Q16" s="13"/>
      <c r="R16" s="4"/>
      <c r="S16" s="32"/>
      <c r="T16" s="32"/>
      <c r="U16" s="32"/>
      <c r="V16" s="32"/>
    </row>
    <row r="17" spans="1:22" s="1" customFormat="1" ht="16.5" x14ac:dyDescent="0.35">
      <c r="A17" s="215"/>
      <c r="B17" s="14"/>
      <c r="C17" s="32"/>
      <c r="D17" s="32"/>
      <c r="E17" s="32"/>
      <c r="F17" s="32"/>
      <c r="G17" s="32"/>
      <c r="H17" s="32"/>
      <c r="I17" s="32"/>
      <c r="J17" s="32"/>
      <c r="K17" s="13"/>
      <c r="L17" s="13"/>
      <c r="M17" s="13"/>
      <c r="N17" s="3"/>
      <c r="O17" s="32">
        <v>2469175.3333333335</v>
      </c>
      <c r="P17" s="13"/>
      <c r="Q17" s="13"/>
      <c r="R17" s="32"/>
      <c r="S17" s="32"/>
      <c r="T17" s="32"/>
      <c r="U17" s="32"/>
      <c r="V17" s="32"/>
    </row>
    <row r="18" spans="1:22" s="1" customFormat="1" ht="16.5" x14ac:dyDescent="0.35">
      <c r="A18" s="215"/>
      <c r="B18" s="14"/>
      <c r="C18" s="32"/>
      <c r="D18" s="32"/>
      <c r="E18" s="32"/>
      <c r="F18" s="32"/>
      <c r="G18" s="32"/>
      <c r="H18" s="32"/>
      <c r="I18" s="32"/>
      <c r="J18" s="32"/>
      <c r="K18" s="13"/>
      <c r="L18" s="13"/>
      <c r="M18" s="13"/>
      <c r="N18" s="3"/>
      <c r="O18" s="32">
        <v>92071.333333333328</v>
      </c>
      <c r="P18" s="13"/>
      <c r="Q18" s="13"/>
      <c r="R18" s="32"/>
      <c r="S18" s="32"/>
      <c r="T18" s="32"/>
      <c r="U18" s="32"/>
      <c r="V18" s="32"/>
    </row>
    <row r="19" spans="1:22" s="1" customFormat="1" ht="16.5" x14ac:dyDescent="0.35">
      <c r="A19" s="215"/>
      <c r="B19" s="14"/>
      <c r="C19" s="32"/>
      <c r="D19" s="32"/>
      <c r="E19" s="32"/>
      <c r="F19" s="32"/>
      <c r="G19" s="32"/>
      <c r="H19" s="32"/>
      <c r="I19" s="32"/>
      <c r="J19" s="32"/>
      <c r="K19" s="13"/>
      <c r="L19" s="13"/>
      <c r="M19" s="13"/>
      <c r="N19" s="3"/>
      <c r="O19" s="32">
        <v>1925392</v>
      </c>
      <c r="P19" s="13"/>
      <c r="Q19" s="13"/>
      <c r="R19" s="32"/>
      <c r="S19" s="32"/>
      <c r="T19" s="32"/>
      <c r="U19" s="32"/>
      <c r="V19" s="32"/>
    </row>
    <row r="20" spans="1:22" ht="16.5" x14ac:dyDescent="0.35">
      <c r="A20" s="215"/>
      <c r="B20" s="14"/>
      <c r="C20" s="16"/>
      <c r="D20" s="16"/>
      <c r="E20" s="16"/>
      <c r="F20" s="16"/>
      <c r="G20" s="16"/>
      <c r="H20" s="16"/>
      <c r="I20" s="32"/>
      <c r="J20" s="16"/>
      <c r="K20" s="13"/>
      <c r="L20" s="13"/>
      <c r="M20" s="13"/>
      <c r="N20" s="3"/>
      <c r="O20" s="32">
        <v>702366</v>
      </c>
      <c r="P20" s="13"/>
      <c r="Q20" s="13"/>
      <c r="R20" s="4"/>
      <c r="S20" s="32"/>
      <c r="T20" s="32"/>
      <c r="U20" s="32"/>
      <c r="V20" s="32"/>
    </row>
    <row r="21" spans="1:22" s="1" customFormat="1" ht="16.5" x14ac:dyDescent="0.3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Saccharin-0,01mg/L</v>
      </c>
      <c r="J22" s="68" t="str">
        <f t="shared" si="0"/>
        <v>Saccharin-0,1mg/L</v>
      </c>
      <c r="K22" s="68" t="str">
        <f t="shared" si="0"/>
        <v>Saccharin-1mg/L</v>
      </c>
      <c r="L22" s="68" t="str">
        <f t="shared" si="0"/>
        <v>Saccharin-10mg/L</v>
      </c>
      <c r="M22" s="68" t="str">
        <f t="shared" si="0"/>
        <v>Saccharin-100mg/L</v>
      </c>
      <c r="N22" s="68" t="s">
        <v>47</v>
      </c>
      <c r="O22" s="68" t="str">
        <f t="shared" ref="O22:V22" si="1">O4</f>
        <v>Testo -30µg/L</v>
      </c>
      <c r="P22" s="68" t="str">
        <f t="shared" si="1"/>
        <v>Testo 30µg/L + EE2 -64ng/L</v>
      </c>
      <c r="Q22" s="68" t="str">
        <f t="shared" si="1"/>
        <v>Testo 30µg/L + FAD-10mg/L</v>
      </c>
      <c r="R22" s="68" t="str">
        <f t="shared" si="1"/>
        <v>Saccharin-0,01mg/L + Testostérone</v>
      </c>
      <c r="S22" s="68" t="str">
        <f t="shared" si="1"/>
        <v>Saccharin-0,1mg/L + Testostérone</v>
      </c>
      <c r="T22" s="68" t="str">
        <f t="shared" si="1"/>
        <v>Saccharin-1mg/L + Testostérone</v>
      </c>
      <c r="U22" s="68" t="str">
        <f t="shared" si="1"/>
        <v>Saccharin-10mg/L + Testostérone</v>
      </c>
      <c r="V22" s="68" t="str">
        <f t="shared" si="1"/>
        <v>Saccharin-100mg/L + Testostérone</v>
      </c>
    </row>
    <row r="23" spans="1:22" x14ac:dyDescent="0.35">
      <c r="A23" s="5" t="s">
        <v>0</v>
      </c>
      <c r="B23" s="5">
        <f t="shared" ref="B23:M23" si="2">AVERAGE(B5:B20)</f>
        <v>177983.89583333334</v>
      </c>
      <c r="C23" s="5">
        <f t="shared" si="2"/>
        <v>202378.375</v>
      </c>
      <c r="D23" s="5">
        <f t="shared" si="2"/>
        <v>190453.39583333334</v>
      </c>
      <c r="E23" s="5">
        <f t="shared" si="2"/>
        <v>483776.10416666669</v>
      </c>
      <c r="F23" s="5">
        <f t="shared" si="2"/>
        <v>1113568.7083333335</v>
      </c>
      <c r="G23" s="5">
        <f t="shared" si="2"/>
        <v>2336678.4583333335</v>
      </c>
      <c r="H23" s="5">
        <f t="shared" si="2"/>
        <v>4536914.541666667</v>
      </c>
      <c r="I23" s="5">
        <f t="shared" si="2"/>
        <v>43391.895833333328</v>
      </c>
      <c r="J23" s="5">
        <f t="shared" si="2"/>
        <v>142536.41666666669</v>
      </c>
      <c r="K23" s="5">
        <f t="shared" si="2"/>
        <v>85353.979166666657</v>
      </c>
      <c r="L23" s="5">
        <f t="shared" si="2"/>
        <v>207359.5625</v>
      </c>
      <c r="M23" s="5">
        <f t="shared" si="2"/>
        <v>132694.64285714287</v>
      </c>
      <c r="N23" s="5" t="s">
        <v>0</v>
      </c>
      <c r="O23" s="5">
        <f t="shared" ref="O23:V23" si="3">AVERAGE(O5:O20)</f>
        <v>1827814.84375</v>
      </c>
      <c r="P23" s="5">
        <f t="shared" si="3"/>
        <v>3666217.125</v>
      </c>
      <c r="Q23" s="5">
        <f t="shared" si="3"/>
        <v>187542.39583333331</v>
      </c>
      <c r="R23" s="5">
        <f t="shared" si="3"/>
        <v>1743631.6875</v>
      </c>
      <c r="S23" s="5">
        <f t="shared" si="3"/>
        <v>1130392.7083333333</v>
      </c>
      <c r="T23" s="5">
        <f t="shared" si="3"/>
        <v>1617540.2916666667</v>
      </c>
      <c r="U23" s="5">
        <f t="shared" si="3"/>
        <v>997223.27083333337</v>
      </c>
      <c r="V23" s="5">
        <f t="shared" si="3"/>
        <v>1665178.3333333335</v>
      </c>
    </row>
    <row r="24" spans="1:22" x14ac:dyDescent="0.35">
      <c r="A24" s="3" t="s">
        <v>1</v>
      </c>
      <c r="B24" s="3">
        <f t="shared" ref="B24:M24" si="4">STDEV(B5:B20)</f>
        <v>139570.74545147506</v>
      </c>
      <c r="C24" s="3">
        <f t="shared" si="4"/>
        <v>204787.95949612203</v>
      </c>
      <c r="D24" s="3">
        <f t="shared" si="4"/>
        <v>207057.81066223411</v>
      </c>
      <c r="E24" s="3">
        <f t="shared" si="4"/>
        <v>385892.41210629395</v>
      </c>
      <c r="F24" s="3">
        <f t="shared" si="4"/>
        <v>1537451.6837785214</v>
      </c>
      <c r="G24" s="3">
        <f t="shared" si="4"/>
        <v>928980.29376382427</v>
      </c>
      <c r="H24" s="3">
        <f t="shared" si="4"/>
        <v>1326755.8631406997</v>
      </c>
      <c r="I24" s="3">
        <f t="shared" si="4"/>
        <v>48436.308289564411</v>
      </c>
      <c r="J24" s="3">
        <f t="shared" si="4"/>
        <v>200542.01123120994</v>
      </c>
      <c r="K24" s="3">
        <f t="shared" si="4"/>
        <v>79608.296552081229</v>
      </c>
      <c r="L24" s="3">
        <f t="shared" si="4"/>
        <v>233238.47839420143</v>
      </c>
      <c r="M24" s="3">
        <f t="shared" si="4"/>
        <v>165750.22205991572</v>
      </c>
      <c r="N24" s="3" t="s">
        <v>1</v>
      </c>
      <c r="O24" s="3">
        <f t="shared" ref="O24:V24" si="5">STDEV(O5:O20)</f>
        <v>939428.26866843645</v>
      </c>
      <c r="P24" s="3">
        <f t="shared" si="5"/>
        <v>1147380.5717458534</v>
      </c>
      <c r="Q24" s="3">
        <f t="shared" si="5"/>
        <v>127330.58267123549</v>
      </c>
      <c r="R24" s="3">
        <f t="shared" si="5"/>
        <v>973223.46274619887</v>
      </c>
      <c r="S24" s="3">
        <f t="shared" si="5"/>
        <v>991296.75542297086</v>
      </c>
      <c r="T24" s="3">
        <f t="shared" si="5"/>
        <v>1263415.9875279351</v>
      </c>
      <c r="U24" s="3">
        <f t="shared" si="5"/>
        <v>1087544.2234041253</v>
      </c>
      <c r="V24" s="3">
        <f t="shared" si="5"/>
        <v>1597618.6134340048</v>
      </c>
    </row>
    <row r="25" spans="1:22" ht="15" thickBot="1" x14ac:dyDescent="0.4"/>
    <row r="26" spans="1:22" ht="15" thickBot="1" x14ac:dyDescent="0.4">
      <c r="B26" s="218" t="s">
        <v>6</v>
      </c>
      <c r="C26" s="219"/>
      <c r="D26" s="219"/>
      <c r="E26" s="219"/>
      <c r="F26" s="219"/>
      <c r="G26" s="219"/>
      <c r="H26" s="219"/>
      <c r="I26" s="219"/>
      <c r="J26" s="219"/>
      <c r="K26" s="219"/>
      <c r="L26" s="219"/>
      <c r="M26" s="219"/>
      <c r="N26" s="1"/>
      <c r="O26" s="218" t="s">
        <v>3</v>
      </c>
      <c r="P26" s="219"/>
      <c r="Q26" s="219"/>
      <c r="R26" s="219"/>
      <c r="S26" s="219"/>
      <c r="T26" s="219"/>
      <c r="U26" s="219"/>
      <c r="V26" s="219"/>
    </row>
    <row r="27" spans="1:22" s="1" customFormat="1" x14ac:dyDescent="0.3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Saccharin-0,01mg/L</v>
      </c>
      <c r="J27" s="35" t="str">
        <f t="shared" si="6"/>
        <v>Saccharin-0,1mg/L</v>
      </c>
      <c r="K27" s="35" t="str">
        <f t="shared" si="6"/>
        <v>Saccharin-1mg/L</v>
      </c>
      <c r="L27" s="35" t="str">
        <f t="shared" si="6"/>
        <v>Saccharin-10mg/L</v>
      </c>
      <c r="M27" s="35" t="str">
        <f t="shared" si="6"/>
        <v>Saccharin-100mg/L</v>
      </c>
      <c r="N27" s="3"/>
      <c r="O27" s="36" t="str">
        <f t="shared" ref="O27:V27" si="7">O4</f>
        <v>Testo -30µg/L</v>
      </c>
      <c r="P27" s="36" t="str">
        <f t="shared" si="7"/>
        <v>Testo 30µg/L + EE2 -64ng/L</v>
      </c>
      <c r="Q27" s="36" t="str">
        <f t="shared" si="7"/>
        <v>Testo 30µg/L + FAD-10mg/L</v>
      </c>
      <c r="R27" s="36" t="str">
        <f t="shared" si="7"/>
        <v>Saccharin-0,01mg/L + Testostérone</v>
      </c>
      <c r="S27" s="36" t="str">
        <f t="shared" si="7"/>
        <v>Saccharin-0,1mg/L + Testostérone</v>
      </c>
      <c r="T27" s="36" t="str">
        <f t="shared" si="7"/>
        <v>Saccharin-1mg/L + Testostérone</v>
      </c>
      <c r="U27" s="36" t="str">
        <f t="shared" si="7"/>
        <v>Saccharin-10mg/L + Testostérone</v>
      </c>
      <c r="V27" s="36" t="str">
        <f t="shared" si="7"/>
        <v>Saccharin-100mg/L + Testostérone</v>
      </c>
    </row>
    <row r="28" spans="1:22" x14ac:dyDescent="0.35">
      <c r="A28" s="216" t="s">
        <v>34</v>
      </c>
      <c r="B28" s="11">
        <f t="shared" ref="B28:M28" si="8">IF(B5="","",(B5/$O$23))</f>
        <v>8.3672406529369858E-2</v>
      </c>
      <c r="C28" s="11">
        <f t="shared" si="8"/>
        <v>0.16798783953231952</v>
      </c>
      <c r="D28" s="11">
        <f t="shared" si="8"/>
        <v>5.4293063110849721E-2</v>
      </c>
      <c r="E28" s="11">
        <f t="shared" si="8"/>
        <v>0.25731298857113793</v>
      </c>
      <c r="F28" s="11">
        <f t="shared" si="8"/>
        <v>0.20765852440207447</v>
      </c>
      <c r="G28" s="11">
        <f t="shared" si="8"/>
        <v>1.5485600249273059</v>
      </c>
      <c r="H28" s="11">
        <f t="shared" si="8"/>
        <v>2.5223390008190849</v>
      </c>
      <c r="I28" s="11">
        <f t="shared" si="8"/>
        <v>1.399950333454009E-2</v>
      </c>
      <c r="J28" s="11">
        <f t="shared" si="8"/>
        <v>6.6202000937765931E-2</v>
      </c>
      <c r="K28" s="11">
        <f t="shared" si="8"/>
        <v>5.6980607393647556E-3</v>
      </c>
      <c r="L28" s="11">
        <f t="shared" si="8"/>
        <v>8.9897872986713281E-3</v>
      </c>
      <c r="M28" s="11">
        <f t="shared" si="8"/>
        <v>0.27001039065174731</v>
      </c>
      <c r="N28" s="6"/>
      <c r="O28" s="11">
        <f t="shared" ref="O28:V37" si="9">IF(O5="","",(O5/$O$23))</f>
        <v>1.5169045574541207</v>
      </c>
      <c r="P28" s="11">
        <f t="shared" si="9"/>
        <v>1.9586227122008875</v>
      </c>
      <c r="Q28" s="11">
        <f t="shared" si="9"/>
        <v>2.0507912382285939E-2</v>
      </c>
      <c r="R28" s="11">
        <f t="shared" si="9"/>
        <v>0.65422454436358068</v>
      </c>
      <c r="S28" s="11">
        <f t="shared" si="9"/>
        <v>1.5862385313519716</v>
      </c>
      <c r="T28" s="11">
        <f t="shared" si="9"/>
        <v>0.10760407926757945</v>
      </c>
      <c r="U28" s="11">
        <f t="shared" si="9"/>
        <v>1.5937332729812139</v>
      </c>
      <c r="V28" s="11">
        <f t="shared" si="9"/>
        <v>3.0803083543091143E-2</v>
      </c>
    </row>
    <row r="29" spans="1:22" x14ac:dyDescent="0.35">
      <c r="A29" s="217"/>
      <c r="B29" s="11">
        <f t="shared" ref="B29:M29" si="10">IF(B6="","",(B6/$O$23))</f>
        <v>0.10066975180547012</v>
      </c>
      <c r="C29" s="11">
        <f t="shared" si="10"/>
        <v>0.32798398702685883</v>
      </c>
      <c r="D29" s="11">
        <f t="shared" si="10"/>
        <v>2.6584476084190352E-2</v>
      </c>
      <c r="E29" s="11">
        <f t="shared" si="10"/>
        <v>0.75009001669656494</v>
      </c>
      <c r="F29" s="11">
        <f t="shared" si="10"/>
        <v>0.19724481461170976</v>
      </c>
      <c r="G29" s="11">
        <f t="shared" si="10"/>
        <v>1.6326662828408636</v>
      </c>
      <c r="H29" s="11">
        <f t="shared" si="10"/>
        <v>1.6568859132653417</v>
      </c>
      <c r="I29" s="11">
        <f t="shared" si="10"/>
        <v>5.591375972761191E-3</v>
      </c>
      <c r="J29" s="11">
        <f t="shared" si="10"/>
        <v>1.5008996540581174E-2</v>
      </c>
      <c r="K29" s="11">
        <f t="shared" si="10"/>
        <v>4.8234462570501638E-2</v>
      </c>
      <c r="L29" s="11">
        <f t="shared" si="10"/>
        <v>2.0833346512207414E-2</v>
      </c>
      <c r="M29" s="11">
        <f t="shared" si="10"/>
        <v>6.921178792584326E-2</v>
      </c>
      <c r="N29" s="6"/>
      <c r="O29" s="11">
        <f t="shared" si="9"/>
        <v>1.0294806426560403</v>
      </c>
      <c r="P29" s="11">
        <f t="shared" si="9"/>
        <v>2.5717371479976161</v>
      </c>
      <c r="Q29" s="11">
        <f t="shared" si="9"/>
        <v>3.041664761072712E-2</v>
      </c>
      <c r="R29" s="11">
        <f t="shared" si="9"/>
        <v>1.4322440858555918</v>
      </c>
      <c r="S29" s="11">
        <f t="shared" si="9"/>
        <v>0.26301679387485827</v>
      </c>
      <c r="T29" s="11">
        <f t="shared" si="9"/>
        <v>1.7599895366863523</v>
      </c>
      <c r="U29" s="11">
        <f t="shared" si="9"/>
        <v>1.9423192738255164E-2</v>
      </c>
      <c r="V29" s="11">
        <f t="shared" si="9"/>
        <v>2.1788922878511152</v>
      </c>
    </row>
    <row r="30" spans="1:22" x14ac:dyDescent="0.35">
      <c r="A30" s="217"/>
      <c r="B30" s="11">
        <f t="shared" ref="B30:M30" si="11">IF(B7="","",(B7/$O$23))</f>
        <v>0.24012242532885564</v>
      </c>
      <c r="C30" s="11">
        <f t="shared" si="11"/>
        <v>5.5153288827207006E-2</v>
      </c>
      <c r="D30" s="11">
        <f t="shared" si="11"/>
        <v>4.0716013215347499E-2</v>
      </c>
      <c r="E30" s="11">
        <f t="shared" si="11"/>
        <v>5.7894631411112632E-2</v>
      </c>
      <c r="F30" s="11">
        <f t="shared" si="11"/>
        <v>5.0786508081356818E-2</v>
      </c>
      <c r="G30" s="11">
        <f t="shared" si="11"/>
        <v>1.4275204126512062</v>
      </c>
      <c r="H30" s="11">
        <f t="shared" si="11"/>
        <v>3.3108017955752893</v>
      </c>
      <c r="I30" s="11">
        <f t="shared" si="11"/>
        <v>1.4681829922996908E-2</v>
      </c>
      <c r="J30" s="11">
        <f t="shared" si="11"/>
        <v>0.2011303285215483</v>
      </c>
      <c r="K30" s="11">
        <f t="shared" si="11"/>
        <v>2.4160725843943041E-2</v>
      </c>
      <c r="L30" s="11">
        <f t="shared" si="11"/>
        <v>0.17238635215746717</v>
      </c>
      <c r="M30" s="11">
        <f t="shared" si="11"/>
        <v>1.0224230350191892E-2</v>
      </c>
      <c r="N30" s="6"/>
      <c r="O30" s="11">
        <f t="shared" si="9"/>
        <v>1.5120526801626886</v>
      </c>
      <c r="P30" s="11">
        <f t="shared" si="9"/>
        <v>1.0841191090967142</v>
      </c>
      <c r="Q30" s="11">
        <f t="shared" si="9"/>
        <v>5.3315028233422511E-2</v>
      </c>
      <c r="R30" s="11">
        <f t="shared" si="9"/>
        <v>1.0601081978438223</v>
      </c>
      <c r="S30" s="11">
        <f t="shared" si="9"/>
        <v>0.11643611900537541</v>
      </c>
      <c r="T30" s="11">
        <f t="shared" si="9"/>
        <v>0.36137486003679542</v>
      </c>
      <c r="U30" s="11">
        <f t="shared" si="9"/>
        <v>9.9557312358834679E-2</v>
      </c>
      <c r="V30" s="11">
        <f t="shared" si="9"/>
        <v>1.6598563089549809</v>
      </c>
    </row>
    <row r="31" spans="1:22" x14ac:dyDescent="0.35">
      <c r="A31" s="217"/>
      <c r="B31" s="11">
        <f t="shared" ref="B31:M31" si="12">IF(B8="","",(B8/$O$23))</f>
        <v>0.18312722856541616</v>
      </c>
      <c r="C31" s="11">
        <f t="shared" si="12"/>
        <v>1.5577070126854855E-2</v>
      </c>
      <c r="D31" s="11">
        <f t="shared" si="12"/>
        <v>4.6987800921780322E-2</v>
      </c>
      <c r="E31" s="11">
        <f t="shared" si="12"/>
        <v>0.25800716902255066</v>
      </c>
      <c r="F31" s="11">
        <f t="shared" si="12"/>
        <v>0.25289505384745475</v>
      </c>
      <c r="G31" s="11">
        <f t="shared" si="12"/>
        <v>1.613519193925921</v>
      </c>
      <c r="H31" s="11">
        <f t="shared" si="12"/>
        <v>2.3593607861390731</v>
      </c>
      <c r="I31" s="11">
        <f t="shared" si="12"/>
        <v>5.4001275715010906E-2</v>
      </c>
      <c r="J31" s="11">
        <f t="shared" si="12"/>
        <v>8.3150289457940806E-3</v>
      </c>
      <c r="K31" s="11">
        <f t="shared" si="12"/>
        <v>3.8589977302416971E-2</v>
      </c>
      <c r="L31" s="11">
        <f t="shared" si="12"/>
        <v>0.37249670136343643</v>
      </c>
      <c r="M31" s="11">
        <f t="shared" si="12"/>
        <v>4.7932371432247267E-2</v>
      </c>
      <c r="N31" s="6"/>
      <c r="O31" s="11">
        <f t="shared" si="9"/>
        <v>0.40739438272219691</v>
      </c>
      <c r="P31" s="11">
        <f t="shared" si="9"/>
        <v>1.6852080744753135</v>
      </c>
      <c r="Q31" s="11">
        <f t="shared" si="9"/>
        <v>0.1226411603450101</v>
      </c>
      <c r="R31" s="11">
        <f t="shared" si="9"/>
        <v>8.1388440688441588E-2</v>
      </c>
      <c r="S31" s="11">
        <f t="shared" si="9"/>
        <v>0.83161650929666275</v>
      </c>
      <c r="T31" s="11">
        <f t="shared" si="9"/>
        <v>1.1187976763579119</v>
      </c>
      <c r="U31" s="11">
        <f t="shared" si="9"/>
        <v>0.94020874481696248</v>
      </c>
      <c r="V31" s="11">
        <f t="shared" si="9"/>
        <v>5.2660147896886778E-2</v>
      </c>
    </row>
    <row r="32" spans="1:22" x14ac:dyDescent="0.35">
      <c r="A32" s="217"/>
      <c r="B32" s="11">
        <f t="shared" ref="B32:M32" si="13">IF(B9="","",(B9/$O$23))</f>
        <v>5.1003524957011936E-2</v>
      </c>
      <c r="C32" s="11">
        <f t="shared" si="13"/>
        <v>4.2921196459399305E-2</v>
      </c>
      <c r="D32" s="11">
        <f t="shared" si="13"/>
        <v>3.5655143201645749E-2</v>
      </c>
      <c r="E32" s="11">
        <f t="shared" si="13"/>
        <v>0.14845048497544241</v>
      </c>
      <c r="F32" s="11">
        <f t="shared" si="13"/>
        <v>0.55733015672602004</v>
      </c>
      <c r="G32" s="11">
        <f t="shared" si="13"/>
        <v>1.802034823856868</v>
      </c>
      <c r="H32" s="11">
        <f t="shared" si="13"/>
        <v>3.6299617670177375</v>
      </c>
      <c r="I32" s="11">
        <f t="shared" si="13"/>
        <v>4.7333386618726905E-3</v>
      </c>
      <c r="J32" s="11">
        <f t="shared" si="13"/>
        <v>2.1087657464393176E-2</v>
      </c>
      <c r="K32" s="11">
        <f t="shared" si="13"/>
        <v>1.3115843442954495E-2</v>
      </c>
      <c r="L32" s="11">
        <f t="shared" si="13"/>
        <v>2.889406450581573E-2</v>
      </c>
      <c r="M32" s="11" t="str">
        <f t="shared" si="13"/>
        <v/>
      </c>
      <c r="N32" s="6"/>
      <c r="O32" s="11">
        <f t="shared" si="9"/>
        <v>1.372643410014434</v>
      </c>
      <c r="P32" s="11">
        <f t="shared" si="9"/>
        <v>2.672954913005896</v>
      </c>
      <c r="Q32" s="11">
        <f t="shared" si="9"/>
        <v>0.21367390393441393</v>
      </c>
      <c r="R32" s="11">
        <f t="shared" si="9"/>
        <v>1.2146983455455191</v>
      </c>
      <c r="S32" s="11">
        <f t="shared" si="9"/>
        <v>0.51644034764302604</v>
      </c>
      <c r="T32" s="11">
        <f t="shared" si="9"/>
        <v>0.65515571089055136</v>
      </c>
      <c r="U32" s="11">
        <f t="shared" si="9"/>
        <v>1.3939960469076734E-2</v>
      </c>
      <c r="V32" s="11">
        <f t="shared" si="9"/>
        <v>1.9275355006810984</v>
      </c>
    </row>
    <row r="33" spans="1:22" x14ac:dyDescent="0.35">
      <c r="A33" s="217"/>
      <c r="B33" s="11">
        <f t="shared" ref="B33:M33" si="14">IF(B10="","",(B10/$O$23))</f>
        <v>1.5999250015209132E-2</v>
      </c>
      <c r="C33" s="11">
        <f t="shared" si="14"/>
        <v>4.2684483934525071E-2</v>
      </c>
      <c r="D33" s="11">
        <f t="shared" si="14"/>
        <v>0.16492680738284801</v>
      </c>
      <c r="E33" s="11">
        <f t="shared" si="14"/>
        <v>0.18192397029182586</v>
      </c>
      <c r="F33" s="11">
        <f t="shared" si="14"/>
        <v>6.73634971403268E-2</v>
      </c>
      <c r="G33" s="11">
        <f t="shared" si="14"/>
        <v>0.73236685027331561</v>
      </c>
      <c r="H33" s="11">
        <f t="shared" si="14"/>
        <v>1.5684841801507918</v>
      </c>
      <c r="I33" s="11">
        <f t="shared" si="14"/>
        <v>7.5763691532281338E-2</v>
      </c>
      <c r="J33" s="11">
        <f t="shared" si="14"/>
        <v>5.056857937008971E-3</v>
      </c>
      <c r="K33" s="11">
        <f t="shared" si="14"/>
        <v>0.14282163255902819</v>
      </c>
      <c r="L33" s="11">
        <f t="shared" si="14"/>
        <v>0.20563497881193235</v>
      </c>
      <c r="M33" s="11">
        <f t="shared" si="14"/>
        <v>7.1085245374250816E-2</v>
      </c>
      <c r="N33" s="6"/>
      <c r="O33" s="11">
        <f t="shared" si="9"/>
        <v>0.65632322520815134</v>
      </c>
      <c r="P33" s="11">
        <f t="shared" si="9"/>
        <v>1.7267170199388528</v>
      </c>
      <c r="Q33" s="11">
        <f t="shared" si="9"/>
        <v>0.15172625441153906</v>
      </c>
      <c r="R33" s="11">
        <f t="shared" si="9"/>
        <v>1.4193946807784625</v>
      </c>
      <c r="S33" s="11">
        <f t="shared" si="9"/>
        <v>1.8843265289025531E-2</v>
      </c>
      <c r="T33" s="11">
        <f t="shared" si="9"/>
        <v>1.5854496111804723</v>
      </c>
      <c r="U33" s="11">
        <f t="shared" si="9"/>
        <v>0.73459136443234174</v>
      </c>
      <c r="V33" s="11">
        <f t="shared" si="9"/>
        <v>0.4149147469321362</v>
      </c>
    </row>
    <row r="34" spans="1:22" x14ac:dyDescent="0.35">
      <c r="A34" s="217"/>
      <c r="B34" s="11">
        <f t="shared" ref="B34:M34" si="15">IF(B11="","",(B11/$O$23))</f>
        <v>4.8133704735376044E-2</v>
      </c>
      <c r="C34" s="11">
        <f t="shared" si="15"/>
        <v>2.7430568348561699E-2</v>
      </c>
      <c r="D34" s="11">
        <f t="shared" si="15"/>
        <v>0.10404226699999958</v>
      </c>
      <c r="E34" s="11">
        <f t="shared" si="15"/>
        <v>0.15764926499638329</v>
      </c>
      <c r="F34" s="11">
        <f t="shared" si="15"/>
        <v>2.5417700353436032</v>
      </c>
      <c r="G34" s="11">
        <f t="shared" si="15"/>
        <v>1.1307616890557928</v>
      </c>
      <c r="H34" s="11">
        <f t="shared" si="15"/>
        <v>2.6688288568616128</v>
      </c>
      <c r="I34" s="11">
        <f t="shared" si="15"/>
        <v>1.686312307401441E-2</v>
      </c>
      <c r="J34" s="11">
        <f t="shared" si="15"/>
        <v>1.1802070693190255E-2</v>
      </c>
      <c r="K34" s="11">
        <f t="shared" si="15"/>
        <v>6.8162265136435543E-2</v>
      </c>
      <c r="L34" s="11">
        <f t="shared" si="15"/>
        <v>4.8419747566859274E-2</v>
      </c>
      <c r="M34" s="11">
        <f t="shared" si="15"/>
        <v>7.7668333758619161E-3</v>
      </c>
      <c r="N34" s="6"/>
      <c r="O34" s="11">
        <f t="shared" si="9"/>
        <v>1.3183421403830764</v>
      </c>
      <c r="P34" s="11">
        <f t="shared" si="9"/>
        <v>2.8459248399550412</v>
      </c>
      <c r="Q34" s="11">
        <f t="shared" si="9"/>
        <v>6.8635690186184012E-2</v>
      </c>
      <c r="R34" s="11">
        <f t="shared" si="9"/>
        <v>0.33743516314520028</v>
      </c>
      <c r="S34" s="11">
        <f t="shared" si="9"/>
        <v>1.1660262018812593</v>
      </c>
      <c r="T34" s="11">
        <f t="shared" si="9"/>
        <v>1.4748160492755964</v>
      </c>
      <c r="U34" s="11">
        <f t="shared" si="9"/>
        <v>2.2547323912076821E-2</v>
      </c>
      <c r="V34" s="11">
        <f t="shared" si="9"/>
        <v>0.69855397974214706</v>
      </c>
    </row>
    <row r="35" spans="1:22" x14ac:dyDescent="0.35">
      <c r="A35" s="217"/>
      <c r="B35" s="11">
        <f t="shared" ref="B35:M35" si="16">IF(B12="","",(B12/$O$23))</f>
        <v>5.6273570060105645E-2</v>
      </c>
      <c r="C35" s="11">
        <f t="shared" si="16"/>
        <v>0.2060334509743747</v>
      </c>
      <c r="D35" s="11">
        <f t="shared" si="16"/>
        <v>0.36037293506633389</v>
      </c>
      <c r="E35" s="11">
        <f t="shared" si="16"/>
        <v>0.3060680180925282</v>
      </c>
      <c r="F35" s="11">
        <f t="shared" si="16"/>
        <v>0.99883111223000931</v>
      </c>
      <c r="G35" s="11">
        <f t="shared" si="16"/>
        <v>0.33977055651464511</v>
      </c>
      <c r="H35" s="11">
        <f t="shared" si="16"/>
        <v>2.1405548890132216</v>
      </c>
      <c r="I35" s="11">
        <f t="shared" si="16"/>
        <v>4.2839860722809235E-3</v>
      </c>
      <c r="J35" s="11">
        <f t="shared" si="16"/>
        <v>0.29525200643015076</v>
      </c>
      <c r="K35" s="11">
        <f t="shared" si="16"/>
        <v>3.2795261988180613E-2</v>
      </c>
      <c r="L35" s="11">
        <f t="shared" si="16"/>
        <v>4.9918622945858762E-2</v>
      </c>
      <c r="M35" s="11">
        <f t="shared" si="16"/>
        <v>3.1951084578594462E-2</v>
      </c>
      <c r="N35" s="6"/>
      <c r="O35" s="11">
        <f t="shared" si="9"/>
        <v>0.92173431703298958</v>
      </c>
      <c r="P35" s="11">
        <f t="shared" si="9"/>
        <v>1.5010553955806463</v>
      </c>
      <c r="Q35" s="11">
        <f t="shared" si="9"/>
        <v>0.15992101224011082</v>
      </c>
      <c r="R35" s="11">
        <f t="shared" si="9"/>
        <v>1.4320527827441949</v>
      </c>
      <c r="S35" s="11">
        <f t="shared" si="9"/>
        <v>0.44889740125425842</v>
      </c>
      <c r="T35" s="11">
        <f t="shared" si="9"/>
        <v>1.6480516851220768E-2</v>
      </c>
      <c r="U35" s="11">
        <f t="shared" si="9"/>
        <v>0.94065654728601389</v>
      </c>
      <c r="V35" s="11">
        <f t="shared" si="9"/>
        <v>0.32495468675668476</v>
      </c>
    </row>
    <row r="36" spans="1:22" s="1" customFormat="1" x14ac:dyDescent="0.35">
      <c r="A36" s="217"/>
      <c r="B36" s="11" t="str">
        <f t="shared" ref="B36:M36" si="17">IF(B13="","",(B13/$O$23))</f>
        <v/>
      </c>
      <c r="C36" s="11" t="str">
        <f t="shared" si="17"/>
        <v/>
      </c>
      <c r="D36" s="11" t="str">
        <f t="shared" si="17"/>
        <v/>
      </c>
      <c r="E36" s="11" t="str">
        <f t="shared" si="17"/>
        <v/>
      </c>
      <c r="F36" s="11" t="str">
        <f t="shared" si="17"/>
        <v/>
      </c>
      <c r="G36" s="11" t="str">
        <f t="shared" si="17"/>
        <v/>
      </c>
      <c r="H36" s="11" t="str">
        <f t="shared" si="17"/>
        <v/>
      </c>
      <c r="I36" s="11" t="str">
        <f t="shared" si="17"/>
        <v/>
      </c>
      <c r="J36" s="11" t="str">
        <f t="shared" si="17"/>
        <v/>
      </c>
      <c r="K36" s="11" t="str">
        <f t="shared" si="17"/>
        <v/>
      </c>
      <c r="L36" s="11" t="str">
        <f t="shared" si="17"/>
        <v/>
      </c>
      <c r="M36" s="11" t="str">
        <f t="shared" si="17"/>
        <v/>
      </c>
      <c r="N36" s="6"/>
      <c r="O36" s="11">
        <f t="shared" si="9"/>
        <v>0.22803622665896736</v>
      </c>
      <c r="P36" s="11" t="str">
        <f t="shared" si="9"/>
        <v/>
      </c>
      <c r="Q36" s="11" t="str">
        <f t="shared" si="9"/>
        <v/>
      </c>
      <c r="R36" s="11" t="str">
        <f t="shared" si="9"/>
        <v/>
      </c>
      <c r="S36" s="11" t="str">
        <f t="shared" si="9"/>
        <v/>
      </c>
      <c r="T36" s="11" t="str">
        <f t="shared" si="9"/>
        <v/>
      </c>
      <c r="U36" s="11" t="str">
        <f t="shared" si="9"/>
        <v/>
      </c>
      <c r="V36" s="11" t="str">
        <f t="shared" si="9"/>
        <v/>
      </c>
    </row>
    <row r="37" spans="1:22" s="1" customFormat="1" x14ac:dyDescent="0.35">
      <c r="A37" s="217"/>
      <c r="B37" s="11" t="str">
        <f t="shared" ref="B37:M37" si="18">IF(B14="","",(B14/$O$23))</f>
        <v/>
      </c>
      <c r="C37" s="11" t="str">
        <f t="shared" si="18"/>
        <v/>
      </c>
      <c r="D37" s="11" t="str">
        <f t="shared" si="18"/>
        <v/>
      </c>
      <c r="E37" s="11" t="str">
        <f t="shared" si="18"/>
        <v/>
      </c>
      <c r="F37" s="11" t="str">
        <f t="shared" si="18"/>
        <v/>
      </c>
      <c r="G37" s="11" t="str">
        <f t="shared" si="18"/>
        <v/>
      </c>
      <c r="H37" s="11" t="str">
        <f t="shared" si="18"/>
        <v/>
      </c>
      <c r="I37" s="11" t="str">
        <f t="shared" si="18"/>
        <v/>
      </c>
      <c r="J37" s="11" t="str">
        <f t="shared" si="18"/>
        <v/>
      </c>
      <c r="K37" s="11" t="str">
        <f t="shared" si="18"/>
        <v/>
      </c>
      <c r="L37" s="11" t="str">
        <f t="shared" si="18"/>
        <v/>
      </c>
      <c r="M37" s="11" t="str">
        <f t="shared" si="18"/>
        <v/>
      </c>
      <c r="N37" s="6"/>
      <c r="O37" s="11">
        <f t="shared" si="9"/>
        <v>1.2235462512229638</v>
      </c>
      <c r="P37" s="11" t="str">
        <f t="shared" si="9"/>
        <v/>
      </c>
      <c r="Q37" s="11" t="str">
        <f t="shared" si="9"/>
        <v/>
      </c>
      <c r="R37" s="11" t="str">
        <f t="shared" si="9"/>
        <v/>
      </c>
      <c r="S37" s="11" t="str">
        <f t="shared" si="9"/>
        <v/>
      </c>
      <c r="T37" s="11" t="str">
        <f t="shared" si="9"/>
        <v/>
      </c>
      <c r="U37" s="11" t="str">
        <f t="shared" si="9"/>
        <v/>
      </c>
      <c r="V37" s="11" t="str">
        <f t="shared" si="9"/>
        <v/>
      </c>
    </row>
    <row r="38" spans="1:22" s="1" customFormat="1" x14ac:dyDescent="0.35">
      <c r="A38" s="217"/>
      <c r="B38" s="11" t="str">
        <f t="shared" ref="B38:M38" si="19">IF(B15="","",(B15/$O$23))</f>
        <v/>
      </c>
      <c r="C38" s="11" t="str">
        <f t="shared" si="19"/>
        <v/>
      </c>
      <c r="D38" s="11" t="str">
        <f t="shared" si="19"/>
        <v/>
      </c>
      <c r="E38" s="11" t="str">
        <f t="shared" si="19"/>
        <v/>
      </c>
      <c r="F38" s="11" t="str">
        <f t="shared" si="19"/>
        <v/>
      </c>
      <c r="G38" s="11" t="str">
        <f t="shared" si="19"/>
        <v/>
      </c>
      <c r="H38" s="11" t="str">
        <f t="shared" si="19"/>
        <v/>
      </c>
      <c r="I38" s="11" t="str">
        <f t="shared" si="19"/>
        <v/>
      </c>
      <c r="J38" s="11" t="str">
        <f t="shared" si="19"/>
        <v/>
      </c>
      <c r="K38" s="11" t="str">
        <f t="shared" si="19"/>
        <v/>
      </c>
      <c r="L38" s="11" t="str">
        <f t="shared" si="19"/>
        <v/>
      </c>
      <c r="M38" s="11" t="str">
        <f t="shared" si="19"/>
        <v/>
      </c>
      <c r="N38" s="6"/>
      <c r="O38" s="11">
        <f t="shared" ref="O38:R38" si="20">IF(O15="","",(O15/$O$23))</f>
        <v>1.794504520638758</v>
      </c>
      <c r="P38" s="11" t="str">
        <f t="shared" si="20"/>
        <v/>
      </c>
      <c r="Q38" s="11" t="str">
        <f t="shared" si="20"/>
        <v/>
      </c>
      <c r="R38" s="11" t="str">
        <f t="shared" si="20"/>
        <v/>
      </c>
      <c r="S38" s="11" t="str">
        <f t="shared" ref="S38:V43" si="21">IF(S15="","",(S15/$O$23))</f>
        <v/>
      </c>
      <c r="T38" s="11" t="str">
        <f t="shared" si="21"/>
        <v/>
      </c>
      <c r="U38" s="11" t="str">
        <f t="shared" si="21"/>
        <v/>
      </c>
      <c r="V38" s="11" t="str">
        <f t="shared" si="21"/>
        <v/>
      </c>
    </row>
    <row r="39" spans="1:22" s="1" customFormat="1" x14ac:dyDescent="0.35">
      <c r="A39" s="217"/>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ref="O39:R39" si="23">IF(O16="","",(O16/$O$23))</f>
        <v>1.1801260983166801</v>
      </c>
      <c r="P39" s="11" t="str">
        <f t="shared" si="23"/>
        <v/>
      </c>
      <c r="Q39" s="11" t="str">
        <f t="shared" si="23"/>
        <v/>
      </c>
      <c r="R39" s="11" t="str">
        <f t="shared" si="23"/>
        <v/>
      </c>
      <c r="S39" s="11" t="str">
        <f t="shared" si="21"/>
        <v/>
      </c>
      <c r="T39" s="11" t="str">
        <f t="shared" si="21"/>
        <v/>
      </c>
      <c r="U39" s="11" t="str">
        <f t="shared" si="21"/>
        <v/>
      </c>
      <c r="V39" s="11" t="str">
        <f t="shared" si="21"/>
        <v/>
      </c>
    </row>
    <row r="40" spans="1:22" s="1" customFormat="1" x14ac:dyDescent="0.35">
      <c r="A40" s="217"/>
      <c r="B40" s="11" t="str">
        <f t="shared" ref="B40:M40" si="24">IF(B17="","",(B17/$O$23))</f>
        <v/>
      </c>
      <c r="C40" s="11" t="str">
        <f t="shared" si="24"/>
        <v/>
      </c>
      <c r="D40" s="11" t="str">
        <f t="shared" si="24"/>
        <v/>
      </c>
      <c r="E40" s="11" t="str">
        <f t="shared" si="24"/>
        <v/>
      </c>
      <c r="F40" s="11" t="str">
        <f t="shared" si="24"/>
        <v/>
      </c>
      <c r="G40" s="11" t="str">
        <f t="shared" si="24"/>
        <v/>
      </c>
      <c r="H40" s="11" t="str">
        <f t="shared" si="24"/>
        <v/>
      </c>
      <c r="I40" s="11" t="str">
        <f t="shared" si="24"/>
        <v/>
      </c>
      <c r="J40" s="11" t="str">
        <f t="shared" si="24"/>
        <v/>
      </c>
      <c r="K40" s="11" t="str">
        <f t="shared" si="24"/>
        <v/>
      </c>
      <c r="L40" s="11" t="str">
        <f t="shared" si="24"/>
        <v/>
      </c>
      <c r="M40" s="11" t="str">
        <f t="shared" si="24"/>
        <v/>
      </c>
      <c r="N40" s="6"/>
      <c r="O40" s="11">
        <f t="shared" ref="O40:R40" si="25">IF(O17="","",(O17/$O$23))</f>
        <v>1.3508892007176716</v>
      </c>
      <c r="P40" s="11" t="str">
        <f t="shared" si="25"/>
        <v/>
      </c>
      <c r="Q40" s="11" t="str">
        <f t="shared" si="25"/>
        <v/>
      </c>
      <c r="R40" s="11" t="str">
        <f t="shared" si="25"/>
        <v/>
      </c>
      <c r="S40" s="11" t="str">
        <f t="shared" si="21"/>
        <v/>
      </c>
      <c r="T40" s="11" t="str">
        <f t="shared" si="21"/>
        <v/>
      </c>
      <c r="U40" s="11" t="str">
        <f t="shared" si="21"/>
        <v/>
      </c>
      <c r="V40" s="11" t="str">
        <f t="shared" si="21"/>
        <v/>
      </c>
    </row>
    <row r="41" spans="1:22" s="1" customFormat="1" x14ac:dyDescent="0.35">
      <c r="A41" s="217"/>
      <c r="B41" s="11" t="str">
        <f t="shared" ref="B41:M41" si="26">IF(B18="","",(B18/$O$23))</f>
        <v/>
      </c>
      <c r="C41" s="11" t="str">
        <f t="shared" si="26"/>
        <v/>
      </c>
      <c r="D41" s="11" t="str">
        <f t="shared" si="26"/>
        <v/>
      </c>
      <c r="E41" s="11" t="str">
        <f t="shared" si="26"/>
        <v/>
      </c>
      <c r="F41" s="11" t="str">
        <f t="shared" si="26"/>
        <v/>
      </c>
      <c r="G41" s="11" t="str">
        <f t="shared" si="26"/>
        <v/>
      </c>
      <c r="H41" s="11" t="str">
        <f t="shared" si="26"/>
        <v/>
      </c>
      <c r="I41" s="11" t="str">
        <f t="shared" si="26"/>
        <v/>
      </c>
      <c r="J41" s="11" t="str">
        <f t="shared" si="26"/>
        <v/>
      </c>
      <c r="K41" s="11" t="str">
        <f t="shared" si="26"/>
        <v/>
      </c>
      <c r="L41" s="11" t="str">
        <f t="shared" si="26"/>
        <v/>
      </c>
      <c r="M41" s="11" t="str">
        <f t="shared" si="26"/>
        <v/>
      </c>
      <c r="N41" s="6"/>
      <c r="O41" s="11">
        <f t="shared" ref="O41:R41" si="27">IF(O18="","",(O18/$O$23))</f>
        <v>5.0372352346388108E-2</v>
      </c>
      <c r="P41" s="11" t="str">
        <f t="shared" si="27"/>
        <v/>
      </c>
      <c r="Q41" s="11" t="str">
        <f t="shared" si="27"/>
        <v/>
      </c>
      <c r="R41" s="11" t="str">
        <f t="shared" si="27"/>
        <v/>
      </c>
      <c r="S41" s="11" t="str">
        <f t="shared" si="21"/>
        <v/>
      </c>
      <c r="T41" s="11" t="str">
        <f t="shared" si="21"/>
        <v/>
      </c>
      <c r="U41" s="11" t="str">
        <f t="shared" si="21"/>
        <v/>
      </c>
      <c r="V41" s="11" t="str">
        <f t="shared" si="21"/>
        <v/>
      </c>
    </row>
    <row r="42" spans="1:22" s="1" customFormat="1" x14ac:dyDescent="0.35">
      <c r="A42" s="217"/>
      <c r="B42" s="11" t="str">
        <f t="shared" ref="B42:M42" si="28">IF(B19="","",(B19/$O$23))</f>
        <v/>
      </c>
      <c r="C42" s="11" t="str">
        <f t="shared" si="28"/>
        <v/>
      </c>
      <c r="D42" s="11" t="str">
        <f t="shared" si="28"/>
        <v/>
      </c>
      <c r="E42" s="11" t="str">
        <f t="shared" si="28"/>
        <v/>
      </c>
      <c r="F42" s="11" t="str">
        <f t="shared" si="28"/>
        <v/>
      </c>
      <c r="G42" s="11" t="str">
        <f t="shared" si="28"/>
        <v/>
      </c>
      <c r="H42" s="11" t="str">
        <f t="shared" si="28"/>
        <v/>
      </c>
      <c r="I42" s="11" t="str">
        <f t="shared" si="28"/>
        <v/>
      </c>
      <c r="J42" s="11" t="str">
        <f t="shared" si="28"/>
        <v/>
      </c>
      <c r="K42" s="11" t="str">
        <f t="shared" si="28"/>
        <v/>
      </c>
      <c r="L42" s="11" t="str">
        <f t="shared" si="28"/>
        <v/>
      </c>
      <c r="M42" s="11" t="str">
        <f t="shared" si="28"/>
        <v/>
      </c>
      <c r="N42" s="6"/>
      <c r="O42" s="11">
        <f t="shared" ref="O42:R42" si="29">IF(O19="","",(O19/$O$23))</f>
        <v>1.0533845955916452</v>
      </c>
      <c r="P42" s="11" t="str">
        <f t="shared" si="29"/>
        <v/>
      </c>
      <c r="Q42" s="11" t="str">
        <f t="shared" si="29"/>
        <v/>
      </c>
      <c r="R42" s="11" t="str">
        <f t="shared" si="29"/>
        <v/>
      </c>
      <c r="S42" s="11" t="str">
        <f t="shared" si="21"/>
        <v/>
      </c>
      <c r="T42" s="11" t="str">
        <f t="shared" si="21"/>
        <v/>
      </c>
      <c r="U42" s="11" t="str">
        <f t="shared" si="21"/>
        <v/>
      </c>
      <c r="V42" s="11" t="str">
        <f t="shared" si="21"/>
        <v/>
      </c>
    </row>
    <row r="43" spans="1:22" s="1" customFormat="1" x14ac:dyDescent="0.35">
      <c r="A43" s="217"/>
      <c r="B43" s="11" t="str">
        <f t="shared" ref="B43:M43" si="30">IF(B20="","",(B20/$O$23))</f>
        <v/>
      </c>
      <c r="C43" s="11" t="str">
        <f t="shared" si="30"/>
        <v/>
      </c>
      <c r="D43" s="11" t="str">
        <f t="shared" si="30"/>
        <v/>
      </c>
      <c r="E43" s="11" t="str">
        <f t="shared" si="30"/>
        <v/>
      </c>
      <c r="F43" s="11" t="str">
        <f t="shared" si="30"/>
        <v/>
      </c>
      <c r="G43" s="11" t="str">
        <f t="shared" si="30"/>
        <v/>
      </c>
      <c r="H43" s="11" t="str">
        <f t="shared" si="30"/>
        <v/>
      </c>
      <c r="I43" s="11" t="str">
        <f t="shared" si="30"/>
        <v/>
      </c>
      <c r="J43" s="11" t="str">
        <f t="shared" si="30"/>
        <v/>
      </c>
      <c r="K43" s="11" t="str">
        <f t="shared" si="30"/>
        <v/>
      </c>
      <c r="L43" s="11" t="str">
        <f t="shared" si="30"/>
        <v/>
      </c>
      <c r="M43" s="11" t="str">
        <f t="shared" si="30"/>
        <v/>
      </c>
      <c r="N43" s="6"/>
      <c r="O43" s="11">
        <f t="shared" ref="O43:R43" si="31">IF(O20="","",(O20/$O$23))</f>
        <v>0.38426539887322764</v>
      </c>
      <c r="P43" s="11" t="str">
        <f t="shared" si="31"/>
        <v/>
      </c>
      <c r="Q43" s="11" t="str">
        <f t="shared" si="31"/>
        <v/>
      </c>
      <c r="R43" s="11" t="str">
        <f t="shared" si="31"/>
        <v/>
      </c>
      <c r="S43" s="11" t="str">
        <f t="shared" si="21"/>
        <v/>
      </c>
      <c r="T43" s="11" t="str">
        <f t="shared" si="21"/>
        <v/>
      </c>
      <c r="U43" s="11" t="str">
        <f t="shared" si="21"/>
        <v/>
      </c>
      <c r="V43" s="11" t="str">
        <f t="shared" si="21"/>
        <v/>
      </c>
    </row>
    <row r="44" spans="1:22" x14ac:dyDescent="0.35">
      <c r="A44" s="7"/>
      <c r="B44" s="3"/>
      <c r="C44" s="3"/>
      <c r="D44" s="3"/>
      <c r="E44" s="3"/>
      <c r="F44" s="3"/>
      <c r="G44" s="3"/>
      <c r="H44" s="3"/>
      <c r="I44" s="3"/>
      <c r="J44" s="3"/>
      <c r="N44" s="7"/>
      <c r="O44" s="3"/>
      <c r="P44" s="3"/>
      <c r="Q44" s="3"/>
      <c r="R44" s="3"/>
      <c r="S44" s="3"/>
      <c r="T44" s="3"/>
      <c r="U44" s="3"/>
      <c r="V44" s="3"/>
    </row>
    <row r="45" spans="1:22" s="69" customFormat="1" x14ac:dyDescent="0.35">
      <c r="A45" s="70" t="str">
        <f t="shared" ref="A45:M45" si="32">A4</f>
        <v>Noms des groupes</v>
      </c>
      <c r="B45" s="70" t="str">
        <f t="shared" si="32"/>
        <v>Témoin solvant</v>
      </c>
      <c r="C45" s="70" t="str">
        <f t="shared" si="32"/>
        <v>EE2-33,8ng/L</v>
      </c>
      <c r="D45" s="70" t="str">
        <f t="shared" si="32"/>
        <v>EE2-50,6ng/L</v>
      </c>
      <c r="E45" s="70" t="str">
        <f t="shared" si="32"/>
        <v>EE2-76ng/L</v>
      </c>
      <c r="F45" s="70" t="str">
        <f t="shared" si="32"/>
        <v>EE2-114ng/L</v>
      </c>
      <c r="G45" s="70" t="str">
        <f t="shared" si="32"/>
        <v>EE2-170,9ng/L</v>
      </c>
      <c r="H45" s="70" t="str">
        <f t="shared" si="32"/>
        <v>EE2-488ng/L</v>
      </c>
      <c r="I45" s="70" t="str">
        <f t="shared" si="32"/>
        <v>Saccharin-0,01mg/L</v>
      </c>
      <c r="J45" s="70" t="str">
        <f t="shared" si="32"/>
        <v>Saccharin-0,1mg/L</v>
      </c>
      <c r="K45" s="70" t="str">
        <f t="shared" si="32"/>
        <v>Saccharin-1mg/L</v>
      </c>
      <c r="L45" s="70" t="str">
        <f t="shared" si="32"/>
        <v>Saccharin-10mg/L</v>
      </c>
      <c r="M45" s="70" t="str">
        <f t="shared" si="32"/>
        <v>Saccharin-100mg/L</v>
      </c>
      <c r="N45" s="70" t="str">
        <f>N22</f>
        <v>Nom des groupes</v>
      </c>
      <c r="O45" s="70" t="str">
        <f t="shared" ref="O45:V45" si="33">O4</f>
        <v>Testo -30µg/L</v>
      </c>
      <c r="P45" s="70" t="str">
        <f t="shared" si="33"/>
        <v>Testo 30µg/L + EE2 -64ng/L</v>
      </c>
      <c r="Q45" s="70" t="str">
        <f t="shared" si="33"/>
        <v>Testo 30µg/L + FAD-10mg/L</v>
      </c>
      <c r="R45" s="70" t="str">
        <f t="shared" si="33"/>
        <v>Saccharin-0,01mg/L + Testostérone</v>
      </c>
      <c r="S45" s="70" t="str">
        <f t="shared" si="33"/>
        <v>Saccharin-0,1mg/L + Testostérone</v>
      </c>
      <c r="T45" s="70" t="str">
        <f t="shared" si="33"/>
        <v>Saccharin-1mg/L + Testostérone</v>
      </c>
      <c r="U45" s="70" t="str">
        <f t="shared" si="33"/>
        <v>Saccharin-10mg/L + Testostérone</v>
      </c>
      <c r="V45" s="70" t="str">
        <f t="shared" si="33"/>
        <v>Saccharin-100mg/L + Testostérone</v>
      </c>
    </row>
    <row r="46" spans="1:22" x14ac:dyDescent="0.35">
      <c r="A46" s="8" t="s">
        <v>0</v>
      </c>
      <c r="B46" s="10">
        <f t="shared" ref="B46:H46" si="34">AVERAGE(B28:B43)</f>
        <v>9.7375232749601817E-2</v>
      </c>
      <c r="C46" s="10">
        <f t="shared" si="34"/>
        <v>0.11072148565376264</v>
      </c>
      <c r="D46" s="10">
        <f t="shared" si="34"/>
        <v>0.10419731324787439</v>
      </c>
      <c r="E46" s="10">
        <f t="shared" si="34"/>
        <v>0.26467456800719324</v>
      </c>
      <c r="F46" s="10">
        <f t="shared" si="34"/>
        <v>0.60923496279781941</v>
      </c>
      <c r="G46" s="10">
        <f t="shared" si="34"/>
        <v>1.2783999792557399</v>
      </c>
      <c r="H46" s="10">
        <f t="shared" si="34"/>
        <v>2.4821521486052691</v>
      </c>
      <c r="I46" s="10">
        <f>AVERAGE(I28:I43)</f>
        <v>2.3739765535719808E-2</v>
      </c>
      <c r="J46" s="9">
        <f>AVERAGE(J28:J43)</f>
        <v>7.7981868433804086E-2</v>
      </c>
      <c r="K46" s="9">
        <f>AVERAGE(K28:K43)</f>
        <v>4.6697278697853159E-2</v>
      </c>
      <c r="L46" s="9">
        <f t="shared" ref="L46:M46" si="35">AVERAGE(L28:L43)</f>
        <v>0.11344670014528108</v>
      </c>
      <c r="M46" s="9">
        <f t="shared" si="35"/>
        <v>7.2597420526962414E-2</v>
      </c>
      <c r="N46" s="8" t="s">
        <v>0</v>
      </c>
      <c r="O46" s="10">
        <f>AVERAGE(O28:O43)</f>
        <v>0.99999999999999989</v>
      </c>
      <c r="P46" s="10">
        <f>AVERAGE(P28:P43)</f>
        <v>2.0057924015313708</v>
      </c>
      <c r="Q46" s="10">
        <f>AVERAGE(Q28:Q43)</f>
        <v>0.10260470116796168</v>
      </c>
      <c r="R46" s="10">
        <f>AVERAGE(R28:R43)</f>
        <v>0.95394328012060181</v>
      </c>
      <c r="S46" s="10">
        <f t="shared" ref="S46:V46" si="36">AVERAGE(S28:S43)</f>
        <v>0.61843939619955468</v>
      </c>
      <c r="T46" s="10">
        <f t="shared" si="36"/>
        <v>0.88495850506830998</v>
      </c>
      <c r="U46" s="10">
        <f t="shared" si="36"/>
        <v>0.54558221487434688</v>
      </c>
      <c r="V46" s="10">
        <f t="shared" si="36"/>
        <v>0.91102134279476754</v>
      </c>
    </row>
    <row r="47" spans="1:22" x14ac:dyDescent="0.35">
      <c r="A47" s="8" t="s">
        <v>1</v>
      </c>
      <c r="B47" s="8">
        <f t="shared" ref="B47:K47" si="37">STDEV(B28:B43)</f>
        <v>7.6359345657313699E-2</v>
      </c>
      <c r="C47" s="8">
        <f t="shared" si="37"/>
        <v>0.11203977262596952</v>
      </c>
      <c r="D47" s="8">
        <f t="shared" si="37"/>
        <v>0.11328161130228491</v>
      </c>
      <c r="E47" s="8">
        <f t="shared" si="37"/>
        <v>0.21112226625459801</v>
      </c>
      <c r="F47" s="8">
        <f t="shared" si="37"/>
        <v>0.8411419181957398</v>
      </c>
      <c r="G47" s="8">
        <f t="shared" si="37"/>
        <v>0.50824638881797246</v>
      </c>
      <c r="H47" s="8">
        <f t="shared" si="37"/>
        <v>0.7258699466619315</v>
      </c>
      <c r="I47" s="8">
        <f>STDEV(I28:I43)</f>
        <v>2.6499570487233278E-2</v>
      </c>
      <c r="J47" s="8">
        <f t="shared" si="37"/>
        <v>0.10971680852518514</v>
      </c>
      <c r="K47" s="8">
        <f t="shared" si="37"/>
        <v>4.3553807883929006E-2</v>
      </c>
      <c r="L47" s="8">
        <f t="shared" ref="L47:M47" si="38">STDEV(L28:L43)</f>
        <v>0.12760509041259471</v>
      </c>
      <c r="M47" s="8">
        <f t="shared" si="38"/>
        <v>9.0682173102313565E-2</v>
      </c>
      <c r="N47" s="8" t="s">
        <v>1</v>
      </c>
      <c r="O47" s="8">
        <f>STDEV(O28:O43)</f>
        <v>0.51396249017273399</v>
      </c>
      <c r="P47" s="8">
        <f>STDEV(P28:P43)</f>
        <v>0.62773347949831226</v>
      </c>
      <c r="Q47" s="8">
        <f>STDEV(Q28:Q43)</f>
        <v>6.9662735865521366E-2</v>
      </c>
      <c r="R47" s="8">
        <f>STDEV(R28:R43)</f>
        <v>0.53245188705739133</v>
      </c>
      <c r="S47" s="8">
        <f t="shared" ref="S47:V47" si="39">STDEV(S28:S43)</f>
        <v>0.54233981019061894</v>
      </c>
      <c r="T47" s="8">
        <f t="shared" si="39"/>
        <v>0.69121661411605184</v>
      </c>
      <c r="U47" s="8">
        <f t="shared" si="39"/>
        <v>0.59499693151243205</v>
      </c>
      <c r="V47" s="8">
        <f t="shared" si="39"/>
        <v>0.87405932767034689</v>
      </c>
    </row>
    <row r="48" spans="1:22" x14ac:dyDescent="0.35">
      <c r="A48" s="8" t="s">
        <v>2</v>
      </c>
      <c r="B48" s="8">
        <f t="shared" ref="B48:K48" si="40" xml:space="preserve"> B47/SQRT(COUNT(B28:B43))</f>
        <v>2.6997105560627031E-2</v>
      </c>
      <c r="C48" s="8">
        <f t="shared" si="40"/>
        <v>3.961204149321098E-2</v>
      </c>
      <c r="D48" s="8">
        <f t="shared" si="40"/>
        <v>4.005109776779215E-2</v>
      </c>
      <c r="E48" s="8">
        <f t="shared" si="40"/>
        <v>7.4642993064049021E-2</v>
      </c>
      <c r="F48" s="8">
        <f t="shared" si="40"/>
        <v>0.29738857714823391</v>
      </c>
      <c r="G48" s="8">
        <f t="shared" si="40"/>
        <v>0.1796922340233815</v>
      </c>
      <c r="H48" s="8">
        <f t="shared" si="40"/>
        <v>0.25663378077208465</v>
      </c>
      <c r="I48" s="8">
        <f xml:space="preserve"> I47/SQRT(COUNT(I28:I43))</f>
        <v>9.3690129950267757E-3</v>
      </c>
      <c r="J48" s="8">
        <f t="shared" si="40"/>
        <v>3.8790749659152211E-2</v>
      </c>
      <c r="K48" s="8">
        <f t="shared" si="40"/>
        <v>1.5398596450611157E-2</v>
      </c>
      <c r="L48" s="8">
        <f t="shared" ref="L48:M48" si="41" xml:space="preserve"> L47/SQRT(COUNT(L28:L43))</f>
        <v>4.511521237233411E-2</v>
      </c>
      <c r="M48" s="8">
        <f t="shared" si="41"/>
        <v>3.4274639767947465E-2</v>
      </c>
      <c r="N48" s="8" t="s">
        <v>2</v>
      </c>
      <c r="O48" s="8">
        <f xml:space="preserve"> O47/SQRT(COUNT(O28:O43))</f>
        <v>0.1284906225431835</v>
      </c>
      <c r="P48" s="8">
        <f xml:space="preserve"> P47/SQRT(COUNT(P28:P43))</f>
        <v>0.22193730006554158</v>
      </c>
      <c r="Q48" s="8">
        <f xml:space="preserve"> Q47/SQRT(COUNT(Q28:Q43))</f>
        <v>2.4629496463258734E-2</v>
      </c>
      <c r="R48" s="8">
        <f xml:space="preserve"> R47/SQRT(COUNT(R28:R43))</f>
        <v>0.18825016999692756</v>
      </c>
      <c r="S48" s="8">
        <f t="shared" ref="S48:V48" si="42" xml:space="preserve"> S47/SQRT(COUNT(S28:S43))</f>
        <v>0.19174607874660585</v>
      </c>
      <c r="T48" s="8">
        <f t="shared" si="42"/>
        <v>0.24438197755513263</v>
      </c>
      <c r="U48" s="8">
        <f t="shared" si="42"/>
        <v>0.21036318252881422</v>
      </c>
      <c r="V48" s="8">
        <f t="shared" si="42"/>
        <v>0.3090266388775284</v>
      </c>
    </row>
    <row r="49" spans="1:22" s="1" customFormat="1"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38</v>
      </c>
      <c r="B50" s="213"/>
      <c r="C50" s="213"/>
      <c r="D50" s="213"/>
      <c r="E50" s="213"/>
      <c r="F50" s="213"/>
      <c r="G50" s="213"/>
      <c r="H50" s="213"/>
      <c r="I50" s="213"/>
      <c r="J50" s="213"/>
      <c r="K50" s="213"/>
      <c r="L50" s="213"/>
      <c r="M50" s="213"/>
      <c r="N50" s="213"/>
      <c r="O50" s="213"/>
      <c r="P50" s="213"/>
      <c r="Q50" s="213"/>
      <c r="R50" s="213"/>
      <c r="S50" s="213"/>
      <c r="T50" s="213"/>
      <c r="U50" s="213"/>
      <c r="V50" s="213"/>
    </row>
    <row r="51" spans="1:22" ht="15" thickBot="1" x14ac:dyDescent="0.4">
      <c r="A51"/>
      <c r="B51"/>
      <c r="C51"/>
      <c r="D51"/>
      <c r="E51"/>
      <c r="F51"/>
      <c r="G51"/>
      <c r="H51"/>
      <c r="I51"/>
      <c r="J51"/>
      <c r="K51"/>
      <c r="L51"/>
      <c r="M51"/>
      <c r="S51"/>
      <c r="T51"/>
      <c r="U51"/>
      <c r="V51"/>
    </row>
    <row r="52" spans="1:22" x14ac:dyDescent="0.3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Saccharin-0,01mg/L</v>
      </c>
      <c r="J52" s="46" t="str">
        <f>J4</f>
        <v>Saccharin-0,1mg/L</v>
      </c>
      <c r="K52" s="46" t="str">
        <f>K27</f>
        <v>Saccharin-1mg/L</v>
      </c>
      <c r="L52" s="46" t="str">
        <f t="shared" ref="L52:M52" si="44">L27</f>
        <v>Saccharin-10mg/L</v>
      </c>
      <c r="M52" s="46" t="str">
        <f t="shared" si="44"/>
        <v>Saccharin-100mg/L</v>
      </c>
      <c r="N52" s="47"/>
      <c r="O52" s="46" t="str">
        <f>O27</f>
        <v>Testo -30µg/L</v>
      </c>
      <c r="P52" s="46" t="str">
        <f>P27</f>
        <v>Testo 30µg/L + EE2 -64ng/L</v>
      </c>
      <c r="Q52" s="46" t="str">
        <f>Q27</f>
        <v>Testo 30µg/L + FAD-10mg/L</v>
      </c>
      <c r="R52" s="46" t="str">
        <f>R27</f>
        <v>Saccharin-0,01mg/L + Testostérone</v>
      </c>
      <c r="S52" s="46" t="str">
        <f t="shared" ref="S52:V52" si="45">S27</f>
        <v>Saccharin-0,1mg/L + Testostérone</v>
      </c>
      <c r="T52" s="46" t="str">
        <f t="shared" si="45"/>
        <v>Saccharin-1mg/L + Testostérone</v>
      </c>
      <c r="U52" s="46" t="str">
        <f t="shared" si="45"/>
        <v>Saccharin-10mg/L + Testostérone</v>
      </c>
      <c r="V52" s="46" t="str">
        <f t="shared" si="45"/>
        <v>Saccharin-100mg/L + Testostérone</v>
      </c>
    </row>
    <row r="53" spans="1:22" s="3" customFormat="1" x14ac:dyDescent="0.35">
      <c r="A53" s="61" t="s">
        <v>32</v>
      </c>
      <c r="B53" s="141">
        <f t="shared" ref="B53:M53" si="46">B46</f>
        <v>9.7375232749601817E-2</v>
      </c>
      <c r="C53" s="141">
        <f t="shared" si="46"/>
        <v>0.11072148565376264</v>
      </c>
      <c r="D53" s="141">
        <f t="shared" si="46"/>
        <v>0.10419731324787439</v>
      </c>
      <c r="E53" s="141">
        <f t="shared" si="46"/>
        <v>0.26467456800719324</v>
      </c>
      <c r="F53" s="141">
        <f t="shared" si="46"/>
        <v>0.60923496279781941</v>
      </c>
      <c r="G53" s="141">
        <f t="shared" si="46"/>
        <v>1.2783999792557399</v>
      </c>
      <c r="H53" s="141">
        <f t="shared" si="46"/>
        <v>2.4821521486052691</v>
      </c>
      <c r="I53" s="141">
        <f t="shared" si="46"/>
        <v>2.3739765535719808E-2</v>
      </c>
      <c r="J53" s="141">
        <f t="shared" si="46"/>
        <v>7.7981868433804086E-2</v>
      </c>
      <c r="K53" s="141">
        <f t="shared" si="46"/>
        <v>4.6697278697853159E-2</v>
      </c>
      <c r="L53" s="141">
        <f t="shared" si="46"/>
        <v>0.11344670014528108</v>
      </c>
      <c r="M53" s="141">
        <f t="shared" si="46"/>
        <v>7.2597420526962414E-2</v>
      </c>
      <c r="N53" s="141"/>
      <c r="O53" s="141">
        <f t="shared" ref="O53:V53" si="47">O46</f>
        <v>0.99999999999999989</v>
      </c>
      <c r="P53" s="141">
        <f t="shared" si="47"/>
        <v>2.0057924015313708</v>
      </c>
      <c r="Q53" s="141">
        <f t="shared" si="47"/>
        <v>0.10260470116796168</v>
      </c>
      <c r="R53" s="141">
        <f t="shared" si="47"/>
        <v>0.95394328012060181</v>
      </c>
      <c r="S53" s="141">
        <f t="shared" si="47"/>
        <v>0.61843939619955468</v>
      </c>
      <c r="T53" s="141">
        <f t="shared" si="47"/>
        <v>0.88495850506830998</v>
      </c>
      <c r="U53" s="141">
        <f t="shared" si="47"/>
        <v>0.54558221487434688</v>
      </c>
      <c r="V53" s="141">
        <f t="shared" si="47"/>
        <v>0.91102134279476754</v>
      </c>
    </row>
    <row r="54" spans="1:22" s="3" customFormat="1" x14ac:dyDescent="0.35">
      <c r="A54" s="61" t="s">
        <v>2</v>
      </c>
      <c r="B54" s="141">
        <f t="shared" ref="B54:M54" si="48">B48</f>
        <v>2.6997105560627031E-2</v>
      </c>
      <c r="C54" s="141">
        <f t="shared" si="48"/>
        <v>3.961204149321098E-2</v>
      </c>
      <c r="D54" s="141">
        <f t="shared" si="48"/>
        <v>4.005109776779215E-2</v>
      </c>
      <c r="E54" s="141">
        <f t="shared" si="48"/>
        <v>7.4642993064049021E-2</v>
      </c>
      <c r="F54" s="141">
        <f t="shared" si="48"/>
        <v>0.29738857714823391</v>
      </c>
      <c r="G54" s="141">
        <f t="shared" si="48"/>
        <v>0.1796922340233815</v>
      </c>
      <c r="H54" s="141">
        <f t="shared" si="48"/>
        <v>0.25663378077208465</v>
      </c>
      <c r="I54" s="141">
        <f t="shared" si="48"/>
        <v>9.3690129950267757E-3</v>
      </c>
      <c r="J54" s="141">
        <f t="shared" si="48"/>
        <v>3.8790749659152211E-2</v>
      </c>
      <c r="K54" s="141">
        <f t="shared" si="48"/>
        <v>1.5398596450611157E-2</v>
      </c>
      <c r="L54" s="141">
        <f t="shared" si="48"/>
        <v>4.511521237233411E-2</v>
      </c>
      <c r="M54" s="141">
        <f t="shared" si="48"/>
        <v>3.4274639767947465E-2</v>
      </c>
      <c r="N54" s="141"/>
      <c r="O54" s="141">
        <f t="shared" ref="O54:V54" si="49">O48</f>
        <v>0.1284906225431835</v>
      </c>
      <c r="P54" s="141">
        <f t="shared" si="49"/>
        <v>0.22193730006554158</v>
      </c>
      <c r="Q54" s="141">
        <f t="shared" si="49"/>
        <v>2.4629496463258734E-2</v>
      </c>
      <c r="R54" s="141">
        <f t="shared" si="49"/>
        <v>0.18825016999692756</v>
      </c>
      <c r="S54" s="141">
        <f t="shared" si="49"/>
        <v>0.19174607874660585</v>
      </c>
      <c r="T54" s="141">
        <f t="shared" si="49"/>
        <v>0.24438197755513263</v>
      </c>
      <c r="U54" s="141">
        <f t="shared" si="49"/>
        <v>0.21036318252881422</v>
      </c>
      <c r="V54" s="141">
        <f t="shared" si="49"/>
        <v>0.3090266388775284</v>
      </c>
    </row>
    <row r="55" spans="1:22" s="3" customFormat="1" x14ac:dyDescent="0.35">
      <c r="A55" s="61" t="s">
        <v>79</v>
      </c>
      <c r="B55" s="141">
        <f t="shared" ref="B55:M55" si="50">(B53*100/$B$53)-100</f>
        <v>0</v>
      </c>
      <c r="C55" s="141">
        <f t="shared" si="50"/>
        <v>13.706003597937894</v>
      </c>
      <c r="D55" s="141">
        <f t="shared" si="50"/>
        <v>7.0059709287836966</v>
      </c>
      <c r="E55" s="141">
        <f t="shared" si="50"/>
        <v>171.80891951015701</v>
      </c>
      <c r="F55" s="141">
        <f t="shared" si="50"/>
        <v>525.65700291002452</v>
      </c>
      <c r="G55" s="141">
        <f t="shared" si="50"/>
        <v>1212.8594850634311</v>
      </c>
      <c r="H55" s="141">
        <f t="shared" si="50"/>
        <v>2449.0590148195761</v>
      </c>
      <c r="I55" s="141">
        <f t="shared" si="50"/>
        <v>-75.620324732094787</v>
      </c>
      <c r="J55" s="141">
        <f t="shared" si="50"/>
        <v>-19.916116006281925</v>
      </c>
      <c r="K55" s="141">
        <f t="shared" si="50"/>
        <v>-52.043987593915034</v>
      </c>
      <c r="L55" s="141">
        <f t="shared" si="50"/>
        <v>16.504676745684051</v>
      </c>
      <c r="M55" s="141">
        <f t="shared" si="50"/>
        <v>-25.44570269357402</v>
      </c>
      <c r="N55" s="141"/>
      <c r="O55" s="141">
        <f t="shared" ref="O55:V55" si="51">(O53*100/$B$53)-100</f>
        <v>926.95518332826691</v>
      </c>
      <c r="P55" s="141">
        <f t="shared" si="51"/>
        <v>1959.8589034330939</v>
      </c>
      <c r="Q55" s="141">
        <f t="shared" si="51"/>
        <v>5.3704296982861308</v>
      </c>
      <c r="R55" s="141">
        <f t="shared" si="51"/>
        <v>879.65699612102105</v>
      </c>
      <c r="S55" s="141">
        <f t="shared" si="51"/>
        <v>535.10954350153645</v>
      </c>
      <c r="T55" s="141">
        <f t="shared" si="51"/>
        <v>808.81272381033546</v>
      </c>
      <c r="U55" s="141">
        <f t="shared" si="51"/>
        <v>460.2884834969268</v>
      </c>
      <c r="V55" s="141">
        <f t="shared" si="51"/>
        <v>835.57809010576443</v>
      </c>
    </row>
    <row r="56" spans="1:22" s="3" customFormat="1" x14ac:dyDescent="0.35">
      <c r="A56" s="61" t="s">
        <v>81</v>
      </c>
      <c r="B56" s="141">
        <f>[1]!SWTEST(B28:B43)</f>
        <v>0.15429742518538381</v>
      </c>
      <c r="C56" s="141">
        <f>[1]!SWTEST(C28:C43)</f>
        <v>4.4785785663225886E-2</v>
      </c>
      <c r="D56" s="141">
        <f>[1]!SWTEST(D28:D43)</f>
        <v>3.8042166856737669E-3</v>
      </c>
      <c r="E56" s="141">
        <f>[1]!SWTEST(E28:E43)</f>
        <v>1.3942845101077461E-2</v>
      </c>
      <c r="F56" s="141">
        <f>[1]!SWTEST(F28:F43)</f>
        <v>2.5080677674587104E-3</v>
      </c>
      <c r="G56" s="141">
        <f>[1]!SWTEST(G28:G43)</f>
        <v>0.18525276851086536</v>
      </c>
      <c r="H56" s="141">
        <f>[1]!SWTEST(H28:H43)</f>
        <v>0.71456195850639781</v>
      </c>
      <c r="I56" s="141">
        <f>[1]!SWTEST(I28:I43)</f>
        <v>8.8497140676783159E-3</v>
      </c>
      <c r="J56" s="141">
        <f>[1]!SWTEST(J28:J43)</f>
        <v>3.8586992633244943E-3</v>
      </c>
      <c r="K56" s="141">
        <f>[1]!SWTEST(K28:K43)</f>
        <v>5.8043522952174187E-2</v>
      </c>
      <c r="L56" s="141">
        <f>[1]!SWTEST(L28:L43)</f>
        <v>3.5454760926358686E-2</v>
      </c>
      <c r="M56" s="141">
        <f>[1]!SWTEST(M28:M43)</f>
        <v>4.7083566972244695E-3</v>
      </c>
      <c r="N56" s="141"/>
      <c r="O56" s="141">
        <f>[1]!SWTEST(O28:O43)</f>
        <v>0.37064554730908594</v>
      </c>
      <c r="P56" s="141">
        <f>[1]!SWTEST(P28:P43)</f>
        <v>0.55240096806254935</v>
      </c>
      <c r="Q56" s="141">
        <f>[1]!SWTEST(Q28:Q43)</f>
        <v>0.55305181687709459</v>
      </c>
      <c r="R56" s="141">
        <f>[1]!SWTEST(R28:R43)</f>
        <v>0.11969014759576957</v>
      </c>
      <c r="S56" s="141">
        <f>[1]!SWTEST(S28:S43)</f>
        <v>0.51578648475458633</v>
      </c>
      <c r="T56" s="141">
        <f>[1]!SWTEST(T28:T43)</f>
        <v>0.34668243576069613</v>
      </c>
      <c r="U56" s="141">
        <f>[1]!SWTEST(U28:U43)</f>
        <v>7.7488478196546251E-2</v>
      </c>
      <c r="V56" s="141">
        <f>[1]!SWTEST(V28:V43)</f>
        <v>0.11565385389922567</v>
      </c>
    </row>
    <row r="57" spans="1:22" s="3" customFormat="1" x14ac:dyDescent="0.35">
      <c r="A57" s="61" t="s">
        <v>85</v>
      </c>
      <c r="B57" s="141" t="str">
        <f t="shared" ref="B57:M57" si="52">IF(B56&gt;0.05,"Oui","Non")</f>
        <v>Oui</v>
      </c>
      <c r="C57" s="141" t="str">
        <f t="shared" si="52"/>
        <v>Non</v>
      </c>
      <c r="D57" s="141" t="str">
        <f t="shared" si="52"/>
        <v>Non</v>
      </c>
      <c r="E57" s="141" t="str">
        <f t="shared" si="52"/>
        <v>Non</v>
      </c>
      <c r="F57" s="141" t="str">
        <f t="shared" si="52"/>
        <v>Non</v>
      </c>
      <c r="G57" s="141" t="str">
        <f t="shared" si="52"/>
        <v>Oui</v>
      </c>
      <c r="H57" s="141" t="str">
        <f t="shared" si="52"/>
        <v>Oui</v>
      </c>
      <c r="I57" s="141" t="str">
        <f t="shared" si="52"/>
        <v>Non</v>
      </c>
      <c r="J57" s="141" t="str">
        <f t="shared" si="52"/>
        <v>Non</v>
      </c>
      <c r="K57" s="141" t="str">
        <f t="shared" si="52"/>
        <v>Oui</v>
      </c>
      <c r="L57" s="141" t="str">
        <f t="shared" si="52"/>
        <v>Non</v>
      </c>
      <c r="M57" s="141" t="str">
        <f t="shared" si="52"/>
        <v>Non</v>
      </c>
      <c r="N57" s="141"/>
      <c r="O57" s="141" t="str">
        <f t="shared" ref="O57:V57" si="53">IF(O56&gt;0.05,"Oui","Non")</f>
        <v>Oui</v>
      </c>
      <c r="P57" s="141" t="str">
        <f t="shared" si="53"/>
        <v>Oui</v>
      </c>
      <c r="Q57" s="141" t="str">
        <f t="shared" si="53"/>
        <v>Oui</v>
      </c>
      <c r="R57" s="141" t="str">
        <f t="shared" si="53"/>
        <v>Oui</v>
      </c>
      <c r="S57" s="141" t="str">
        <f t="shared" si="53"/>
        <v>Oui</v>
      </c>
      <c r="T57" s="141" t="str">
        <f t="shared" si="53"/>
        <v>Oui</v>
      </c>
      <c r="U57" s="141" t="str">
        <f t="shared" si="53"/>
        <v>Oui</v>
      </c>
      <c r="V57" s="141" t="str">
        <f t="shared" si="53"/>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M59" si="54">IF($B57="Non",IF(C$57="Non","Mann Withney",IF(C$57="Oui","Mann Withney","")),IF($B$57="Oui",IF(C$57="Oui","T-Test Welch",IF(C$57="Non","Mann Withney",""))))</f>
        <v>Mann Withney</v>
      </c>
      <c r="D59" s="150" t="str">
        <f t="shared" si="54"/>
        <v>Mann Withney</v>
      </c>
      <c r="E59" s="150" t="str">
        <f t="shared" si="54"/>
        <v>Mann Withney</v>
      </c>
      <c r="F59" s="150" t="str">
        <f t="shared" si="54"/>
        <v>Mann Withney</v>
      </c>
      <c r="G59" s="150" t="str">
        <f t="shared" si="54"/>
        <v>T-Test Welch</v>
      </c>
      <c r="H59" s="150" t="str">
        <f t="shared" si="54"/>
        <v>T-Test Welch</v>
      </c>
      <c r="I59" s="150" t="str">
        <f t="shared" si="54"/>
        <v>Mann Withney</v>
      </c>
      <c r="J59" s="150" t="str">
        <f t="shared" si="54"/>
        <v>Mann Withney</v>
      </c>
      <c r="K59" s="150" t="str">
        <f t="shared" si="54"/>
        <v>T-Test Welch</v>
      </c>
      <c r="L59" s="150" t="str">
        <f t="shared" si="54"/>
        <v>Mann Withney</v>
      </c>
      <c r="M59" s="150" t="str">
        <f t="shared" si="54"/>
        <v>Mann Withney</v>
      </c>
      <c r="N59" s="150"/>
      <c r="O59" s="150" t="str">
        <f>IF($B57="Non",IF(O$57="Non","Mann Withney",IF(O$57="Oui","Mann Withney","")),IF($B$57="Oui",IF(O$57="Oui","T-Test Welch",IF(O$57="Non","Mann Withney",""))))</f>
        <v>T-Test Welch</v>
      </c>
      <c r="P59" s="150" t="str">
        <f t="shared" ref="P59:V59" si="55">IF($O57="Non",IF(P$57="Non","Mann Withney",IF(P$57="Oui","Mann Withney","")),IF($O$57="Oui",IF(P$57="Oui","T-Test Welch",IF(P$57="Non","Mann Withney",""))))</f>
        <v>T-Test Welch</v>
      </c>
      <c r="Q59" s="150" t="str">
        <f t="shared" si="55"/>
        <v>T-Test Welch</v>
      </c>
      <c r="R59" s="150" t="str">
        <f t="shared" si="55"/>
        <v>T-Test Welch</v>
      </c>
      <c r="S59" s="150" t="str">
        <f t="shared" si="55"/>
        <v>T-Test Welch</v>
      </c>
      <c r="T59" s="150" t="str">
        <f t="shared" si="55"/>
        <v>T-Test Welch</v>
      </c>
      <c r="U59" s="150" t="str">
        <f t="shared" si="55"/>
        <v>T-Test Welch</v>
      </c>
      <c r="V59" s="150" t="str">
        <f t="shared" si="55"/>
        <v>T-Test Welch</v>
      </c>
    </row>
    <row r="60" spans="1:22" s="3" customFormat="1" x14ac:dyDescent="0.35">
      <c r="A60" s="61" t="s">
        <v>83</v>
      </c>
      <c r="B60" s="151"/>
      <c r="C60" s="151">
        <f>IF(C59="Mann Withney",[1]!MTEST($B28:$B43,C28:C43,2), IF(C59="T-Test Welch",_xlfn.T.TEST($B28:$B43,C28:C43,2,3),""))</f>
        <v>0.59951017856000322</v>
      </c>
      <c r="D60" s="151">
        <f>IF(D59="Mann Withney",[1]!MTEST($B28:$B43,D28:D43,2), IF(D59="T-Test Welch",_xlfn.T.TEST($B28:$B43,D28:D43,2,3),""))</f>
        <v>0.59951017856000322</v>
      </c>
      <c r="E60" s="151">
        <f>IF(E59="Mann Withney",[1]!MTEST($B28:$B43,E28:E43,2), IF(E59="T-Test Welch",_xlfn.T.TEST($B28:$B43,E28:E43,2,3),""))</f>
        <v>2.08625823327655E-2</v>
      </c>
      <c r="F60" s="151">
        <f>IF(F59="Mann Withney",[1]!MTEST($B28:$B43,F28:F43,2), IF(F59="T-Test Welch",_xlfn.T.TEST($B28:$B43,F28:F43,2,3),""))</f>
        <v>3.5691900116804343E-2</v>
      </c>
      <c r="G60" s="151">
        <f>IF(G59="Mann Withney",[1]!MTEST($B28:$B43,G28:G43,2), IF(G59="T-Test Welch",_xlfn.T.TEST($B28:$B43,G28:G43,2,3),""))</f>
        <v>2.7711236135213597E-4</v>
      </c>
      <c r="H60" s="151">
        <f>IF(H59="Mann Withney",[1]!MTEST($B28:$B43,H28:H43,2), IF(H59="T-Test Welch",_xlfn.T.TEST($B28:$B43,H28:H43,2,3),""))</f>
        <v>3.1302450466694226E-5</v>
      </c>
      <c r="I60" s="151">
        <f>IF(I59="Mann Withney",[1]!MTEST($B28:$B43,I28:I43,2), IF(I59="T-Test Welch",_xlfn.T.TEST($B28:$B43,I28:I43,2,3),""))</f>
        <v>1.171868559976863E-2</v>
      </c>
      <c r="J60" s="151">
        <f>IF(J59="Mann Withney",[1]!MTEST($B28:$B43,J28:J43,2), IF(J59="T-Test Welch",_xlfn.T.TEST($B28:$B43,J28:J43,2,3),""))</f>
        <v>0.20757844233562395</v>
      </c>
      <c r="K60" s="151">
        <f>IF(K59="Mann Withney",[1]!MTEST($B28:$B43,K28:K43,2), IF(K59="T-Test Welch",_xlfn.T.TEST($B28:$B43,K28:K43,2,3),""))</f>
        <v>0.13095692718666099</v>
      </c>
      <c r="L60" s="151">
        <f>IF(L59="Mann Withney",[1]!MTEST($B28:$B43,L28:L43,2), IF(L59="T-Test Welch",_xlfn.T.TEST($B28:$B43,L28:L43,2,3),""))</f>
        <v>0.59951017856000322</v>
      </c>
      <c r="M60" s="151">
        <f>IF(M59="Mann Withney",[1]!MTEST($B28:$B43,M28:M43,2), IF(M59="T-Test Welch",_xlfn.T.TEST($B28:$B43,M28:M43,2,3),""))</f>
        <v>0.24715997321190719</v>
      </c>
      <c r="N60" s="151"/>
      <c r="O60" s="151">
        <f>IF(O59="Mann Withney",[1]!MTEST($B28:$B43,O28:O43,2), IF(O59="T-Test Welch",_xlfn.T.TEST($B28:$B43,O28:O43,2,3),""))</f>
        <v>3.3963460688698561E-6</v>
      </c>
      <c r="P60" s="151">
        <f>IF(P59="Mann Withney",[1]!MTEST($O28:$O43,P28:P43,2), IF(P59="T-Test Welch",_xlfn.T.TEST($O28:$O43,P28:P43,2,3),""))</f>
        <v>2.0730916154706527E-3</v>
      </c>
      <c r="Q60" s="151">
        <f>IF(Q59="Mann Withney",[1]!MTEST($O28:$O43,Q28:Q43,2), IF(Q59="T-Test Welch",_xlfn.T.TEST($O28:$O43,Q28:Q43,2,3),""))</f>
        <v>3.7432819334140105E-6</v>
      </c>
      <c r="R60" s="151">
        <f>IF(R59="Mann Withney",[1]!MTEST($O28:$O43,R28:R43,2), IF(R59="T-Test Welch",_xlfn.T.TEST($O28:$O43,R28:R43,2,3),""))</f>
        <v>0.84283836145487034</v>
      </c>
      <c r="S60" s="151">
        <f>IF(S59="Mann Withney",[1]!MTEST($O28:$O43,S28:S43,2), IF(S59="T-Test Welch",_xlfn.T.TEST($O28:$O43,S28:S43,2,3),""))</f>
        <v>0.12148046971509718</v>
      </c>
      <c r="T60" s="151">
        <f>IF(T59="Mann Withney",[1]!MTEST($O28:$O43,T28:T43,2), IF(T59="T-Test Welch",_xlfn.T.TEST($O28:$O43,T28:T43,2,3),""))</f>
        <v>0.68493088859382123</v>
      </c>
      <c r="U60" s="151">
        <f>IF(U59="Mann Withney",[1]!MTEST($O28:$O43,U28:U43,2), IF(U59="T-Test Welch",_xlfn.T.TEST($O28:$O43,U28:U43,2,3),""))</f>
        <v>8.9295263924265983E-2</v>
      </c>
      <c r="V60" s="151">
        <f>IF(V59="Mann Withney",[1]!MTEST($O28:$O43,V28:V43,2), IF(V59="T-Test Welch",_xlfn.T.TEST($O28:$O43,V28:V43,2,3),""))</f>
        <v>0.79602448736420806</v>
      </c>
    </row>
    <row r="61" spans="1:22" s="3" customFormat="1" ht="15" thickBot="1" x14ac:dyDescent="0.4">
      <c r="A61" s="62" t="s">
        <v>84</v>
      </c>
      <c r="B61" s="142"/>
      <c r="C61" s="142" t="str">
        <f t="shared" ref="C61:M61" si="56">IF(C60&gt;0.05,"NS",IF(C60&gt;0.01,"*",IF(C60&gt;0.001,"**","***")))</f>
        <v>NS</v>
      </c>
      <c r="D61" s="142" t="str">
        <f t="shared" si="56"/>
        <v>NS</v>
      </c>
      <c r="E61" s="142" t="str">
        <f t="shared" si="56"/>
        <v>*</v>
      </c>
      <c r="F61" s="142" t="str">
        <f t="shared" si="56"/>
        <v>*</v>
      </c>
      <c r="G61" s="142" t="str">
        <f t="shared" si="56"/>
        <v>***</v>
      </c>
      <c r="H61" s="142" t="str">
        <f t="shared" si="56"/>
        <v>***</v>
      </c>
      <c r="I61" s="142" t="s">
        <v>1608</v>
      </c>
      <c r="J61" s="142" t="str">
        <f t="shared" si="56"/>
        <v>NS</v>
      </c>
      <c r="K61" s="142" t="str">
        <f t="shared" si="56"/>
        <v>NS</v>
      </c>
      <c r="L61" s="142" t="str">
        <f t="shared" si="56"/>
        <v>NS</v>
      </c>
      <c r="M61" s="142" t="str">
        <f t="shared" si="56"/>
        <v>NS</v>
      </c>
      <c r="N61" s="142"/>
      <c r="O61" s="142" t="str">
        <f>IF(O60&gt;0.05,"NS",IF(O60&gt;0.01,"*",IF(O60&gt;0.001,"**","***")))</f>
        <v>***</v>
      </c>
      <c r="P61" s="142" t="str">
        <f>IF(P60&gt;0.05,"NS",IF(P60&gt;0.01,"*",IF(P60&gt;0.001,"**","***")))</f>
        <v>**</v>
      </c>
      <c r="Q61" s="142" t="str">
        <f t="shared" ref="Q61" si="57">IF(Q60&gt;0.05,"NS",IF(Q60&gt;0.01,"*",IF(Q60&gt;0.001,"**","***")))</f>
        <v>***</v>
      </c>
      <c r="R61" s="142" t="str">
        <f t="shared" ref="R61" si="58">IF(R60&gt;0.05,"NS",IF(R60&gt;0.01,"*",IF(R60&gt;0.001,"**","***")))</f>
        <v>NS</v>
      </c>
      <c r="S61" s="142" t="str">
        <f t="shared" ref="S61" si="59">IF(S60&gt;0.05,"NS",IF(S60&gt;0.01,"*",IF(S60&gt;0.001,"**","***")))</f>
        <v>NS</v>
      </c>
      <c r="T61" s="142" t="str">
        <f t="shared" ref="T61" si="60">IF(T60&gt;0.05,"NS",IF(T60&gt;0.01,"*",IF(T60&gt;0.001,"**","***")))</f>
        <v>NS</v>
      </c>
      <c r="U61" s="142" t="str">
        <f t="shared" ref="U61" si="61">IF(U60&gt;0.05,"NS",IF(U60&gt;0.01,"*",IF(U60&gt;0.001,"**","***")))</f>
        <v>NS</v>
      </c>
      <c r="V61" s="142" t="str">
        <f t="shared" ref="V61" si="62">IF(V60&gt;0.05,"NS",IF(V60&gt;0.01,"*",IF(V60&gt;0.001,"**","***")))</f>
        <v>NS</v>
      </c>
    </row>
    <row r="63" spans="1:22" x14ac:dyDescent="0.35">
      <c r="A63" s="2" t="s">
        <v>39</v>
      </c>
    </row>
    <row r="64" spans="1:22" x14ac:dyDescent="0.35">
      <c r="A64" s="1" t="s">
        <v>23</v>
      </c>
      <c r="B64" s="1">
        <f>B46+(3*B47)</f>
        <v>0.32645326972154293</v>
      </c>
    </row>
    <row r="65" spans="1:22" x14ac:dyDescent="0.35">
      <c r="A65" s="1" t="s">
        <v>24</v>
      </c>
      <c r="B65" s="1">
        <f>B46+(10*B47)</f>
        <v>0.86096868932273884</v>
      </c>
    </row>
    <row r="66" spans="1:22" ht="15" thickBot="1" x14ac:dyDescent="0.4"/>
    <row r="67" spans="1:22" s="1" customFormat="1" ht="26.5" thickBot="1" x14ac:dyDescent="0.65">
      <c r="A67" s="212" t="s">
        <v>52</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J1" zoomScale="80" zoomScaleNormal="80" workbookViewId="0">
      <selection activeCell="W5" sqref="W5:Y12"/>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18" width="12.26953125" style="1" customWidth="1"/>
    <col min="19" max="20" width="13" style="1" bestFit="1" customWidth="1"/>
    <col min="21" max="21" width="15" style="1" bestFit="1" customWidth="1"/>
    <col min="22" max="22" width="15.54296875" style="1" bestFit="1" customWidth="1"/>
    <col min="23" max="23" width="21.54296875" style="1" bestFit="1" customWidth="1"/>
    <col min="24" max="24" width="22.7265625" style="1" bestFit="1" customWidth="1"/>
    <col min="25" max="25" width="12.26953125" style="1" customWidth="1"/>
    <col min="26" max="26" width="16.54296875" style="1" bestFit="1" customWidth="1"/>
    <col min="27" max="16384" width="11.453125" style="1"/>
  </cols>
  <sheetData>
    <row r="1" spans="1:144" x14ac:dyDescent="0.35">
      <c r="A1" s="1" t="s">
        <v>106</v>
      </c>
      <c r="B1" s="1" t="s">
        <v>107</v>
      </c>
      <c r="C1" s="1" t="s">
        <v>108</v>
      </c>
      <c r="D1" s="1" t="s">
        <v>109</v>
      </c>
      <c r="E1" s="1" t="s">
        <v>110</v>
      </c>
      <c r="F1" s="1" t="s">
        <v>111</v>
      </c>
      <c r="G1" s="1" t="s">
        <v>112</v>
      </c>
      <c r="H1" s="1" t="s">
        <v>116</v>
      </c>
      <c r="I1" s="1" t="s">
        <v>117</v>
      </c>
      <c r="K1" s="118" t="s">
        <v>111</v>
      </c>
      <c r="L1" s="1" t="s">
        <v>118</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 t="s">
        <v>245</v>
      </c>
      <c r="D2" s="1" t="s">
        <v>109</v>
      </c>
      <c r="E2" s="1" t="s">
        <v>110</v>
      </c>
      <c r="F2" s="1" t="s">
        <v>111</v>
      </c>
      <c r="G2" s="1" t="s">
        <v>112</v>
      </c>
      <c r="K2" s="155" t="s">
        <v>119</v>
      </c>
      <c r="L2" s="155" t="s">
        <v>120</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3150</v>
      </c>
      <c r="D3" s="1" t="s">
        <v>3151</v>
      </c>
      <c r="E3" s="1" t="s">
        <v>3152</v>
      </c>
      <c r="F3" s="1" t="s">
        <v>111</v>
      </c>
      <c r="G3" s="1">
        <v>64478</v>
      </c>
      <c r="K3" s="118" t="s">
        <v>152</v>
      </c>
      <c r="L3" s="118" t="s">
        <v>113</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3153</v>
      </c>
      <c r="D4" s="1" t="s">
        <v>3154</v>
      </c>
      <c r="E4" s="1" t="s">
        <v>3155</v>
      </c>
      <c r="F4" s="1" t="s">
        <v>111</v>
      </c>
      <c r="G4" s="1">
        <v>132524</v>
      </c>
      <c r="K4" s="118" t="s">
        <v>100</v>
      </c>
      <c r="L4" s="1" t="s">
        <v>1580</v>
      </c>
      <c r="M4" s="1" t="s">
        <v>1581</v>
      </c>
      <c r="N4" s="1" t="s">
        <v>1582</v>
      </c>
      <c r="O4" s="1" t="s">
        <v>1583</v>
      </c>
      <c r="P4" s="1" t="s">
        <v>1584</v>
      </c>
      <c r="Q4" s="1" t="s">
        <v>1585</v>
      </c>
      <c r="R4" s="1" t="s">
        <v>1586</v>
      </c>
      <c r="S4" s="1" t="s">
        <v>4385</v>
      </c>
      <c r="T4" s="1" t="s">
        <v>4386</v>
      </c>
      <c r="U4" s="1" t="s">
        <v>4387</v>
      </c>
      <c r="V4" s="1" t="s">
        <v>4388</v>
      </c>
      <c r="W4" s="1" t="s">
        <v>1598</v>
      </c>
      <c r="X4" s="1" t="s">
        <v>1599</v>
      </c>
      <c r="Y4" s="1" t="s">
        <v>1600</v>
      </c>
      <c r="Z4" s="1" t="s">
        <v>4389</v>
      </c>
      <c r="AA4" s="1" t="s">
        <v>4390</v>
      </c>
      <c r="AB4" s="1" t="s">
        <v>4391</v>
      </c>
      <c r="AC4" s="1" t="s">
        <v>3148</v>
      </c>
      <c r="AD4" s="1" t="s">
        <v>4392</v>
      </c>
      <c r="AE4" s="1" t="s">
        <v>4393</v>
      </c>
      <c r="AF4" s="1" t="s">
        <v>4394</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 s="1" t="s">
        <v>3156</v>
      </c>
      <c r="D5" s="1" t="s">
        <v>3157</v>
      </c>
      <c r="E5" s="1" t="s">
        <v>1642</v>
      </c>
      <c r="F5" s="1" t="s">
        <v>111</v>
      </c>
      <c r="G5" s="1">
        <v>105332</v>
      </c>
      <c r="K5" s="145" t="s">
        <v>162</v>
      </c>
      <c r="L5" s="44">
        <v>100778</v>
      </c>
      <c r="M5" s="44">
        <v>241923.5</v>
      </c>
      <c r="N5" s="44">
        <v>66530.333333333328</v>
      </c>
      <c r="O5" s="44">
        <v>213143.5</v>
      </c>
      <c r="P5" s="44">
        <v>2111245.3333333335</v>
      </c>
      <c r="Q5" s="44">
        <v>1948886.5</v>
      </c>
      <c r="R5" s="44">
        <v>5139404.666666667</v>
      </c>
      <c r="S5" s="44">
        <v>2349115.3333333335</v>
      </c>
      <c r="T5" s="44">
        <v>3312016.3333333335</v>
      </c>
      <c r="U5" s="44">
        <v>2882242</v>
      </c>
      <c r="V5" s="44">
        <v>809877.66666666663</v>
      </c>
      <c r="W5" s="44">
        <v>1523631.3333333333</v>
      </c>
      <c r="X5" s="44">
        <v>3748439</v>
      </c>
      <c r="Y5" s="44">
        <v>753549.66666666663</v>
      </c>
      <c r="Z5" s="44">
        <v>207748.33333333334</v>
      </c>
      <c r="AA5" s="44">
        <v>82345</v>
      </c>
      <c r="AB5" s="44">
        <v>232090.5</v>
      </c>
      <c r="AC5" s="44">
        <v>70467.666666666672</v>
      </c>
      <c r="AD5" s="44">
        <v>116237.66666666667</v>
      </c>
      <c r="AE5" s="44">
        <v>356414</v>
      </c>
      <c r="AF5" s="44">
        <v>1325572.6666666667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3158</v>
      </c>
      <c r="D6" s="1" t="s">
        <v>3159</v>
      </c>
      <c r="E6" s="1" t="s">
        <v>1323</v>
      </c>
      <c r="F6" s="1" t="s">
        <v>111</v>
      </c>
      <c r="G6" s="1">
        <v>12508</v>
      </c>
      <c r="K6" s="145" t="s">
        <v>1601</v>
      </c>
      <c r="L6" s="44">
        <v>25937.666666666668</v>
      </c>
      <c r="M6" s="44">
        <v>281993.66666666669</v>
      </c>
      <c r="N6" s="44">
        <v>29882.666666666668</v>
      </c>
      <c r="O6" s="44">
        <v>58430.333333333336</v>
      </c>
      <c r="P6" s="44">
        <v>4250890.5</v>
      </c>
      <c r="Q6" s="44">
        <v>3429116.6666666665</v>
      </c>
      <c r="R6" s="44">
        <v>6527780</v>
      </c>
      <c r="S6" s="44">
        <v>2667133.6666666665</v>
      </c>
      <c r="T6" s="44">
        <v>3589253.3333333335</v>
      </c>
      <c r="U6" s="44"/>
      <c r="V6" s="44">
        <v>246959.5</v>
      </c>
      <c r="W6" s="44">
        <v>401558.66666666669</v>
      </c>
      <c r="X6" s="44">
        <v>3640982</v>
      </c>
      <c r="Y6" s="44">
        <v>2907814.6666666665</v>
      </c>
      <c r="Z6" s="44">
        <v>234527</v>
      </c>
      <c r="AA6" s="44">
        <v>92279.666666666672</v>
      </c>
      <c r="AB6" s="44">
        <v>406197</v>
      </c>
      <c r="AC6" s="44">
        <v>66436.333333333328</v>
      </c>
      <c r="AD6" s="44">
        <v>92529.5</v>
      </c>
      <c r="AE6" s="44">
        <v>1704798</v>
      </c>
      <c r="AF6" s="44">
        <v>4052819</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3160</v>
      </c>
      <c r="D7" s="1" t="s">
        <v>3161</v>
      </c>
      <c r="E7" s="1" t="s">
        <v>3162</v>
      </c>
      <c r="F7" s="1" t="s">
        <v>111</v>
      </c>
      <c r="G7" s="1">
        <v>27867</v>
      </c>
      <c r="K7" s="145" t="s">
        <v>1602</v>
      </c>
      <c r="L7" s="44">
        <v>75478.333333333328</v>
      </c>
      <c r="M7" s="44">
        <v>331048.66666666669</v>
      </c>
      <c r="N7" s="44">
        <v>111973.66666666667</v>
      </c>
      <c r="O7" s="44">
        <v>201381.66666666666</v>
      </c>
      <c r="P7" s="44">
        <v>4561653.666666667</v>
      </c>
      <c r="Q7" s="44">
        <v>4201687</v>
      </c>
      <c r="R7" s="44">
        <v>5403944.666666667</v>
      </c>
      <c r="S7" s="44">
        <v>1668063.3333333333</v>
      </c>
      <c r="T7" s="44">
        <v>1654590.6666666667</v>
      </c>
      <c r="U7" s="44">
        <v>748177</v>
      </c>
      <c r="V7" s="44">
        <v>372453.33333333331</v>
      </c>
      <c r="W7" s="44">
        <v>1607490.5</v>
      </c>
      <c r="X7" s="44">
        <v>277237.66666666669</v>
      </c>
      <c r="Y7" s="44">
        <v>540819.33333333337</v>
      </c>
      <c r="Z7" s="44">
        <v>317430.66666666669</v>
      </c>
      <c r="AA7" s="44">
        <v>142349.33333333334</v>
      </c>
      <c r="AB7" s="44">
        <v>127553</v>
      </c>
      <c r="AC7" s="44"/>
      <c r="AD7" s="44">
        <v>51208.666666666664</v>
      </c>
      <c r="AE7" s="44">
        <v>1077739</v>
      </c>
      <c r="AF7" s="44">
        <v>1367506.3333333333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8" s="1" t="s">
        <v>3163</v>
      </c>
      <c r="D8" s="1" t="s">
        <v>3164</v>
      </c>
      <c r="E8" s="1" t="s">
        <v>3165</v>
      </c>
      <c r="F8" s="1" t="s">
        <v>111</v>
      </c>
      <c r="G8" s="1">
        <v>37438</v>
      </c>
      <c r="K8" s="145" t="s">
        <v>1603</v>
      </c>
      <c r="L8" s="44">
        <v>169164.33333333334</v>
      </c>
      <c r="M8" s="44">
        <v>246796.33333333334</v>
      </c>
      <c r="N8" s="44">
        <v>182666.33333333334</v>
      </c>
      <c r="O8" s="44">
        <v>482926</v>
      </c>
      <c r="P8" s="44">
        <v>1993220.5</v>
      </c>
      <c r="Q8" s="44">
        <v>2226424.3333333335</v>
      </c>
      <c r="R8" s="44">
        <v>4576598.5</v>
      </c>
      <c r="S8" s="44">
        <v>1901988.6666666667</v>
      </c>
      <c r="T8" s="44">
        <v>1418595</v>
      </c>
      <c r="U8" s="44">
        <v>1481002.6666666667</v>
      </c>
      <c r="V8" s="44">
        <v>90046.333333333328</v>
      </c>
      <c r="W8" s="44">
        <v>2706375.6666666665</v>
      </c>
      <c r="X8" s="44">
        <v>887633</v>
      </c>
      <c r="Y8" s="44">
        <v>844416.66666666663</v>
      </c>
      <c r="Z8" s="44">
        <v>771823.33333333337</v>
      </c>
      <c r="AA8" s="44">
        <v>95738</v>
      </c>
      <c r="AB8" s="44">
        <v>70569.333333333328</v>
      </c>
      <c r="AC8" s="44">
        <v>63441.333333333336</v>
      </c>
      <c r="AD8" s="44">
        <v>101557.5</v>
      </c>
      <c r="AE8" s="44">
        <v>2129569.3333333335</v>
      </c>
      <c r="AF8" s="44">
        <v>2747818.3333333335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3166</v>
      </c>
      <c r="D9" s="1" t="s">
        <v>3167</v>
      </c>
      <c r="E9" s="1" t="s">
        <v>3168</v>
      </c>
      <c r="F9" s="1" t="s">
        <v>111</v>
      </c>
      <c r="G9" s="1">
        <v>30281</v>
      </c>
      <c r="K9" s="145" t="s">
        <v>1604</v>
      </c>
      <c r="L9" s="44">
        <v>368849.33333333331</v>
      </c>
      <c r="M9" s="44">
        <v>923787.66666666663</v>
      </c>
      <c r="N9" s="44">
        <v>255766</v>
      </c>
      <c r="O9" s="44">
        <v>162870.33333333334</v>
      </c>
      <c r="P9" s="44">
        <v>2789904.3333333335</v>
      </c>
      <c r="Q9" s="44">
        <v>3163540</v>
      </c>
      <c r="R9" s="44">
        <v>8773427</v>
      </c>
      <c r="S9" s="44">
        <v>1949201.6666666667</v>
      </c>
      <c r="T9" s="44">
        <v>1153869.6666666667</v>
      </c>
      <c r="U9" s="44">
        <v>3123223</v>
      </c>
      <c r="V9" s="44">
        <v>31274.666666666668</v>
      </c>
      <c r="W9" s="44">
        <v>2701631.6666666665</v>
      </c>
      <c r="X9" s="44">
        <v>2509587</v>
      </c>
      <c r="Y9" s="44">
        <v>165894</v>
      </c>
      <c r="Z9" s="44">
        <v>1367604.5</v>
      </c>
      <c r="AA9" s="44">
        <v>454399.33333333331</v>
      </c>
      <c r="AB9" s="44">
        <v>145213.33333333334</v>
      </c>
      <c r="AC9" s="44">
        <v>149810.66666666666</v>
      </c>
      <c r="AD9" s="44">
        <v>54254</v>
      </c>
      <c r="AE9" s="44">
        <v>3009581.3333333335</v>
      </c>
      <c r="AF9" s="44">
        <v>2241985.3333333335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3169</v>
      </c>
      <c r="D10" s="1" t="s">
        <v>3170</v>
      </c>
      <c r="E10" s="1" t="s">
        <v>3171</v>
      </c>
      <c r="F10" s="1" t="s">
        <v>111</v>
      </c>
      <c r="G10" s="1">
        <v>86058</v>
      </c>
      <c r="K10" s="145" t="s">
        <v>1605</v>
      </c>
      <c r="L10" s="44">
        <v>26677.333333333332</v>
      </c>
      <c r="M10" s="44">
        <v>274329.33333333331</v>
      </c>
      <c r="N10" s="44"/>
      <c r="O10" s="44">
        <v>993153.33333333337</v>
      </c>
      <c r="P10" s="44">
        <v>2726470.6666666665</v>
      </c>
      <c r="Q10" s="44">
        <v>3929997</v>
      </c>
      <c r="R10" s="44">
        <v>6291715.333333333</v>
      </c>
      <c r="S10" s="44">
        <v>394907</v>
      </c>
      <c r="T10" s="44">
        <v>2281737</v>
      </c>
      <c r="U10" s="44">
        <v>5152572.666666667</v>
      </c>
      <c r="V10" s="44">
        <v>439099.66666666669</v>
      </c>
      <c r="W10" s="44">
        <v>74720.5</v>
      </c>
      <c r="X10" s="44">
        <v>1531497.6666666667</v>
      </c>
      <c r="Y10" s="44">
        <v>2949503</v>
      </c>
      <c r="Z10" s="44">
        <v>167794.33333333334</v>
      </c>
      <c r="AA10" s="44">
        <v>300825.33333333331</v>
      </c>
      <c r="AB10" s="44">
        <v>64434.666666666664</v>
      </c>
      <c r="AC10" s="44">
        <v>182666</v>
      </c>
      <c r="AD10" s="44">
        <v>123278.66666666667</v>
      </c>
      <c r="AE10" s="44">
        <v>1426393.6666666667</v>
      </c>
      <c r="AF10" s="44">
        <v>1279831.3333333333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 s="1" t="s">
        <v>3172</v>
      </c>
      <c r="D11" s="1" t="s">
        <v>3173</v>
      </c>
      <c r="E11" s="1" t="s">
        <v>3174</v>
      </c>
      <c r="F11" s="1" t="s">
        <v>111</v>
      </c>
      <c r="G11" s="1">
        <v>110096</v>
      </c>
      <c r="K11" s="145" t="s">
        <v>1606</v>
      </c>
      <c r="L11" s="44">
        <v>318271.66666666669</v>
      </c>
      <c r="M11" s="44">
        <v>698041.66666666663</v>
      </c>
      <c r="N11" s="44">
        <v>131523.66666666666</v>
      </c>
      <c r="O11" s="44">
        <v>270928.33333333331</v>
      </c>
      <c r="P11" s="44">
        <v>1694102.3333333333</v>
      </c>
      <c r="Q11" s="44">
        <v>3123505.6666666665</v>
      </c>
      <c r="R11" s="44">
        <v>6190843.333333333</v>
      </c>
      <c r="S11" s="44">
        <v>2356040.6666666665</v>
      </c>
      <c r="T11" s="44">
        <v>2938736.6666666665</v>
      </c>
      <c r="U11" s="44">
        <v>4842929.666666667</v>
      </c>
      <c r="V11" s="44">
        <v>147730</v>
      </c>
      <c r="W11" s="44">
        <v>542521</v>
      </c>
      <c r="X11" s="44">
        <v>3290786.6666666665</v>
      </c>
      <c r="Y11" s="44">
        <v>4073890</v>
      </c>
      <c r="Z11" s="44">
        <v>68364.666666666672</v>
      </c>
      <c r="AA11" s="44">
        <v>254323</v>
      </c>
      <c r="AB11" s="44">
        <v>82497.666666666672</v>
      </c>
      <c r="AC11" s="44">
        <v>134453</v>
      </c>
      <c r="AD11" s="44">
        <v>33914.333333333336</v>
      </c>
      <c r="AE11" s="44">
        <v>2784140</v>
      </c>
      <c r="AF11" s="44">
        <v>1154247.3333333333</v>
      </c>
      <c r="AG11"/>
    </row>
    <row r="12" spans="1:144" x14ac:dyDescent="0.35">
      <c r="A12" s="1" t="str">
        <f t="shared" si="0"/>
        <v>01 TS</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3175</v>
      </c>
      <c r="D12" s="1" t="s">
        <v>3176</v>
      </c>
      <c r="E12" s="1" t="s">
        <v>3177</v>
      </c>
      <c r="F12" s="1" t="s">
        <v>111</v>
      </c>
      <c r="G12" s="1">
        <v>141900</v>
      </c>
      <c r="K12" s="145" t="s">
        <v>1607</v>
      </c>
      <c r="L12" s="44">
        <v>71316</v>
      </c>
      <c r="M12" s="44">
        <v>68227</v>
      </c>
      <c r="N12" s="44">
        <v>503120.66666666669</v>
      </c>
      <c r="O12" s="44">
        <v>233614</v>
      </c>
      <c r="P12" s="44">
        <v>2149191.3333333335</v>
      </c>
      <c r="Q12" s="44">
        <v>1503822.3333333333</v>
      </c>
      <c r="R12" s="44">
        <v>6765874.666666667</v>
      </c>
      <c r="S12" s="44">
        <v>2716558</v>
      </c>
      <c r="T12" s="44"/>
      <c r="U12" s="44">
        <v>1088935</v>
      </c>
      <c r="V12" s="44">
        <v>48148.333333333336</v>
      </c>
      <c r="W12" s="44">
        <v>2315718.3333333335</v>
      </c>
      <c r="X12" s="44">
        <v>2825491.6666666665</v>
      </c>
      <c r="Y12" s="44">
        <v>455050</v>
      </c>
      <c r="Z12" s="44">
        <v>251676.33333333334</v>
      </c>
      <c r="AA12" s="44">
        <v>95760</v>
      </c>
      <c r="AB12" s="44">
        <v>72128.333333333328</v>
      </c>
      <c r="AC12" s="44">
        <v>196849.66666666666</v>
      </c>
      <c r="AD12" s="44">
        <v>296068.33333333331</v>
      </c>
      <c r="AE12" s="44">
        <v>3086241.6666666665</v>
      </c>
      <c r="AF12" s="44">
        <v>2817644</v>
      </c>
      <c r="AG12"/>
    </row>
    <row r="13" spans="1:144" x14ac:dyDescent="0.35">
      <c r="A13" s="1" t="str">
        <f t="shared" si="0"/>
        <v>01 TS</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3178</v>
      </c>
      <c r="D13" s="1" t="s">
        <v>3179</v>
      </c>
      <c r="E13" s="1" t="s">
        <v>3180</v>
      </c>
      <c r="F13" s="1" t="s">
        <v>111</v>
      </c>
      <c r="G13" s="1">
        <v>74811</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 s="1" t="s">
        <v>3181</v>
      </c>
      <c r="D14" s="1" t="s">
        <v>3182</v>
      </c>
      <c r="E14" s="1" t="s">
        <v>3183</v>
      </c>
      <c r="F14" s="1" t="s">
        <v>111</v>
      </c>
      <c r="G14" s="1">
        <v>290782</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3184</v>
      </c>
      <c r="D15" s="1" t="s">
        <v>3185</v>
      </c>
      <c r="E15" s="1" t="s">
        <v>3186</v>
      </c>
      <c r="F15" s="1" t="s">
        <v>111</v>
      </c>
      <c r="G15" s="1">
        <v>388239</v>
      </c>
    </row>
    <row r="16" spans="1:144" x14ac:dyDescent="0.35">
      <c r="A16" s="1" t="str">
        <f t="shared" si="0"/>
        <v>01 TS</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3187</v>
      </c>
      <c r="D16" s="1" t="s">
        <v>3188</v>
      </c>
      <c r="E16" s="1" t="s">
        <v>3189</v>
      </c>
      <c r="F16" s="1" t="s">
        <v>111</v>
      </c>
      <c r="G16" s="1">
        <v>349213</v>
      </c>
    </row>
    <row r="17" spans="1:9" x14ac:dyDescent="0.35">
      <c r="A17" s="1" t="str">
        <f t="shared" si="0"/>
        <v>01 TS</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 s="1" t="s">
        <v>3190</v>
      </c>
      <c r="D17" s="1" t="s">
        <v>3191</v>
      </c>
      <c r="E17" s="1" t="s">
        <v>3192</v>
      </c>
      <c r="F17" s="1" t="s">
        <v>111</v>
      </c>
      <c r="G17" s="1">
        <v>369096</v>
      </c>
    </row>
    <row r="18" spans="1:9" x14ac:dyDescent="0.35">
      <c r="A18" s="1" t="str">
        <f t="shared" si="0"/>
        <v>01 TS</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3193</v>
      </c>
      <c r="D18" s="1" t="s">
        <v>3164</v>
      </c>
      <c r="E18" s="1">
        <v>63</v>
      </c>
      <c r="F18" s="1" t="s">
        <v>111</v>
      </c>
      <c r="G18" s="1">
        <v>37003</v>
      </c>
    </row>
    <row r="19" spans="1:9" x14ac:dyDescent="0.35">
      <c r="A19" s="1" t="str">
        <f t="shared" si="0"/>
        <v>01 TS</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3194</v>
      </c>
      <c r="D19" s="1" t="s">
        <v>3195</v>
      </c>
      <c r="E19" s="1">
        <v>64</v>
      </c>
      <c r="F19" s="1" t="s">
        <v>111</v>
      </c>
      <c r="G19" s="1">
        <v>29237</v>
      </c>
    </row>
    <row r="20" spans="1:9" x14ac:dyDescent="0.35">
      <c r="A20" s="1" t="str">
        <f t="shared" si="0"/>
        <v>01 TS</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0" s="1" t="s">
        <v>3196</v>
      </c>
      <c r="D20" s="1" t="s">
        <v>3197</v>
      </c>
      <c r="E20" s="1" t="s">
        <v>1174</v>
      </c>
      <c r="F20" s="1" t="s">
        <v>111</v>
      </c>
      <c r="G20" s="1">
        <v>13792</v>
      </c>
    </row>
    <row r="21" spans="1:9" x14ac:dyDescent="0.35">
      <c r="A21" s="1" t="str">
        <f t="shared" si="0"/>
        <v>01 TS</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3198</v>
      </c>
      <c r="D21" s="1" t="s">
        <v>3199</v>
      </c>
      <c r="E21" s="1" t="s">
        <v>3200</v>
      </c>
      <c r="F21" s="1" t="s">
        <v>111</v>
      </c>
      <c r="G21" s="1">
        <v>86884</v>
      </c>
    </row>
    <row r="22" spans="1:9" x14ac:dyDescent="0.35">
      <c r="A22" s="1" t="str">
        <f t="shared" si="0"/>
        <v>01 TS</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3201</v>
      </c>
      <c r="D22" s="1" t="s">
        <v>3202</v>
      </c>
      <c r="E22" s="1" t="s">
        <v>3203</v>
      </c>
      <c r="F22" s="1" t="s">
        <v>111</v>
      </c>
      <c r="G22" s="1">
        <v>435532</v>
      </c>
    </row>
    <row r="23" spans="1:9" x14ac:dyDescent="0.35">
      <c r="A23" s="1" t="str">
        <f t="shared" si="0"/>
        <v>01 TS</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3" s="1" t="s">
        <v>3204</v>
      </c>
      <c r="D23" s="1" t="s">
        <v>3205</v>
      </c>
      <c r="E23" s="1" t="s">
        <v>3206</v>
      </c>
      <c r="F23" s="1" t="s">
        <v>111</v>
      </c>
      <c r="G23" s="1">
        <v>432399</v>
      </c>
    </row>
    <row r="24" spans="1:9" x14ac:dyDescent="0.35">
      <c r="A24" s="1" t="str">
        <f t="shared" si="0"/>
        <v>01 TS</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3207</v>
      </c>
      <c r="D24" s="1" t="s">
        <v>3208</v>
      </c>
      <c r="E24" s="1" t="s">
        <v>3209</v>
      </c>
      <c r="F24" s="1" t="s">
        <v>111</v>
      </c>
      <c r="G24" s="1">
        <v>72853</v>
      </c>
    </row>
    <row r="25" spans="1:9" x14ac:dyDescent="0.35">
      <c r="A25" s="1" t="str">
        <f t="shared" si="0"/>
        <v>01 TS</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3210</v>
      </c>
      <c r="D25" s="1" t="s">
        <v>3211</v>
      </c>
      <c r="E25" s="1" t="s">
        <v>3212</v>
      </c>
      <c r="F25" s="1" t="s">
        <v>111</v>
      </c>
      <c r="G25" s="1">
        <v>86754</v>
      </c>
    </row>
    <row r="26" spans="1:9" x14ac:dyDescent="0.35">
      <c r="A26" s="1" t="str">
        <f t="shared" si="0"/>
        <v>01 TS</v>
      </c>
      <c r="B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6" s="1" t="s">
        <v>3213</v>
      </c>
      <c r="D26" s="1" t="s">
        <v>3214</v>
      </c>
      <c r="E26" s="1" t="s">
        <v>3215</v>
      </c>
      <c r="F26" s="1" t="s">
        <v>111</v>
      </c>
      <c r="G26" s="1">
        <v>54341</v>
      </c>
    </row>
    <row r="27" spans="1:9" x14ac:dyDescent="0.3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111</v>
      </c>
    </row>
    <row r="28" spans="1:9" x14ac:dyDescent="0.35">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8" s="1" t="s">
        <v>234</v>
      </c>
      <c r="D28" s="1" t="s">
        <v>111</v>
      </c>
      <c r="E28" s="1" t="s">
        <v>235</v>
      </c>
      <c r="F28" s="1" t="s">
        <v>236</v>
      </c>
      <c r="G28" s="1" t="s">
        <v>237</v>
      </c>
      <c r="H28" s="1" t="s">
        <v>238</v>
      </c>
      <c r="I28" s="1" t="s">
        <v>239</v>
      </c>
    </row>
    <row r="29" spans="1:9" x14ac:dyDescent="0.35">
      <c r="A29" s="1" t="str">
        <f t="shared" si="0"/>
        <v>01 TS</v>
      </c>
      <c r="B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 s="1" t="s">
        <v>3216</v>
      </c>
      <c r="D29" s="1" t="s">
        <v>111</v>
      </c>
      <c r="E29" s="1" t="s">
        <v>2543</v>
      </c>
      <c r="F29" s="1" t="s">
        <v>3217</v>
      </c>
      <c r="G29" s="1" t="s">
        <v>3218</v>
      </c>
      <c r="H29" s="1" t="s">
        <v>3219</v>
      </c>
      <c r="I29" s="1">
        <v>24</v>
      </c>
    </row>
    <row r="30" spans="1:9" x14ac:dyDescent="0.3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111</v>
      </c>
    </row>
    <row r="31" spans="1:9" x14ac:dyDescent="0.3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111</v>
      </c>
    </row>
    <row r="32" spans="1:9" x14ac:dyDescent="0.3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111</v>
      </c>
    </row>
    <row r="33" spans="1:7" x14ac:dyDescent="0.3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111</v>
      </c>
    </row>
    <row r="34" spans="1:7" x14ac:dyDescent="0.3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111</v>
      </c>
    </row>
    <row r="35" spans="1:7" x14ac:dyDescent="0.35">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 s="1" t="s">
        <v>245</v>
      </c>
      <c r="D35" s="1" t="s">
        <v>109</v>
      </c>
      <c r="E35" s="1" t="s">
        <v>110</v>
      </c>
      <c r="F35" s="1" t="s">
        <v>111</v>
      </c>
      <c r="G35" s="1" t="s">
        <v>112</v>
      </c>
    </row>
    <row r="36" spans="1:7" x14ac:dyDescent="0.35">
      <c r="A36" s="1" t="str">
        <f t="shared" si="0"/>
        <v>02 EE2 34</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3220</v>
      </c>
      <c r="D36" s="1" t="s">
        <v>3221</v>
      </c>
      <c r="E36" s="1" t="s">
        <v>3222</v>
      </c>
      <c r="F36" s="1" t="s">
        <v>111</v>
      </c>
      <c r="G36" s="1">
        <v>451151</v>
      </c>
    </row>
    <row r="37" spans="1:7" x14ac:dyDescent="0.35">
      <c r="A37" s="1" t="str">
        <f t="shared" si="0"/>
        <v>02 EE2 34</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3223</v>
      </c>
    </row>
    <row r="38" spans="1:7" x14ac:dyDescent="0.35">
      <c r="A38" s="1" t="str">
        <f t="shared" si="0"/>
        <v>02 EE2 34</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8" s="1" t="s">
        <v>3224</v>
      </c>
      <c r="D38" s="1" t="s">
        <v>3225</v>
      </c>
      <c r="E38" s="1" t="s">
        <v>3226</v>
      </c>
      <c r="F38" s="1" t="s">
        <v>111</v>
      </c>
      <c r="G38" s="1">
        <v>32696</v>
      </c>
    </row>
    <row r="39" spans="1:7" x14ac:dyDescent="0.35">
      <c r="A39" s="1" t="str">
        <f t="shared" si="0"/>
        <v>02 EE2 34</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3227</v>
      </c>
      <c r="D39" s="1" t="s">
        <v>3228</v>
      </c>
      <c r="E39" s="1" t="s">
        <v>3229</v>
      </c>
      <c r="F39" s="1" t="s">
        <v>111</v>
      </c>
      <c r="G39" s="1">
        <v>308468</v>
      </c>
    </row>
    <row r="40" spans="1:7" x14ac:dyDescent="0.35">
      <c r="A40" s="1" t="str">
        <f t="shared" si="0"/>
        <v>02 EE2 34</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3230</v>
      </c>
      <c r="D40" s="1" t="s">
        <v>3231</v>
      </c>
      <c r="E40" s="1" t="s">
        <v>3232</v>
      </c>
      <c r="F40" s="1" t="s">
        <v>111</v>
      </c>
      <c r="G40" s="1">
        <v>455110</v>
      </c>
    </row>
    <row r="41" spans="1:7" x14ac:dyDescent="0.35">
      <c r="A41" s="1" t="str">
        <f t="shared" si="0"/>
        <v>02 EE2 34</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1" s="1" t="s">
        <v>3233</v>
      </c>
      <c r="D41" s="1" t="s">
        <v>3234</v>
      </c>
      <c r="E41" s="1" t="s">
        <v>3235</v>
      </c>
      <c r="F41" s="1" t="s">
        <v>111</v>
      </c>
      <c r="G41" s="1">
        <v>82403</v>
      </c>
    </row>
    <row r="42" spans="1:7" x14ac:dyDescent="0.35">
      <c r="A42" s="1" t="str">
        <f t="shared" si="0"/>
        <v>02 EE2 34</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3236</v>
      </c>
      <c r="D42" s="1" t="s">
        <v>3237</v>
      </c>
      <c r="E42" s="1" t="s">
        <v>3238</v>
      </c>
      <c r="F42" s="1" t="s">
        <v>111</v>
      </c>
      <c r="G42" s="1">
        <v>44356</v>
      </c>
    </row>
    <row r="43" spans="1:7" x14ac:dyDescent="0.35">
      <c r="A43" s="1" t="str">
        <f t="shared" si="0"/>
        <v>02 EE2 34</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3239</v>
      </c>
      <c r="D43" s="1" t="s">
        <v>3240</v>
      </c>
      <c r="E43" s="1" t="s">
        <v>3241</v>
      </c>
      <c r="F43" s="1" t="s">
        <v>111</v>
      </c>
      <c r="G43" s="1">
        <v>522873</v>
      </c>
    </row>
    <row r="44" spans="1:7" x14ac:dyDescent="0.35">
      <c r="A44" s="1" t="str">
        <f t="shared" si="0"/>
        <v>02 EE2 34</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 s="1" t="s">
        <v>3242</v>
      </c>
      <c r="D44" s="1" t="s">
        <v>3243</v>
      </c>
      <c r="E44" s="1" t="s">
        <v>3244</v>
      </c>
      <c r="F44" s="1" t="s">
        <v>111</v>
      </c>
      <c r="G44" s="1">
        <v>425917</v>
      </c>
    </row>
    <row r="45" spans="1:7" x14ac:dyDescent="0.35">
      <c r="A45" s="1" t="str">
        <f t="shared" si="0"/>
        <v>02 EE2 34</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3245</v>
      </c>
      <c r="D45" s="1" t="s">
        <v>3246</v>
      </c>
      <c r="E45" s="1" t="s">
        <v>3247</v>
      </c>
      <c r="F45" s="1" t="s">
        <v>111</v>
      </c>
      <c r="G45" s="1">
        <v>197481</v>
      </c>
    </row>
    <row r="46" spans="1:7" x14ac:dyDescent="0.35">
      <c r="A46" s="1" t="str">
        <f t="shared" si="0"/>
        <v>02 EE2 34</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3248</v>
      </c>
      <c r="D46" s="1" t="s">
        <v>3249</v>
      </c>
      <c r="E46" s="1" t="s">
        <v>3250</v>
      </c>
      <c r="F46" s="1" t="s">
        <v>111</v>
      </c>
      <c r="G46" s="1">
        <v>262720</v>
      </c>
    </row>
    <row r="47" spans="1:7" x14ac:dyDescent="0.35">
      <c r="A47" s="1" t="str">
        <f t="shared" si="0"/>
        <v>02 EE2 34</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 s="1" t="s">
        <v>3251</v>
      </c>
      <c r="D47" s="1" t="s">
        <v>3252</v>
      </c>
      <c r="E47" s="1" t="s">
        <v>3253</v>
      </c>
      <c r="F47" s="1" t="s">
        <v>111</v>
      </c>
      <c r="G47" s="1">
        <v>280188</v>
      </c>
    </row>
    <row r="48" spans="1:7" x14ac:dyDescent="0.35">
      <c r="A48" s="1" t="str">
        <f t="shared" si="0"/>
        <v>02 EE2 34</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3254</v>
      </c>
      <c r="D48" s="1" t="s">
        <v>3255</v>
      </c>
      <c r="E48" s="1" t="s">
        <v>3256</v>
      </c>
      <c r="F48" s="1" t="s">
        <v>111</v>
      </c>
      <c r="G48" s="1">
        <v>908002</v>
      </c>
    </row>
    <row r="49" spans="1:9" x14ac:dyDescent="0.35">
      <c r="A49" s="1" t="str">
        <f t="shared" si="0"/>
        <v>02 EE2 34</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3257</v>
      </c>
      <c r="D49" s="1" t="s">
        <v>3258</v>
      </c>
      <c r="E49" s="1" t="s">
        <v>3259</v>
      </c>
      <c r="F49" s="1" t="s">
        <v>111</v>
      </c>
      <c r="G49" s="1">
        <v>1267243</v>
      </c>
    </row>
    <row r="50" spans="1:9" x14ac:dyDescent="0.35">
      <c r="A50" s="1" t="str">
        <f t="shared" si="0"/>
        <v>02 EE2 34</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 s="1" t="s">
        <v>3260</v>
      </c>
      <c r="D50" s="1" t="s">
        <v>3261</v>
      </c>
      <c r="E50" s="1" t="s">
        <v>3262</v>
      </c>
      <c r="F50" s="1" t="s">
        <v>111</v>
      </c>
      <c r="G50" s="1">
        <v>596118</v>
      </c>
    </row>
    <row r="51" spans="1:9" x14ac:dyDescent="0.35">
      <c r="A51" s="1" t="str">
        <f t="shared" si="0"/>
        <v>02 EE2 34</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3263</v>
      </c>
      <c r="D51" s="1" t="s">
        <v>3264</v>
      </c>
      <c r="E51" s="1" t="s">
        <v>3265</v>
      </c>
      <c r="F51" s="1" t="s">
        <v>111</v>
      </c>
      <c r="G51" s="1">
        <v>325001</v>
      </c>
    </row>
    <row r="52" spans="1:9" x14ac:dyDescent="0.35">
      <c r="A52" s="1" t="str">
        <f t="shared" si="0"/>
        <v>02 EE2 34</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3266</v>
      </c>
      <c r="D52" s="1" t="s">
        <v>3267</v>
      </c>
      <c r="E52" s="1" t="s">
        <v>3268</v>
      </c>
      <c r="F52" s="1" t="s">
        <v>111</v>
      </c>
      <c r="G52" s="1">
        <v>264373</v>
      </c>
    </row>
    <row r="53" spans="1:9" x14ac:dyDescent="0.35">
      <c r="A53" s="1" t="str">
        <f t="shared" si="0"/>
        <v>02 EE2 34</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3" s="1" t="s">
        <v>3269</v>
      </c>
      <c r="D53" s="1" t="s">
        <v>3270</v>
      </c>
      <c r="E53" s="1" t="s">
        <v>3271</v>
      </c>
      <c r="F53" s="1" t="s">
        <v>111</v>
      </c>
      <c r="G53" s="1">
        <v>233614</v>
      </c>
    </row>
    <row r="54" spans="1:9" x14ac:dyDescent="0.35">
      <c r="A54" s="1" t="str">
        <f t="shared" si="0"/>
        <v>02 EE2 34</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3272</v>
      </c>
      <c r="D54" s="1" t="s">
        <v>3273</v>
      </c>
      <c r="E54" s="1" t="s">
        <v>3274</v>
      </c>
      <c r="F54" s="1" t="s">
        <v>111</v>
      </c>
      <c r="G54" s="1">
        <v>719745</v>
      </c>
    </row>
    <row r="55" spans="1:9" x14ac:dyDescent="0.35">
      <c r="A55" s="1" t="str">
        <f t="shared" si="0"/>
        <v>02 EE2 34</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3275</v>
      </c>
      <c r="D55" s="1" t="s">
        <v>3276</v>
      </c>
      <c r="E55" s="1" t="s">
        <v>3277</v>
      </c>
      <c r="F55" s="1" t="s">
        <v>111</v>
      </c>
      <c r="G55" s="1">
        <v>588939</v>
      </c>
    </row>
    <row r="56" spans="1:9" x14ac:dyDescent="0.35">
      <c r="A56" s="1" t="str">
        <f t="shared" si="0"/>
        <v>02 EE2 34</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6" s="1" t="s">
        <v>3278</v>
      </c>
      <c r="D56" s="1" t="s">
        <v>3279</v>
      </c>
      <c r="E56" s="1" t="s">
        <v>3280</v>
      </c>
      <c r="F56" s="1" t="s">
        <v>111</v>
      </c>
      <c r="G56" s="1">
        <v>785441</v>
      </c>
    </row>
    <row r="57" spans="1:9" x14ac:dyDescent="0.35">
      <c r="A57" s="1" t="str">
        <f t="shared" si="0"/>
        <v>02 EE2 34</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3281</v>
      </c>
      <c r="D57" s="1" t="s">
        <v>3282</v>
      </c>
      <c r="E57" s="1" t="s">
        <v>3283</v>
      </c>
      <c r="F57" s="1" t="s">
        <v>111</v>
      </c>
      <c r="G57" s="1">
        <v>63608</v>
      </c>
    </row>
    <row r="58" spans="1:9" x14ac:dyDescent="0.35">
      <c r="A58" s="1" t="str">
        <f t="shared" si="0"/>
        <v>02 EE2 34</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3284</v>
      </c>
      <c r="D58" s="1" t="s">
        <v>3285</v>
      </c>
      <c r="E58" s="1" t="s">
        <v>3286</v>
      </c>
      <c r="F58" s="1" t="s">
        <v>111</v>
      </c>
      <c r="G58" s="1">
        <v>48554</v>
      </c>
    </row>
    <row r="59" spans="1:9" x14ac:dyDescent="0.35">
      <c r="A59" s="1" t="str">
        <f t="shared" si="0"/>
        <v>02 EE2 34</v>
      </c>
      <c r="B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9" s="1" t="s">
        <v>3287</v>
      </c>
      <c r="D59" s="1" t="s">
        <v>3288</v>
      </c>
      <c r="E59" s="1" t="s">
        <v>3289</v>
      </c>
      <c r="F59" s="1" t="s">
        <v>111</v>
      </c>
      <c r="G59" s="1">
        <v>92519</v>
      </c>
    </row>
    <row r="60" spans="1:9" x14ac:dyDescent="0.3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111</v>
      </c>
    </row>
    <row r="61" spans="1:9" x14ac:dyDescent="0.35">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1" s="1" t="s">
        <v>234</v>
      </c>
      <c r="D61" s="1" t="s">
        <v>111</v>
      </c>
      <c r="E61" s="1" t="s">
        <v>235</v>
      </c>
      <c r="F61" s="1" t="s">
        <v>236</v>
      </c>
      <c r="G61" s="1" t="s">
        <v>237</v>
      </c>
      <c r="H61" s="1" t="s">
        <v>238</v>
      </c>
      <c r="I61" s="1" t="s">
        <v>239</v>
      </c>
    </row>
    <row r="62" spans="1:9" x14ac:dyDescent="0.35">
      <c r="A62" s="1" t="str">
        <f t="shared" si="0"/>
        <v>02 EE2 34</v>
      </c>
      <c r="B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 s="1" t="s">
        <v>3290</v>
      </c>
      <c r="D62" s="1" t="s">
        <v>111</v>
      </c>
      <c r="E62" s="1" t="s">
        <v>3291</v>
      </c>
      <c r="F62" s="1" t="s">
        <v>3292</v>
      </c>
      <c r="G62" s="1" t="s">
        <v>3293</v>
      </c>
      <c r="H62" s="1" t="s">
        <v>3294</v>
      </c>
      <c r="I62" s="1">
        <v>24</v>
      </c>
    </row>
    <row r="63" spans="1:9" x14ac:dyDescent="0.3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111</v>
      </c>
    </row>
    <row r="64" spans="1:9" x14ac:dyDescent="0.3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111</v>
      </c>
    </row>
    <row r="65" spans="1:7" x14ac:dyDescent="0.3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111</v>
      </c>
    </row>
    <row r="66" spans="1:7" x14ac:dyDescent="0.3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111</v>
      </c>
    </row>
    <row r="67" spans="1:7" x14ac:dyDescent="0.3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111</v>
      </c>
    </row>
    <row r="68" spans="1:7" x14ac:dyDescent="0.35">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 s="1" t="s">
        <v>245</v>
      </c>
      <c r="D68" s="1" t="s">
        <v>109</v>
      </c>
      <c r="E68" s="1" t="s">
        <v>110</v>
      </c>
      <c r="F68" s="1" t="s">
        <v>111</v>
      </c>
      <c r="G68" s="1" t="s">
        <v>112</v>
      </c>
    </row>
    <row r="69" spans="1:7" x14ac:dyDescent="0.35">
      <c r="A69" s="1" t="str">
        <f t="shared" si="1"/>
        <v>03 EE2 51</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3295</v>
      </c>
      <c r="D69" s="1" t="s">
        <v>3234</v>
      </c>
      <c r="E69" s="1" t="s">
        <v>3296</v>
      </c>
      <c r="F69" s="1" t="s">
        <v>111</v>
      </c>
      <c r="G69" s="1">
        <v>82360</v>
      </c>
    </row>
    <row r="70" spans="1:7" x14ac:dyDescent="0.35">
      <c r="A70" s="1" t="str">
        <f t="shared" si="1"/>
        <v>03 EE2 51</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3297</v>
      </c>
      <c r="D70" s="1" t="s">
        <v>3298</v>
      </c>
      <c r="E70" s="1" t="s">
        <v>3299</v>
      </c>
      <c r="F70" s="1" t="s">
        <v>111</v>
      </c>
      <c r="G70" s="1">
        <v>69677</v>
      </c>
    </row>
    <row r="71" spans="1:7" x14ac:dyDescent="0.35">
      <c r="A71" s="1" t="str">
        <f t="shared" si="1"/>
        <v>03 EE2 51</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1" s="1" t="s">
        <v>3300</v>
      </c>
      <c r="D71" s="1" t="s">
        <v>3285</v>
      </c>
      <c r="E71" s="1" t="s">
        <v>3301</v>
      </c>
      <c r="F71" s="1" t="s">
        <v>111</v>
      </c>
      <c r="G71" s="1">
        <v>47554</v>
      </c>
    </row>
    <row r="72" spans="1:7" x14ac:dyDescent="0.35">
      <c r="A72" s="1" t="str">
        <f t="shared" si="1"/>
        <v>03 EE2 51</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3302</v>
      </c>
      <c r="D72" s="1" t="s">
        <v>3161</v>
      </c>
      <c r="E72" s="1" t="s">
        <v>1174</v>
      </c>
      <c r="F72" s="1" t="s">
        <v>111</v>
      </c>
      <c r="G72" s="1">
        <v>27584</v>
      </c>
    </row>
    <row r="73" spans="1:7" x14ac:dyDescent="0.35">
      <c r="A73" s="1" t="str">
        <f t="shared" si="1"/>
        <v>03 EE2 51</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3303</v>
      </c>
      <c r="D73" s="1" t="s">
        <v>3304</v>
      </c>
      <c r="E73" s="1" t="s">
        <v>3305</v>
      </c>
      <c r="F73" s="1" t="s">
        <v>111</v>
      </c>
      <c r="G73" s="1">
        <v>38613</v>
      </c>
    </row>
    <row r="74" spans="1:7" x14ac:dyDescent="0.35">
      <c r="A74" s="1" t="str">
        <f t="shared" si="1"/>
        <v>03 EE2 51</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4" s="1" t="s">
        <v>3306</v>
      </c>
      <c r="D74" s="1" t="s">
        <v>3307</v>
      </c>
      <c r="E74" s="1" t="s">
        <v>3308</v>
      </c>
      <c r="F74" s="1" t="s">
        <v>111</v>
      </c>
      <c r="G74" s="1">
        <v>23451</v>
      </c>
    </row>
    <row r="75" spans="1:7" x14ac:dyDescent="0.35">
      <c r="A75" s="1" t="str">
        <f t="shared" si="1"/>
        <v>03 EE2 51</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3309</v>
      </c>
      <c r="D75" s="1" t="s">
        <v>3310</v>
      </c>
      <c r="E75" s="1" t="s">
        <v>3311</v>
      </c>
      <c r="F75" s="1" t="s">
        <v>111</v>
      </c>
      <c r="G75" s="1">
        <v>89190</v>
      </c>
    </row>
    <row r="76" spans="1:7" x14ac:dyDescent="0.35">
      <c r="A76" s="1" t="str">
        <f t="shared" si="1"/>
        <v>03 EE2 51</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3312</v>
      </c>
      <c r="D76" s="1" t="s">
        <v>3313</v>
      </c>
      <c r="E76" s="1" t="s">
        <v>3314</v>
      </c>
      <c r="F76" s="1" t="s">
        <v>111</v>
      </c>
      <c r="G76" s="1">
        <v>131806</v>
      </c>
    </row>
    <row r="77" spans="1:7" x14ac:dyDescent="0.35">
      <c r="A77" s="1" t="str">
        <f t="shared" si="1"/>
        <v>03 EE2 51</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7" s="1" t="s">
        <v>3315</v>
      </c>
      <c r="D77" s="1" t="s">
        <v>3316</v>
      </c>
      <c r="E77" s="1" t="s">
        <v>3317</v>
      </c>
      <c r="F77" s="1" t="s">
        <v>111</v>
      </c>
      <c r="G77" s="1">
        <v>114925</v>
      </c>
    </row>
    <row r="78" spans="1:7" x14ac:dyDescent="0.35">
      <c r="A78" s="1" t="str">
        <f t="shared" si="1"/>
        <v>03 EE2 51</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3318</v>
      </c>
      <c r="D78" s="1" t="s">
        <v>3319</v>
      </c>
      <c r="E78" s="1" t="s">
        <v>3320</v>
      </c>
      <c r="F78" s="1" t="s">
        <v>111</v>
      </c>
      <c r="G78" s="1">
        <v>201440</v>
      </c>
    </row>
    <row r="79" spans="1:7" x14ac:dyDescent="0.35">
      <c r="A79" s="1" t="str">
        <f t="shared" si="1"/>
        <v>03 EE2 51</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3321</v>
      </c>
      <c r="D79" s="1" t="s">
        <v>3322</v>
      </c>
      <c r="E79" s="1" t="s">
        <v>3323</v>
      </c>
      <c r="F79" s="1" t="s">
        <v>111</v>
      </c>
      <c r="G79" s="1">
        <v>186234</v>
      </c>
    </row>
    <row r="80" spans="1:7" x14ac:dyDescent="0.35">
      <c r="A80" s="1" t="str">
        <f t="shared" si="1"/>
        <v>03 EE2 51</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80" s="1" t="s">
        <v>3324</v>
      </c>
      <c r="D80" s="1" t="s">
        <v>3325</v>
      </c>
      <c r="E80" s="1">
        <v>67</v>
      </c>
      <c r="F80" s="1" t="s">
        <v>111</v>
      </c>
      <c r="G80" s="1">
        <v>160325</v>
      </c>
    </row>
    <row r="81" spans="1:9" x14ac:dyDescent="0.35">
      <c r="A81" s="1" t="str">
        <f t="shared" si="1"/>
        <v>03 EE2 51</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3326</v>
      </c>
      <c r="D81" s="1" t="s">
        <v>3327</v>
      </c>
      <c r="E81" s="1" t="s">
        <v>3328</v>
      </c>
      <c r="F81" s="1" t="s">
        <v>111</v>
      </c>
      <c r="G81" s="1">
        <v>133829</v>
      </c>
    </row>
    <row r="82" spans="1:9" x14ac:dyDescent="0.35">
      <c r="A82" s="1" t="str">
        <f t="shared" si="1"/>
        <v>03 EE2 51</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3329</v>
      </c>
      <c r="D82" s="1" t="s">
        <v>3330</v>
      </c>
      <c r="E82" s="1" t="s">
        <v>3331</v>
      </c>
      <c r="F82" s="1" t="s">
        <v>111</v>
      </c>
      <c r="G82" s="1">
        <v>433291</v>
      </c>
    </row>
    <row r="83" spans="1:9" x14ac:dyDescent="0.35">
      <c r="A83" s="1" t="str">
        <f t="shared" si="1"/>
        <v>03 EE2 51</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3" s="1" t="s">
        <v>3332</v>
      </c>
      <c r="D83" s="1" t="s">
        <v>3333</v>
      </c>
      <c r="E83" s="1" t="s">
        <v>3334</v>
      </c>
      <c r="F83" s="1" t="s">
        <v>111</v>
      </c>
      <c r="G83" s="1">
        <v>200178</v>
      </c>
    </row>
    <row r="84" spans="1:9" x14ac:dyDescent="0.35">
      <c r="A84" s="1" t="str">
        <f t="shared" si="1"/>
        <v>03 EE2 51</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3335</v>
      </c>
    </row>
    <row r="85" spans="1:9" x14ac:dyDescent="0.35">
      <c r="A85" s="1" t="str">
        <f t="shared" si="1"/>
        <v>03 EE2 51</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3336</v>
      </c>
    </row>
    <row r="86" spans="1:9" x14ac:dyDescent="0.35">
      <c r="A86" s="1" t="str">
        <f t="shared" si="1"/>
        <v>03 EE2 51</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6" s="1" t="s">
        <v>3337</v>
      </c>
    </row>
    <row r="87" spans="1:9" x14ac:dyDescent="0.35">
      <c r="A87" s="1" t="str">
        <f t="shared" si="1"/>
        <v>03 EE2 51</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3338</v>
      </c>
      <c r="D87" s="1" t="s">
        <v>3339</v>
      </c>
      <c r="E87" s="1" t="s">
        <v>3340</v>
      </c>
      <c r="F87" s="1" t="s">
        <v>111</v>
      </c>
      <c r="G87" s="1">
        <v>142270</v>
      </c>
    </row>
    <row r="88" spans="1:9" x14ac:dyDescent="0.35">
      <c r="A88" s="1" t="str">
        <f t="shared" si="1"/>
        <v>03 EE2 51</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3341</v>
      </c>
      <c r="D88" s="1" t="s">
        <v>3342</v>
      </c>
      <c r="E88" s="1" t="s">
        <v>3343</v>
      </c>
      <c r="F88" s="1" t="s">
        <v>111</v>
      </c>
      <c r="G88" s="1">
        <v>120451</v>
      </c>
    </row>
    <row r="89" spans="1:9" x14ac:dyDescent="0.35">
      <c r="A89" s="1" t="str">
        <f t="shared" si="1"/>
        <v>03 EE2 51</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9" s="1" t="s">
        <v>3344</v>
      </c>
      <c r="D89" s="1" t="s">
        <v>3345</v>
      </c>
      <c r="E89" s="1" t="s">
        <v>3346</v>
      </c>
      <c r="F89" s="1" t="s">
        <v>111</v>
      </c>
      <c r="G89" s="1">
        <v>131850</v>
      </c>
    </row>
    <row r="90" spans="1:9" x14ac:dyDescent="0.35">
      <c r="A90" s="1" t="str">
        <f t="shared" si="1"/>
        <v>03 EE2 51</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3347</v>
      </c>
      <c r="D90" s="1" t="s">
        <v>3348</v>
      </c>
      <c r="E90" s="1" t="s">
        <v>3349</v>
      </c>
      <c r="F90" s="1" t="s">
        <v>111</v>
      </c>
      <c r="G90" s="1">
        <v>193217</v>
      </c>
    </row>
    <row r="91" spans="1:9" x14ac:dyDescent="0.35">
      <c r="A91" s="1" t="str">
        <f t="shared" si="1"/>
        <v>03 EE2 51</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3350</v>
      </c>
      <c r="D91" s="1" t="s">
        <v>3351</v>
      </c>
      <c r="E91" s="1" t="s">
        <v>3352</v>
      </c>
      <c r="F91" s="1" t="s">
        <v>111</v>
      </c>
      <c r="G91" s="1">
        <v>773933</v>
      </c>
    </row>
    <row r="92" spans="1:9" x14ac:dyDescent="0.35">
      <c r="A92" s="1" t="str">
        <f t="shared" si="1"/>
        <v>03 EE2 51</v>
      </c>
      <c r="B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2" s="1" t="s">
        <v>3353</v>
      </c>
      <c r="D92" s="1" t="s">
        <v>3354</v>
      </c>
      <c r="E92" s="1" t="s">
        <v>3355</v>
      </c>
      <c r="F92" s="1" t="s">
        <v>111</v>
      </c>
      <c r="G92" s="1">
        <v>542212</v>
      </c>
    </row>
    <row r="93" spans="1:9" x14ac:dyDescent="0.3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111</v>
      </c>
    </row>
    <row r="94" spans="1:9" x14ac:dyDescent="0.35">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4" s="1" t="s">
        <v>234</v>
      </c>
      <c r="D94" s="1" t="s">
        <v>111</v>
      </c>
      <c r="E94" s="1" t="s">
        <v>235</v>
      </c>
      <c r="F94" s="1" t="s">
        <v>236</v>
      </c>
      <c r="G94" s="1" t="s">
        <v>237</v>
      </c>
      <c r="H94" s="1" t="s">
        <v>238</v>
      </c>
      <c r="I94" s="1" t="s">
        <v>239</v>
      </c>
    </row>
    <row r="95" spans="1:9" x14ac:dyDescent="0.35">
      <c r="A95" s="1" t="str">
        <f t="shared" si="1"/>
        <v>03 EE2 51</v>
      </c>
      <c r="B9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5" s="1" t="s">
        <v>3356</v>
      </c>
      <c r="D95" s="1" t="s">
        <v>111</v>
      </c>
      <c r="E95" s="1" t="s">
        <v>3357</v>
      </c>
      <c r="F95" s="1" t="s">
        <v>3358</v>
      </c>
      <c r="G95" s="1" t="s">
        <v>3359</v>
      </c>
      <c r="H95" s="1" t="s">
        <v>3360</v>
      </c>
      <c r="I95" s="1">
        <v>24</v>
      </c>
    </row>
    <row r="96" spans="1:9" x14ac:dyDescent="0.3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111</v>
      </c>
    </row>
    <row r="97" spans="1:7" x14ac:dyDescent="0.3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111</v>
      </c>
    </row>
    <row r="98" spans="1:7" x14ac:dyDescent="0.3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111</v>
      </c>
    </row>
    <row r="99" spans="1:7" x14ac:dyDescent="0.3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111</v>
      </c>
    </row>
    <row r="100" spans="1:7" x14ac:dyDescent="0.3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111</v>
      </c>
    </row>
    <row r="101" spans="1:7" x14ac:dyDescent="0.35">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1" s="1" t="s">
        <v>245</v>
      </c>
      <c r="D101" s="1" t="s">
        <v>109</v>
      </c>
      <c r="E101" s="1" t="s">
        <v>110</v>
      </c>
      <c r="F101" s="1" t="s">
        <v>111</v>
      </c>
      <c r="G101" s="1" t="s">
        <v>112</v>
      </c>
    </row>
    <row r="102" spans="1:7" x14ac:dyDescent="0.3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3361</v>
      </c>
    </row>
    <row r="103" spans="1:7" x14ac:dyDescent="0.3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3362</v>
      </c>
      <c r="D103" s="1" t="s">
        <v>3363</v>
      </c>
      <c r="E103" s="1" t="s">
        <v>3364</v>
      </c>
      <c r="F103" s="1" t="s">
        <v>111</v>
      </c>
      <c r="G103" s="1">
        <v>268681</v>
      </c>
    </row>
    <row r="104" spans="1:7" x14ac:dyDescent="0.3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4" s="1" t="s">
        <v>3365</v>
      </c>
      <c r="D104" s="1" t="s">
        <v>3366</v>
      </c>
      <c r="E104" s="1" t="s">
        <v>3367</v>
      </c>
      <c r="F104" s="1" t="s">
        <v>111</v>
      </c>
      <c r="G104" s="1">
        <v>157606</v>
      </c>
    </row>
    <row r="105" spans="1:7" x14ac:dyDescent="0.3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3368</v>
      </c>
      <c r="D105" s="1" t="s">
        <v>3304</v>
      </c>
      <c r="E105" s="1" t="s">
        <v>3369</v>
      </c>
      <c r="F105" s="1" t="s">
        <v>111</v>
      </c>
      <c r="G105" s="1">
        <v>38504</v>
      </c>
    </row>
    <row r="106" spans="1:7" x14ac:dyDescent="0.3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3370</v>
      </c>
      <c r="D106" s="1" t="s">
        <v>3371</v>
      </c>
      <c r="E106" s="1" t="s">
        <v>3372</v>
      </c>
      <c r="F106" s="1" t="s">
        <v>111</v>
      </c>
      <c r="G106" s="1">
        <v>39918</v>
      </c>
    </row>
    <row r="107" spans="1:7" x14ac:dyDescent="0.3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7" s="1" t="s">
        <v>3373</v>
      </c>
      <c r="D107" s="1" t="s">
        <v>3374</v>
      </c>
      <c r="E107" s="1" t="s">
        <v>3375</v>
      </c>
      <c r="F107" s="1" t="s">
        <v>111</v>
      </c>
      <c r="G107" s="1">
        <v>96869</v>
      </c>
    </row>
    <row r="108" spans="1:7" x14ac:dyDescent="0.3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3376</v>
      </c>
      <c r="D108" s="1" t="s">
        <v>3246</v>
      </c>
      <c r="E108" s="1" t="s">
        <v>3377</v>
      </c>
      <c r="F108" s="1" t="s">
        <v>111</v>
      </c>
      <c r="G108" s="1">
        <v>198372</v>
      </c>
    </row>
    <row r="109" spans="1:7" x14ac:dyDescent="0.3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3378</v>
      </c>
      <c r="D109" s="1" t="s">
        <v>3379</v>
      </c>
      <c r="E109" s="1" t="s">
        <v>3380</v>
      </c>
      <c r="F109" s="1" t="s">
        <v>111</v>
      </c>
      <c r="G109" s="1">
        <v>255237</v>
      </c>
    </row>
    <row r="110" spans="1:7" x14ac:dyDescent="0.3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10" s="1" t="s">
        <v>3381</v>
      </c>
      <c r="D110" s="1" t="s">
        <v>3382</v>
      </c>
      <c r="E110" s="1" t="s">
        <v>3383</v>
      </c>
      <c r="F110" s="1" t="s">
        <v>111</v>
      </c>
      <c r="G110" s="1">
        <v>150536</v>
      </c>
    </row>
    <row r="111" spans="1:7" x14ac:dyDescent="0.3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3384</v>
      </c>
      <c r="D111" s="1" t="s">
        <v>3249</v>
      </c>
      <c r="E111" s="1" t="s">
        <v>3385</v>
      </c>
      <c r="F111" s="1" t="s">
        <v>111</v>
      </c>
      <c r="G111" s="1">
        <v>248210</v>
      </c>
    </row>
    <row r="112" spans="1:7" x14ac:dyDescent="0.3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3386</v>
      </c>
      <c r="D112" s="1" t="s">
        <v>3387</v>
      </c>
      <c r="E112" s="1" t="s">
        <v>3388</v>
      </c>
      <c r="F112" s="1" t="s">
        <v>111</v>
      </c>
      <c r="G112" s="1">
        <v>539254</v>
      </c>
    </row>
    <row r="113" spans="1:9" x14ac:dyDescent="0.3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3" s="1" t="s">
        <v>3389</v>
      </c>
      <c r="D113" s="1" t="s">
        <v>3390</v>
      </c>
      <c r="E113" s="1" t="s">
        <v>3391</v>
      </c>
      <c r="F113" s="1" t="s">
        <v>111</v>
      </c>
      <c r="G113" s="1">
        <v>661314</v>
      </c>
    </row>
    <row r="114" spans="1:9" x14ac:dyDescent="0.3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3392</v>
      </c>
      <c r="D114" s="1" t="s">
        <v>3393</v>
      </c>
      <c r="E114" s="1" t="s">
        <v>3394</v>
      </c>
      <c r="F114" s="1" t="s">
        <v>111</v>
      </c>
      <c r="G114" s="1">
        <v>208118</v>
      </c>
    </row>
    <row r="115" spans="1:9" x14ac:dyDescent="0.3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3395</v>
      </c>
      <c r="D115" s="1" t="s">
        <v>3396</v>
      </c>
      <c r="E115" s="1" t="s">
        <v>3397</v>
      </c>
      <c r="F115" s="1" t="s">
        <v>111</v>
      </c>
      <c r="G115" s="1">
        <v>253758</v>
      </c>
    </row>
    <row r="116" spans="1:9" x14ac:dyDescent="0.3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6" s="1" t="s">
        <v>3398</v>
      </c>
      <c r="D116" s="1" t="s">
        <v>3399</v>
      </c>
      <c r="E116" s="1" t="s">
        <v>3400</v>
      </c>
      <c r="F116" s="1" t="s">
        <v>111</v>
      </c>
      <c r="G116" s="1">
        <v>26735</v>
      </c>
    </row>
    <row r="117" spans="1:9" x14ac:dyDescent="0.3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3401</v>
      </c>
      <c r="D117" s="1" t="s">
        <v>3402</v>
      </c>
      <c r="E117" s="1" t="s">
        <v>3403</v>
      </c>
      <c r="F117" s="1" t="s">
        <v>111</v>
      </c>
      <c r="G117" s="1">
        <v>762426</v>
      </c>
    </row>
    <row r="118" spans="1:9" x14ac:dyDescent="0.3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3404</v>
      </c>
      <c r="D118" s="1" t="s">
        <v>3405</v>
      </c>
      <c r="E118" s="1" t="s">
        <v>3406</v>
      </c>
      <c r="F118" s="1" t="s">
        <v>111</v>
      </c>
      <c r="G118" s="1">
        <v>1149838</v>
      </c>
    </row>
    <row r="119" spans="1:9" x14ac:dyDescent="0.3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9" s="1" t="s">
        <v>3407</v>
      </c>
      <c r="D119" s="1" t="s">
        <v>3408</v>
      </c>
      <c r="E119" s="1" t="s">
        <v>3409</v>
      </c>
      <c r="F119" s="1" t="s">
        <v>111</v>
      </c>
      <c r="G119" s="1">
        <v>1067196</v>
      </c>
    </row>
    <row r="120" spans="1:9" x14ac:dyDescent="0.3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3410</v>
      </c>
      <c r="D120" s="1" t="s">
        <v>3411</v>
      </c>
      <c r="E120" s="1" t="s">
        <v>3412</v>
      </c>
      <c r="F120" s="1" t="s">
        <v>111</v>
      </c>
      <c r="G120" s="1">
        <v>323217</v>
      </c>
    </row>
    <row r="121" spans="1:9" x14ac:dyDescent="0.3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3413</v>
      </c>
      <c r="D121" s="1" t="s">
        <v>3414</v>
      </c>
      <c r="E121" s="1" t="s">
        <v>1609</v>
      </c>
      <c r="F121" s="1" t="s">
        <v>111</v>
      </c>
      <c r="G121" s="1">
        <v>194152</v>
      </c>
    </row>
    <row r="122" spans="1:9" x14ac:dyDescent="0.3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2" s="1" t="s">
        <v>3415</v>
      </c>
      <c r="D122" s="1" t="s">
        <v>3416</v>
      </c>
      <c r="E122" s="1" t="s">
        <v>3417</v>
      </c>
      <c r="F122" s="1" t="s">
        <v>111</v>
      </c>
      <c r="G122" s="1">
        <v>295416</v>
      </c>
    </row>
    <row r="123" spans="1:9" x14ac:dyDescent="0.3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3418</v>
      </c>
    </row>
    <row r="124" spans="1:9" x14ac:dyDescent="0.3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3419</v>
      </c>
    </row>
    <row r="125" spans="1:9" x14ac:dyDescent="0.35">
      <c r="A125" s="1" t="str">
        <f t="shared" si="1"/>
        <v>04 EE2 76</v>
      </c>
      <c r="B1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5" s="1" t="s">
        <v>3420</v>
      </c>
      <c r="D125" s="1" t="s">
        <v>3421</v>
      </c>
      <c r="E125" s="1" t="s">
        <v>3422</v>
      </c>
      <c r="F125" s="1" t="s">
        <v>111</v>
      </c>
      <c r="G125" s="1">
        <v>233614</v>
      </c>
    </row>
    <row r="126" spans="1:9" x14ac:dyDescent="0.3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111</v>
      </c>
    </row>
    <row r="127" spans="1:9" x14ac:dyDescent="0.35">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7" s="1" t="s">
        <v>234</v>
      </c>
      <c r="D127" s="1" t="s">
        <v>111</v>
      </c>
      <c r="E127" s="1" t="s">
        <v>235</v>
      </c>
      <c r="F127" s="1" t="s">
        <v>236</v>
      </c>
      <c r="G127" s="1" t="s">
        <v>237</v>
      </c>
      <c r="H127" s="1" t="s">
        <v>238</v>
      </c>
      <c r="I127" s="1" t="s">
        <v>239</v>
      </c>
    </row>
    <row r="128" spans="1:9" x14ac:dyDescent="0.35">
      <c r="A128" s="1" t="str">
        <f t="shared" si="1"/>
        <v>04 EE2 76</v>
      </c>
      <c r="B1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8" s="1" t="s">
        <v>3423</v>
      </c>
      <c r="D128" s="1" t="s">
        <v>111</v>
      </c>
      <c r="E128" s="1" t="s">
        <v>3424</v>
      </c>
      <c r="F128" s="1" t="s">
        <v>3425</v>
      </c>
      <c r="G128" s="1" t="s">
        <v>3426</v>
      </c>
      <c r="H128" s="1" t="s">
        <v>3427</v>
      </c>
      <c r="I128" s="1">
        <v>24</v>
      </c>
    </row>
    <row r="129" spans="1:7" x14ac:dyDescent="0.3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111</v>
      </c>
    </row>
    <row r="130" spans="1:7" x14ac:dyDescent="0.3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111</v>
      </c>
    </row>
    <row r="131" spans="1:7" x14ac:dyDescent="0.3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111</v>
      </c>
    </row>
    <row r="132" spans="1:7" x14ac:dyDescent="0.3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111</v>
      </c>
    </row>
    <row r="133" spans="1:7" x14ac:dyDescent="0.3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111</v>
      </c>
    </row>
    <row r="134" spans="1:7" x14ac:dyDescent="0.35">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4" s="1" t="s">
        <v>245</v>
      </c>
      <c r="D134" s="1" t="s">
        <v>109</v>
      </c>
      <c r="E134" s="1" t="s">
        <v>110</v>
      </c>
      <c r="F134" s="1" t="s">
        <v>111</v>
      </c>
      <c r="G134" s="1" t="s">
        <v>112</v>
      </c>
    </row>
    <row r="135" spans="1:7" x14ac:dyDescent="0.3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3428</v>
      </c>
      <c r="D135" s="1" t="s">
        <v>3429</v>
      </c>
      <c r="E135" s="1" t="s">
        <v>3430</v>
      </c>
      <c r="F135" s="1" t="s">
        <v>111</v>
      </c>
      <c r="G135" s="1">
        <v>2209311</v>
      </c>
    </row>
    <row r="136" spans="1:7" x14ac:dyDescent="0.3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3431</v>
      </c>
      <c r="D136" s="1" t="s">
        <v>3432</v>
      </c>
      <c r="E136" s="1" t="s">
        <v>3433</v>
      </c>
      <c r="F136" s="1" t="s">
        <v>111</v>
      </c>
      <c r="G136" s="1">
        <v>2088665</v>
      </c>
    </row>
    <row r="137" spans="1:7" x14ac:dyDescent="0.3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7" s="1" t="s">
        <v>3434</v>
      </c>
      <c r="D137" s="1" t="s">
        <v>3435</v>
      </c>
      <c r="E137" s="1" t="s">
        <v>3436</v>
      </c>
      <c r="F137" s="1" t="s">
        <v>111</v>
      </c>
      <c r="G137" s="1">
        <v>2035760</v>
      </c>
    </row>
    <row r="138" spans="1:7" x14ac:dyDescent="0.3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3437</v>
      </c>
    </row>
    <row r="139" spans="1:7" x14ac:dyDescent="0.3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3438</v>
      </c>
      <c r="D139" s="1" t="s">
        <v>3439</v>
      </c>
      <c r="E139" s="1" t="s">
        <v>3440</v>
      </c>
      <c r="F139" s="1" t="s">
        <v>111</v>
      </c>
      <c r="G139" s="1">
        <v>4446185</v>
      </c>
    </row>
    <row r="140" spans="1:7" x14ac:dyDescent="0.3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40" s="1" t="s">
        <v>3441</v>
      </c>
      <c r="D140" s="1" t="s">
        <v>3442</v>
      </c>
      <c r="E140" s="1" t="s">
        <v>3443</v>
      </c>
      <c r="F140" s="1" t="s">
        <v>111</v>
      </c>
      <c r="G140" s="1">
        <v>4055596</v>
      </c>
    </row>
    <row r="141" spans="1:7" x14ac:dyDescent="0.3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3444</v>
      </c>
      <c r="D141" s="1" t="s">
        <v>3445</v>
      </c>
      <c r="E141" s="1" t="s">
        <v>3446</v>
      </c>
      <c r="F141" s="1" t="s">
        <v>111</v>
      </c>
      <c r="G141" s="1">
        <v>4732943</v>
      </c>
    </row>
    <row r="142" spans="1:7" x14ac:dyDescent="0.3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3447</v>
      </c>
      <c r="D142" s="1" t="s">
        <v>3448</v>
      </c>
      <c r="E142" s="1" t="s">
        <v>3449</v>
      </c>
      <c r="F142" s="1" t="s">
        <v>111</v>
      </c>
      <c r="G142" s="1">
        <v>4748801</v>
      </c>
    </row>
    <row r="143" spans="1:7" x14ac:dyDescent="0.3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3" s="1" t="s">
        <v>3450</v>
      </c>
      <c r="D143" s="1" t="s">
        <v>3451</v>
      </c>
      <c r="E143" s="1" t="s">
        <v>3452</v>
      </c>
      <c r="F143" s="1" t="s">
        <v>111</v>
      </c>
      <c r="G143" s="1">
        <v>4203217</v>
      </c>
    </row>
    <row r="144" spans="1:7" x14ac:dyDescent="0.3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3453</v>
      </c>
    </row>
    <row r="145" spans="1:9" x14ac:dyDescent="0.3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3454</v>
      </c>
      <c r="D145" s="1" t="s">
        <v>3455</v>
      </c>
      <c r="E145" s="1" t="s">
        <v>3456</v>
      </c>
      <c r="F145" s="1" t="s">
        <v>111</v>
      </c>
      <c r="G145" s="1">
        <v>1894556</v>
      </c>
    </row>
    <row r="146" spans="1:9" x14ac:dyDescent="0.3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6" s="1" t="s">
        <v>3457</v>
      </c>
      <c r="D146" s="1" t="s">
        <v>3458</v>
      </c>
      <c r="E146" s="1" t="s">
        <v>3459</v>
      </c>
      <c r="F146" s="1" t="s">
        <v>111</v>
      </c>
      <c r="G146" s="1">
        <v>2091885</v>
      </c>
    </row>
    <row r="147" spans="1:9" x14ac:dyDescent="0.3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3460</v>
      </c>
      <c r="D147" s="1" t="s">
        <v>3461</v>
      </c>
      <c r="E147" s="1" t="s">
        <v>3462</v>
      </c>
      <c r="F147" s="1" t="s">
        <v>111</v>
      </c>
      <c r="G147" s="1">
        <v>2649955</v>
      </c>
    </row>
    <row r="148" spans="1:9" x14ac:dyDescent="0.3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3463</v>
      </c>
      <c r="D148" s="1" t="s">
        <v>3464</v>
      </c>
      <c r="E148" s="1" t="s">
        <v>3465</v>
      </c>
      <c r="F148" s="1" t="s">
        <v>111</v>
      </c>
      <c r="G148" s="1">
        <v>2743953</v>
      </c>
    </row>
    <row r="149" spans="1:9" x14ac:dyDescent="0.3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9" s="1" t="s">
        <v>3466</v>
      </c>
      <c r="D149" s="1" t="s">
        <v>3467</v>
      </c>
      <c r="E149" s="1" t="s">
        <v>3468</v>
      </c>
      <c r="F149" s="1" t="s">
        <v>111</v>
      </c>
      <c r="G149" s="1">
        <v>2975805</v>
      </c>
    </row>
    <row r="150" spans="1:9" x14ac:dyDescent="0.3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3469</v>
      </c>
      <c r="D150" s="1" t="s">
        <v>3464</v>
      </c>
      <c r="E150" s="1" t="s">
        <v>3470</v>
      </c>
      <c r="F150" s="1" t="s">
        <v>111</v>
      </c>
      <c r="G150" s="1">
        <v>2779804</v>
      </c>
    </row>
    <row r="151" spans="1:9" x14ac:dyDescent="0.3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3471</v>
      </c>
      <c r="D151" s="1" t="s">
        <v>3472</v>
      </c>
      <c r="E151" s="1" t="s">
        <v>3473</v>
      </c>
      <c r="F151" s="1" t="s">
        <v>111</v>
      </c>
      <c r="G151" s="1">
        <v>2532659</v>
      </c>
    </row>
    <row r="152" spans="1:9" x14ac:dyDescent="0.3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2" s="1" t="s">
        <v>3474</v>
      </c>
      <c r="D152" s="1" t="s">
        <v>3475</v>
      </c>
      <c r="E152" s="1" t="s">
        <v>3476</v>
      </c>
      <c r="F152" s="1" t="s">
        <v>111</v>
      </c>
      <c r="G152" s="1">
        <v>2866949</v>
      </c>
    </row>
    <row r="153" spans="1:9" x14ac:dyDescent="0.3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3477</v>
      </c>
      <c r="D153" s="1" t="s">
        <v>3478</v>
      </c>
      <c r="E153" s="1" t="s">
        <v>3479</v>
      </c>
      <c r="F153" s="1" t="s">
        <v>111</v>
      </c>
      <c r="G153" s="1">
        <v>1449387</v>
      </c>
    </row>
    <row r="154" spans="1:9" x14ac:dyDescent="0.3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3480</v>
      </c>
      <c r="D154" s="1" t="s">
        <v>3481</v>
      </c>
      <c r="E154" s="1" t="s">
        <v>3482</v>
      </c>
      <c r="F154" s="1" t="s">
        <v>111</v>
      </c>
      <c r="G154" s="1">
        <v>1686155</v>
      </c>
    </row>
    <row r="155" spans="1:9" x14ac:dyDescent="0.3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5" s="1" t="s">
        <v>3483</v>
      </c>
      <c r="D155" s="1" t="s">
        <v>3484</v>
      </c>
      <c r="E155" s="1" t="s">
        <v>3485</v>
      </c>
      <c r="F155" s="1" t="s">
        <v>111</v>
      </c>
      <c r="G155" s="1">
        <v>1946765</v>
      </c>
    </row>
    <row r="156" spans="1:9" x14ac:dyDescent="0.3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3486</v>
      </c>
      <c r="D156" s="1" t="s">
        <v>3487</v>
      </c>
      <c r="E156" s="1" t="s">
        <v>3488</v>
      </c>
      <c r="F156" s="1" t="s">
        <v>111</v>
      </c>
      <c r="G156" s="1">
        <v>2298676</v>
      </c>
    </row>
    <row r="157" spans="1:9" x14ac:dyDescent="0.3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3489</v>
      </c>
      <c r="D157" s="1" t="s">
        <v>3490</v>
      </c>
      <c r="E157" s="1" t="s">
        <v>3491</v>
      </c>
      <c r="F157" s="1" t="s">
        <v>111</v>
      </c>
      <c r="G157" s="1">
        <v>2090123</v>
      </c>
    </row>
    <row r="158" spans="1:9" x14ac:dyDescent="0.35">
      <c r="A158" s="1" t="str">
        <f t="shared" si="2"/>
        <v>05 EE2 114</v>
      </c>
      <c r="B1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8" s="1" t="s">
        <v>3492</v>
      </c>
      <c r="D158" s="1" t="s">
        <v>3493</v>
      </c>
      <c r="E158" s="1" t="s">
        <v>3494</v>
      </c>
      <c r="F158" s="1" t="s">
        <v>111</v>
      </c>
      <c r="G158" s="1">
        <v>2058775</v>
      </c>
    </row>
    <row r="159" spans="1:9" x14ac:dyDescent="0.3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111</v>
      </c>
    </row>
    <row r="160" spans="1:9" x14ac:dyDescent="0.35">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0" s="1" t="s">
        <v>234</v>
      </c>
      <c r="D160" s="1" t="s">
        <v>111</v>
      </c>
      <c r="E160" s="1" t="s">
        <v>235</v>
      </c>
      <c r="F160" s="1" t="s">
        <v>236</v>
      </c>
      <c r="G160" s="1" t="s">
        <v>237</v>
      </c>
      <c r="H160" s="1" t="s">
        <v>238</v>
      </c>
      <c r="I160" s="1" t="s">
        <v>239</v>
      </c>
    </row>
    <row r="161" spans="1:9" x14ac:dyDescent="0.35">
      <c r="A161" s="1" t="str">
        <f t="shared" si="2"/>
        <v>05 EE2 114</v>
      </c>
      <c r="B1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1" s="1" t="s">
        <v>3495</v>
      </c>
      <c r="D161" s="1" t="s">
        <v>111</v>
      </c>
      <c r="E161" s="1" t="s">
        <v>3496</v>
      </c>
      <c r="F161" s="1" t="s">
        <v>3497</v>
      </c>
      <c r="G161" s="1" t="s">
        <v>3498</v>
      </c>
      <c r="H161" s="1" t="s">
        <v>3499</v>
      </c>
      <c r="I161" s="1">
        <v>24</v>
      </c>
    </row>
    <row r="162" spans="1:9" x14ac:dyDescent="0.3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111</v>
      </c>
    </row>
    <row r="163" spans="1:9" x14ac:dyDescent="0.3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111</v>
      </c>
    </row>
    <row r="164" spans="1:9" x14ac:dyDescent="0.3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111</v>
      </c>
    </row>
    <row r="165" spans="1:9" x14ac:dyDescent="0.3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111</v>
      </c>
    </row>
    <row r="166" spans="1:9" x14ac:dyDescent="0.3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111</v>
      </c>
    </row>
    <row r="167" spans="1:9" x14ac:dyDescent="0.35">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7" s="1" t="s">
        <v>245</v>
      </c>
      <c r="D167" s="1" t="s">
        <v>109</v>
      </c>
      <c r="E167" s="1" t="s">
        <v>110</v>
      </c>
      <c r="F167" s="1" t="s">
        <v>111</v>
      </c>
      <c r="G167" s="1" t="s">
        <v>112</v>
      </c>
    </row>
    <row r="168" spans="1:9" x14ac:dyDescent="0.35">
      <c r="A168" s="1" t="str">
        <f t="shared" si="2"/>
        <v>06 EE2 171</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3500</v>
      </c>
    </row>
    <row r="169" spans="1:9" x14ac:dyDescent="0.35">
      <c r="A169" s="1" t="str">
        <f t="shared" si="2"/>
        <v>06 EE2 171</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3501</v>
      </c>
      <c r="D169" s="1" t="s">
        <v>3502</v>
      </c>
      <c r="E169" s="1" t="s">
        <v>3503</v>
      </c>
      <c r="F169" s="1" t="s">
        <v>111</v>
      </c>
      <c r="G169" s="1">
        <v>1981441</v>
      </c>
    </row>
    <row r="170" spans="1:9" x14ac:dyDescent="0.35">
      <c r="A170" s="1" t="str">
        <f t="shared" si="2"/>
        <v>06 EE2 171</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70" s="1" t="s">
        <v>3504</v>
      </c>
      <c r="D170" s="1" t="s">
        <v>3505</v>
      </c>
      <c r="E170" s="1" t="s">
        <v>3506</v>
      </c>
      <c r="F170" s="1" t="s">
        <v>111</v>
      </c>
      <c r="G170" s="1">
        <v>1916332</v>
      </c>
    </row>
    <row r="171" spans="1:9" x14ac:dyDescent="0.35">
      <c r="A171" s="1" t="str">
        <f t="shared" si="2"/>
        <v>06 EE2 171</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3507</v>
      </c>
      <c r="D171" s="1" t="s">
        <v>3508</v>
      </c>
      <c r="E171" s="1" t="s">
        <v>3509</v>
      </c>
      <c r="F171" s="1" t="s">
        <v>111</v>
      </c>
      <c r="G171" s="1">
        <v>3754067</v>
      </c>
    </row>
    <row r="172" spans="1:9" x14ac:dyDescent="0.35">
      <c r="A172" s="1" t="str">
        <f t="shared" si="2"/>
        <v>06 EE2 171</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3510</v>
      </c>
      <c r="D172" s="1" t="s">
        <v>3511</v>
      </c>
      <c r="E172" s="1" t="s">
        <v>3512</v>
      </c>
      <c r="F172" s="1" t="s">
        <v>111</v>
      </c>
      <c r="G172" s="1">
        <v>3313575</v>
      </c>
    </row>
    <row r="173" spans="1:9" x14ac:dyDescent="0.35">
      <c r="A173" s="1" t="str">
        <f t="shared" si="2"/>
        <v>06 EE2 171</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3" s="1" t="s">
        <v>3513</v>
      </c>
      <c r="D173" s="1" t="s">
        <v>3514</v>
      </c>
      <c r="E173" s="1" t="s">
        <v>3515</v>
      </c>
      <c r="F173" s="1" t="s">
        <v>111</v>
      </c>
      <c r="G173" s="1">
        <v>3219708</v>
      </c>
    </row>
    <row r="174" spans="1:9" x14ac:dyDescent="0.35">
      <c r="A174" s="1" t="str">
        <f t="shared" si="2"/>
        <v>06 EE2 171</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3516</v>
      </c>
      <c r="D174" s="1" t="s">
        <v>3517</v>
      </c>
      <c r="E174" s="1" t="s">
        <v>3518</v>
      </c>
      <c r="F174" s="1" t="s">
        <v>111</v>
      </c>
      <c r="G174" s="1">
        <v>3946544</v>
      </c>
    </row>
    <row r="175" spans="1:9" x14ac:dyDescent="0.35">
      <c r="A175" s="1" t="str">
        <f t="shared" si="2"/>
        <v>06 EE2 171</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3519</v>
      </c>
      <c r="D175" s="1" t="s">
        <v>3520</v>
      </c>
      <c r="E175" s="1" t="s">
        <v>3521</v>
      </c>
      <c r="F175" s="1" t="s">
        <v>111</v>
      </c>
      <c r="G175" s="1">
        <v>4220925</v>
      </c>
    </row>
    <row r="176" spans="1:9" x14ac:dyDescent="0.35">
      <c r="A176" s="1" t="str">
        <f t="shared" si="2"/>
        <v>06 EE2 171</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6" s="1" t="s">
        <v>3522</v>
      </c>
      <c r="D176" s="1" t="s">
        <v>3523</v>
      </c>
      <c r="E176" s="1" t="s">
        <v>3524</v>
      </c>
      <c r="F176" s="1" t="s">
        <v>111</v>
      </c>
      <c r="G176" s="1">
        <v>4437592</v>
      </c>
    </row>
    <row r="177" spans="1:7" x14ac:dyDescent="0.35">
      <c r="A177" s="1" t="str">
        <f t="shared" si="2"/>
        <v>06 EE2 171</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3525</v>
      </c>
      <c r="D177" s="1" t="s">
        <v>3526</v>
      </c>
      <c r="E177" s="1" t="s">
        <v>3527</v>
      </c>
      <c r="F177" s="1" t="s">
        <v>111</v>
      </c>
      <c r="G177" s="1">
        <v>2280707</v>
      </c>
    </row>
    <row r="178" spans="1:7" x14ac:dyDescent="0.35">
      <c r="A178" s="1" t="str">
        <f t="shared" si="2"/>
        <v>06 EE2 171</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3528</v>
      </c>
      <c r="D178" s="1" t="s">
        <v>3529</v>
      </c>
      <c r="E178" s="1" t="s">
        <v>3530</v>
      </c>
      <c r="F178" s="1" t="s">
        <v>111</v>
      </c>
      <c r="G178" s="1">
        <v>2447580</v>
      </c>
    </row>
    <row r="179" spans="1:7" x14ac:dyDescent="0.35">
      <c r="A179" s="1" t="str">
        <f t="shared" si="2"/>
        <v>06 EE2 171</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9" s="1" t="s">
        <v>3531</v>
      </c>
      <c r="D179" s="1" t="s">
        <v>3532</v>
      </c>
      <c r="E179" s="1" t="s">
        <v>3533</v>
      </c>
      <c r="F179" s="1" t="s">
        <v>111</v>
      </c>
      <c r="G179" s="1">
        <v>1950986</v>
      </c>
    </row>
    <row r="180" spans="1:7" x14ac:dyDescent="0.35">
      <c r="A180" s="1" t="str">
        <f t="shared" si="2"/>
        <v>06 EE2 171</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3534</v>
      </c>
      <c r="D180" s="1" t="s">
        <v>3535</v>
      </c>
      <c r="E180" s="1" t="s">
        <v>3536</v>
      </c>
      <c r="F180" s="1" t="s">
        <v>111</v>
      </c>
      <c r="G180" s="1">
        <v>3117270</v>
      </c>
    </row>
    <row r="181" spans="1:7" x14ac:dyDescent="0.35">
      <c r="A181" s="1" t="str">
        <f t="shared" si="2"/>
        <v>06 EE2 171</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3537</v>
      </c>
      <c r="D181" s="1" t="s">
        <v>3538</v>
      </c>
      <c r="E181" s="1" t="s">
        <v>3539</v>
      </c>
      <c r="F181" s="1" t="s">
        <v>111</v>
      </c>
      <c r="G181" s="1">
        <v>2982940</v>
      </c>
    </row>
    <row r="182" spans="1:7" x14ac:dyDescent="0.35">
      <c r="A182" s="1" t="str">
        <f t="shared" si="2"/>
        <v>06 EE2 171</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2" s="1" t="s">
        <v>3540</v>
      </c>
      <c r="D182" s="1" t="s">
        <v>3541</v>
      </c>
      <c r="E182" s="1" t="s">
        <v>3542</v>
      </c>
      <c r="F182" s="1" t="s">
        <v>111</v>
      </c>
      <c r="G182" s="1">
        <v>3390410</v>
      </c>
    </row>
    <row r="183" spans="1:7" x14ac:dyDescent="0.35">
      <c r="A183" s="1" t="str">
        <f t="shared" si="2"/>
        <v>06 EE2 171</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3543</v>
      </c>
      <c r="D183" s="1" t="s">
        <v>3544</v>
      </c>
      <c r="E183" s="1" t="s">
        <v>3545</v>
      </c>
      <c r="F183" s="1" t="s">
        <v>111</v>
      </c>
      <c r="G183" s="1">
        <v>3909237</v>
      </c>
    </row>
    <row r="184" spans="1:7" x14ac:dyDescent="0.35">
      <c r="A184" s="1" t="str">
        <f t="shared" si="2"/>
        <v>06 EE2 171</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3546</v>
      </c>
      <c r="D184" s="1" t="s">
        <v>3547</v>
      </c>
      <c r="E184" s="1" t="s">
        <v>3548</v>
      </c>
      <c r="F184" s="1" t="s">
        <v>111</v>
      </c>
      <c r="G184" s="1">
        <v>4187837</v>
      </c>
    </row>
    <row r="185" spans="1:7" x14ac:dyDescent="0.35">
      <c r="A185" s="1" t="str">
        <f t="shared" si="2"/>
        <v>06 EE2 171</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5" s="1" t="s">
        <v>3549</v>
      </c>
      <c r="D185" s="1" t="s">
        <v>3550</v>
      </c>
      <c r="E185" s="1" t="s">
        <v>3551</v>
      </c>
      <c r="F185" s="1" t="s">
        <v>111</v>
      </c>
      <c r="G185" s="1">
        <v>3692917</v>
      </c>
    </row>
    <row r="186" spans="1:7" x14ac:dyDescent="0.35">
      <c r="A186" s="1" t="str">
        <f t="shared" si="2"/>
        <v>06 EE2 171</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3552</v>
      </c>
      <c r="D186" s="1" t="s">
        <v>3553</v>
      </c>
      <c r="E186" s="1" t="s">
        <v>3554</v>
      </c>
      <c r="F186" s="1" t="s">
        <v>111</v>
      </c>
      <c r="G186" s="1">
        <v>3294889</v>
      </c>
    </row>
    <row r="187" spans="1:7" x14ac:dyDescent="0.35">
      <c r="A187" s="1" t="str">
        <f t="shared" si="2"/>
        <v>06 EE2 171</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3555</v>
      </c>
      <c r="D187" s="1" t="s">
        <v>3556</v>
      </c>
      <c r="E187" s="1" t="s">
        <v>3557</v>
      </c>
      <c r="F187" s="1" t="s">
        <v>111</v>
      </c>
      <c r="G187" s="1">
        <v>3238873</v>
      </c>
    </row>
    <row r="188" spans="1:7" x14ac:dyDescent="0.35">
      <c r="A188" s="1" t="str">
        <f t="shared" si="2"/>
        <v>06 EE2 171</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8" s="1" t="s">
        <v>3558</v>
      </c>
      <c r="D188" s="1" t="s">
        <v>3559</v>
      </c>
      <c r="E188" s="1" t="s">
        <v>3560</v>
      </c>
      <c r="F188" s="1" t="s">
        <v>111</v>
      </c>
      <c r="G188" s="1">
        <v>2836755</v>
      </c>
    </row>
    <row r="189" spans="1:7" x14ac:dyDescent="0.35">
      <c r="A189" s="1" t="str">
        <f t="shared" si="2"/>
        <v>06 EE2 171</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3561</v>
      </c>
      <c r="D189" s="1" t="s">
        <v>3562</v>
      </c>
      <c r="E189" s="1" t="s">
        <v>3563</v>
      </c>
      <c r="F189" s="1" t="s">
        <v>111</v>
      </c>
      <c r="G189" s="1">
        <v>1312730</v>
      </c>
    </row>
    <row r="190" spans="1:7" x14ac:dyDescent="0.35">
      <c r="A190" s="1" t="str">
        <f t="shared" si="2"/>
        <v>06 EE2 171</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3564</v>
      </c>
      <c r="D190" s="1" t="s">
        <v>3565</v>
      </c>
      <c r="E190" s="1" t="s">
        <v>3566</v>
      </c>
      <c r="F190" s="1" t="s">
        <v>111</v>
      </c>
      <c r="G190" s="1">
        <v>1407424</v>
      </c>
    </row>
    <row r="191" spans="1:7" x14ac:dyDescent="0.35">
      <c r="A191" s="1" t="str">
        <f t="shared" si="2"/>
        <v>06 EE2 171</v>
      </c>
      <c r="B1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1" s="1" t="s">
        <v>3567</v>
      </c>
      <c r="D191" s="1" t="s">
        <v>3568</v>
      </c>
      <c r="E191" s="1" t="s">
        <v>3569</v>
      </c>
      <c r="F191" s="1" t="s">
        <v>111</v>
      </c>
      <c r="G191" s="1">
        <v>1791313</v>
      </c>
    </row>
    <row r="192" spans="1:7" x14ac:dyDescent="0.3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111</v>
      </c>
    </row>
    <row r="193" spans="1:9" x14ac:dyDescent="0.35">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3" s="1" t="s">
        <v>234</v>
      </c>
      <c r="D193" s="1" t="s">
        <v>111</v>
      </c>
      <c r="E193" s="1" t="s">
        <v>235</v>
      </c>
      <c r="F193" s="1" t="s">
        <v>236</v>
      </c>
      <c r="G193" s="1" t="s">
        <v>237</v>
      </c>
      <c r="H193" s="1" t="s">
        <v>238</v>
      </c>
      <c r="I193" s="1" t="s">
        <v>239</v>
      </c>
    </row>
    <row r="194" spans="1:9" x14ac:dyDescent="0.35">
      <c r="A194" s="1" t="str">
        <f t="shared" ref="A194:A257" si="3">IFERROR(LEFT(RIGHT(C194,LEN(C194)-SEARCH("@",C194)),SEARCH("/",RIGHT(C194,LEN(C194)-SEARCH("@",C194)-1))),"")</f>
        <v>06 EE2 171</v>
      </c>
      <c r="B1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4" s="1" t="s">
        <v>3570</v>
      </c>
      <c r="D194" s="1" t="s">
        <v>111</v>
      </c>
      <c r="E194" s="1" t="s">
        <v>3571</v>
      </c>
      <c r="F194" s="1" t="s">
        <v>3572</v>
      </c>
      <c r="G194" s="1" t="s">
        <v>3573</v>
      </c>
      <c r="H194" s="1" t="s">
        <v>3574</v>
      </c>
      <c r="I194" s="1">
        <v>24</v>
      </c>
    </row>
    <row r="195" spans="1:9" x14ac:dyDescent="0.3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111</v>
      </c>
    </row>
    <row r="196" spans="1:9" x14ac:dyDescent="0.3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111</v>
      </c>
    </row>
    <row r="197" spans="1:9" x14ac:dyDescent="0.3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111</v>
      </c>
    </row>
    <row r="198" spans="1:9" x14ac:dyDescent="0.3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111</v>
      </c>
    </row>
    <row r="199" spans="1:9" x14ac:dyDescent="0.3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111</v>
      </c>
    </row>
    <row r="200" spans="1:9" x14ac:dyDescent="0.35">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00" s="1" t="s">
        <v>245</v>
      </c>
      <c r="D200" s="1" t="s">
        <v>109</v>
      </c>
      <c r="E200" s="1" t="s">
        <v>110</v>
      </c>
      <c r="F200" s="1" t="s">
        <v>111</v>
      </c>
      <c r="G200" s="1" t="s">
        <v>112</v>
      </c>
    </row>
    <row r="201" spans="1:9" x14ac:dyDescent="0.3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3575</v>
      </c>
      <c r="D201" s="1" t="s">
        <v>3576</v>
      </c>
      <c r="E201" s="1" t="s">
        <v>3577</v>
      </c>
      <c r="F201" s="1" t="s">
        <v>111</v>
      </c>
      <c r="G201" s="1">
        <v>5242481</v>
      </c>
    </row>
    <row r="202" spans="1:9" x14ac:dyDescent="0.3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3578</v>
      </c>
      <c r="D202" s="1" t="s">
        <v>3579</v>
      </c>
      <c r="E202" s="1" t="s">
        <v>3580</v>
      </c>
      <c r="F202" s="1" t="s">
        <v>111</v>
      </c>
      <c r="G202" s="1">
        <v>4994271</v>
      </c>
    </row>
    <row r="203" spans="1:9" x14ac:dyDescent="0.3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3" s="1" t="s">
        <v>3581</v>
      </c>
      <c r="D203" s="1" t="s">
        <v>3582</v>
      </c>
      <c r="E203" s="1" t="s">
        <v>3583</v>
      </c>
      <c r="F203" s="1" t="s">
        <v>111</v>
      </c>
      <c r="G203" s="1">
        <v>5181462</v>
      </c>
    </row>
    <row r="204" spans="1:9" x14ac:dyDescent="0.3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3584</v>
      </c>
      <c r="D204" s="1" t="s">
        <v>3585</v>
      </c>
      <c r="E204" s="1" t="s">
        <v>3586</v>
      </c>
      <c r="F204" s="1" t="s">
        <v>111</v>
      </c>
      <c r="G204" s="1">
        <v>6335629</v>
      </c>
    </row>
    <row r="205" spans="1:9" x14ac:dyDescent="0.3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3587</v>
      </c>
      <c r="D205" s="1" t="s">
        <v>3588</v>
      </c>
      <c r="E205" s="1" t="s">
        <v>3589</v>
      </c>
      <c r="F205" s="1" t="s">
        <v>111</v>
      </c>
      <c r="G205" s="1">
        <v>6839816</v>
      </c>
    </row>
    <row r="206" spans="1:9" x14ac:dyDescent="0.3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6" s="1" t="s">
        <v>3590</v>
      </c>
      <c r="D206" s="1" t="s">
        <v>3591</v>
      </c>
      <c r="E206" s="1" t="s">
        <v>3592</v>
      </c>
      <c r="F206" s="1" t="s">
        <v>111</v>
      </c>
      <c r="G206" s="1">
        <v>6407895</v>
      </c>
    </row>
    <row r="207" spans="1:9" x14ac:dyDescent="0.3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3593</v>
      </c>
      <c r="D207" s="1" t="s">
        <v>3594</v>
      </c>
      <c r="E207" s="1" t="s">
        <v>3595</v>
      </c>
      <c r="F207" s="1" t="s">
        <v>111</v>
      </c>
      <c r="G207" s="1">
        <v>5180048</v>
      </c>
    </row>
    <row r="208" spans="1:9" x14ac:dyDescent="0.3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3596</v>
      </c>
      <c r="D208" s="1" t="s">
        <v>3597</v>
      </c>
      <c r="E208" s="1" t="s">
        <v>3598</v>
      </c>
      <c r="F208" s="1" t="s">
        <v>111</v>
      </c>
      <c r="G208" s="1">
        <v>5512924</v>
      </c>
    </row>
    <row r="209" spans="1:7" x14ac:dyDescent="0.3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9" s="1" t="s">
        <v>3599</v>
      </c>
      <c r="D209" s="1" t="s">
        <v>3600</v>
      </c>
      <c r="E209" s="1" t="s">
        <v>3601</v>
      </c>
      <c r="F209" s="1" t="s">
        <v>111</v>
      </c>
      <c r="G209" s="1">
        <v>5518862</v>
      </c>
    </row>
    <row r="210" spans="1:7" x14ac:dyDescent="0.3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3602</v>
      </c>
      <c r="D210" s="1" t="s">
        <v>3603</v>
      </c>
      <c r="E210" s="1" t="s">
        <v>3604</v>
      </c>
      <c r="F210" s="1" t="s">
        <v>111</v>
      </c>
      <c r="G210" s="1">
        <v>4520822</v>
      </c>
    </row>
    <row r="211" spans="1:7" x14ac:dyDescent="0.3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3605</v>
      </c>
      <c r="D211" s="1" t="s">
        <v>3603</v>
      </c>
      <c r="E211" s="1" t="s">
        <v>3606</v>
      </c>
      <c r="F211" s="1" t="s">
        <v>111</v>
      </c>
      <c r="G211" s="1">
        <v>4632375</v>
      </c>
    </row>
    <row r="212" spans="1:7" x14ac:dyDescent="0.3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2" s="1" t="s">
        <v>3607</v>
      </c>
    </row>
    <row r="213" spans="1:7" x14ac:dyDescent="0.3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3608</v>
      </c>
      <c r="D213" s="1" t="s">
        <v>3609</v>
      </c>
      <c r="E213" s="1" t="s">
        <v>3610</v>
      </c>
      <c r="F213" s="1" t="s">
        <v>111</v>
      </c>
      <c r="G213" s="1">
        <v>8696020</v>
      </c>
    </row>
    <row r="214" spans="1:7" x14ac:dyDescent="0.3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3611</v>
      </c>
      <c r="D214" s="1" t="s">
        <v>3612</v>
      </c>
      <c r="E214" s="1" t="s">
        <v>3613</v>
      </c>
      <c r="F214" s="1" t="s">
        <v>111</v>
      </c>
      <c r="G214" s="1">
        <v>8771092</v>
      </c>
    </row>
    <row r="215" spans="1:7" x14ac:dyDescent="0.3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5" s="1" t="s">
        <v>3614</v>
      </c>
      <c r="D215" s="1" t="s">
        <v>3615</v>
      </c>
      <c r="E215" s="1" t="s">
        <v>3616</v>
      </c>
      <c r="F215" s="1" t="s">
        <v>111</v>
      </c>
      <c r="G215" s="1">
        <v>8853169</v>
      </c>
    </row>
    <row r="216" spans="1:7" x14ac:dyDescent="0.3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3617</v>
      </c>
      <c r="D216" s="1" t="s">
        <v>3618</v>
      </c>
      <c r="E216" s="1" t="s">
        <v>3619</v>
      </c>
      <c r="F216" s="1" t="s">
        <v>111</v>
      </c>
      <c r="G216" s="1">
        <v>6449118</v>
      </c>
    </row>
    <row r="217" spans="1:7" x14ac:dyDescent="0.3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3620</v>
      </c>
      <c r="D217" s="1" t="s">
        <v>3621</v>
      </c>
      <c r="E217" s="1" t="s">
        <v>3622</v>
      </c>
      <c r="F217" s="1" t="s">
        <v>111</v>
      </c>
      <c r="G217" s="1">
        <v>6222205</v>
      </c>
    </row>
    <row r="218" spans="1:7" x14ac:dyDescent="0.3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8" s="1" t="s">
        <v>3623</v>
      </c>
      <c r="D218" s="1" t="s">
        <v>3624</v>
      </c>
      <c r="E218" s="1" t="s">
        <v>3625</v>
      </c>
      <c r="F218" s="1" t="s">
        <v>111</v>
      </c>
      <c r="G218" s="1">
        <v>6203823</v>
      </c>
    </row>
    <row r="219" spans="1:7" x14ac:dyDescent="0.3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3626</v>
      </c>
      <c r="D219" s="1" t="s">
        <v>3627</v>
      </c>
      <c r="E219" s="1" t="s">
        <v>3628</v>
      </c>
      <c r="F219" s="1" t="s">
        <v>111</v>
      </c>
      <c r="G219" s="1">
        <v>6687322</v>
      </c>
    </row>
    <row r="220" spans="1:7" x14ac:dyDescent="0.3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3629</v>
      </c>
      <c r="D220" s="1" t="s">
        <v>3630</v>
      </c>
      <c r="E220" s="1" t="s">
        <v>3631</v>
      </c>
      <c r="F220" s="1" t="s">
        <v>111</v>
      </c>
      <c r="G220" s="1">
        <v>6095685</v>
      </c>
    </row>
    <row r="221" spans="1:7" x14ac:dyDescent="0.3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1" s="1" t="s">
        <v>3632</v>
      </c>
      <c r="D221" s="1" t="s">
        <v>3633</v>
      </c>
      <c r="E221" s="1" t="s">
        <v>3634</v>
      </c>
      <c r="F221" s="1" t="s">
        <v>111</v>
      </c>
      <c r="G221" s="1">
        <v>5789523</v>
      </c>
    </row>
    <row r="222" spans="1:7" x14ac:dyDescent="0.3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3635</v>
      </c>
      <c r="D222" s="1" t="s">
        <v>3636</v>
      </c>
      <c r="E222" s="1" t="s">
        <v>3637</v>
      </c>
      <c r="F222" s="1" t="s">
        <v>111</v>
      </c>
      <c r="G222" s="1">
        <v>6729067</v>
      </c>
    </row>
    <row r="223" spans="1:7" x14ac:dyDescent="0.3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3638</v>
      </c>
      <c r="D223" s="1" t="s">
        <v>3639</v>
      </c>
      <c r="E223" s="1" t="s">
        <v>3640</v>
      </c>
      <c r="F223" s="1" t="s">
        <v>111</v>
      </c>
      <c r="G223" s="1">
        <v>6593933</v>
      </c>
    </row>
    <row r="224" spans="1:7" x14ac:dyDescent="0.35">
      <c r="A224" s="1" t="str">
        <f t="shared" si="3"/>
        <v>07 EE2 488</v>
      </c>
      <c r="B2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4" s="1" t="s">
        <v>3641</v>
      </c>
      <c r="D224" s="1" t="s">
        <v>3642</v>
      </c>
      <c r="E224" s="1" t="s">
        <v>3643</v>
      </c>
      <c r="F224" s="1" t="s">
        <v>111</v>
      </c>
      <c r="G224" s="1">
        <v>6974624</v>
      </c>
    </row>
    <row r="225" spans="1:9" x14ac:dyDescent="0.3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111</v>
      </c>
    </row>
    <row r="226" spans="1:9" x14ac:dyDescent="0.35">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6" s="1" t="s">
        <v>234</v>
      </c>
      <c r="D226" s="1" t="s">
        <v>111</v>
      </c>
      <c r="E226" s="1" t="s">
        <v>235</v>
      </c>
      <c r="F226" s="1" t="s">
        <v>236</v>
      </c>
      <c r="G226" s="1" t="s">
        <v>237</v>
      </c>
      <c r="H226" s="1" t="s">
        <v>238</v>
      </c>
      <c r="I226" s="1" t="s">
        <v>239</v>
      </c>
    </row>
    <row r="227" spans="1:9" x14ac:dyDescent="0.35">
      <c r="A227" s="1" t="str">
        <f t="shared" si="3"/>
        <v>07 EE2 488</v>
      </c>
      <c r="B2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7" s="1" t="s">
        <v>3644</v>
      </c>
      <c r="D227" s="1" t="s">
        <v>111</v>
      </c>
      <c r="E227" s="1" t="s">
        <v>3645</v>
      </c>
      <c r="F227" s="1" t="s">
        <v>3646</v>
      </c>
      <c r="G227" s="1" t="s">
        <v>3647</v>
      </c>
      <c r="H227" s="1" t="s">
        <v>3648</v>
      </c>
      <c r="I227" s="1">
        <v>24</v>
      </c>
    </row>
    <row r="228" spans="1:9" x14ac:dyDescent="0.3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111</v>
      </c>
    </row>
    <row r="229" spans="1:9" x14ac:dyDescent="0.3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111</v>
      </c>
    </row>
    <row r="230" spans="1:9" x14ac:dyDescent="0.3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111</v>
      </c>
    </row>
    <row r="231" spans="1:9" x14ac:dyDescent="0.3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111</v>
      </c>
    </row>
    <row r="232" spans="1:9" x14ac:dyDescent="0.3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111</v>
      </c>
    </row>
    <row r="233" spans="1:9" x14ac:dyDescent="0.35">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3" s="1" t="s">
        <v>245</v>
      </c>
      <c r="D233" s="1" t="s">
        <v>109</v>
      </c>
      <c r="E233" s="1" t="s">
        <v>110</v>
      </c>
      <c r="F233" s="1" t="s">
        <v>111</v>
      </c>
      <c r="G233" s="1" t="s">
        <v>112</v>
      </c>
    </row>
    <row r="234" spans="1:9" x14ac:dyDescent="0.35">
      <c r="A234" s="1" t="str">
        <f t="shared" si="3"/>
        <v>08 Saccharin 0.01</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3649</v>
      </c>
      <c r="D234" s="1" t="s">
        <v>3650</v>
      </c>
      <c r="E234" s="1" t="s">
        <v>3651</v>
      </c>
      <c r="F234" s="1" t="s">
        <v>111</v>
      </c>
      <c r="G234" s="1">
        <v>308555</v>
      </c>
    </row>
    <row r="235" spans="1:9" x14ac:dyDescent="0.35">
      <c r="A235" s="1" t="str">
        <f t="shared" si="3"/>
        <v>08 Saccharin 0.01</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3652</v>
      </c>
      <c r="D235" s="1" t="s">
        <v>3653</v>
      </c>
      <c r="E235" s="1" t="s">
        <v>3654</v>
      </c>
      <c r="F235" s="1" t="s">
        <v>111</v>
      </c>
      <c r="G235" s="1">
        <v>185755</v>
      </c>
    </row>
    <row r="236" spans="1:9" x14ac:dyDescent="0.35">
      <c r="A236" s="1" t="str">
        <f t="shared" si="3"/>
        <v>08 Saccharin 0.01</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6" s="1" t="s">
        <v>3655</v>
      </c>
      <c r="D236" s="1" t="s">
        <v>3656</v>
      </c>
      <c r="E236" s="1" t="s">
        <v>3657</v>
      </c>
      <c r="F236" s="1" t="s">
        <v>111</v>
      </c>
      <c r="G236" s="1">
        <v>128935</v>
      </c>
    </row>
    <row r="237" spans="1:9" x14ac:dyDescent="0.35">
      <c r="A237" s="1" t="str">
        <f t="shared" si="3"/>
        <v>08 Saccharin 0.01</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3658</v>
      </c>
      <c r="D237" s="1" t="s">
        <v>3659</v>
      </c>
      <c r="E237" s="1" t="s">
        <v>3660</v>
      </c>
      <c r="F237" s="1" t="s">
        <v>111</v>
      </c>
      <c r="G237" s="1">
        <v>186016</v>
      </c>
    </row>
    <row r="238" spans="1:9" x14ac:dyDescent="0.35">
      <c r="A238" s="1" t="str">
        <f t="shared" si="3"/>
        <v>08 Saccharin 0.01</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3661</v>
      </c>
      <c r="D238" s="1" t="s">
        <v>3662</v>
      </c>
      <c r="E238" s="1" t="s">
        <v>3663</v>
      </c>
      <c r="F238" s="1" t="s">
        <v>111</v>
      </c>
      <c r="G238" s="1">
        <v>284974</v>
      </c>
    </row>
    <row r="239" spans="1:9" x14ac:dyDescent="0.35">
      <c r="A239" s="1" t="str">
        <f t="shared" si="3"/>
        <v>08 Saccharin 0.01</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9" s="1" t="s">
        <v>3664</v>
      </c>
      <c r="D239" s="1" t="s">
        <v>3665</v>
      </c>
      <c r="E239" s="1" t="s">
        <v>780</v>
      </c>
      <c r="F239" s="1" t="s">
        <v>111</v>
      </c>
      <c r="G239" s="1">
        <v>232591</v>
      </c>
    </row>
    <row r="240" spans="1:9" x14ac:dyDescent="0.35">
      <c r="A240" s="1" t="str">
        <f t="shared" si="3"/>
        <v>08 Saccharin 0.01</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3666</v>
      </c>
      <c r="D240" s="1" t="s">
        <v>3667</v>
      </c>
      <c r="E240" s="1" t="s">
        <v>3668</v>
      </c>
      <c r="F240" s="1" t="s">
        <v>111</v>
      </c>
      <c r="G240" s="1">
        <v>309164</v>
      </c>
    </row>
    <row r="241" spans="1:7" x14ac:dyDescent="0.35">
      <c r="A241" s="1" t="str">
        <f t="shared" si="3"/>
        <v>08 Saccharin 0.01</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3669</v>
      </c>
      <c r="D241" s="1" t="s">
        <v>3670</v>
      </c>
      <c r="E241" s="1" t="s">
        <v>3671</v>
      </c>
      <c r="F241" s="1" t="s">
        <v>111</v>
      </c>
      <c r="G241" s="1">
        <v>313341</v>
      </c>
    </row>
    <row r="242" spans="1:7" x14ac:dyDescent="0.35">
      <c r="A242" s="1" t="str">
        <f t="shared" si="3"/>
        <v>08 Saccharin 0.01</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2" s="1" t="s">
        <v>3672</v>
      </c>
      <c r="D242" s="1" t="s">
        <v>3673</v>
      </c>
      <c r="E242" s="1" t="s">
        <v>3674</v>
      </c>
      <c r="F242" s="1" t="s">
        <v>111</v>
      </c>
      <c r="G242" s="1">
        <v>329787</v>
      </c>
    </row>
    <row r="243" spans="1:7" x14ac:dyDescent="0.35">
      <c r="A243" s="1" t="str">
        <f t="shared" si="3"/>
        <v>08 Saccharin 0.01</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3675</v>
      </c>
      <c r="D243" s="1" t="s">
        <v>3676</v>
      </c>
      <c r="E243" s="1" t="s">
        <v>3677</v>
      </c>
      <c r="F243" s="1" t="s">
        <v>111</v>
      </c>
      <c r="G243" s="1">
        <v>1020208</v>
      </c>
    </row>
    <row r="244" spans="1:7" x14ac:dyDescent="0.35">
      <c r="A244" s="1" t="str">
        <f t="shared" si="3"/>
        <v>08 Saccharin 0.01</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3678</v>
      </c>
      <c r="D244" s="1" t="s">
        <v>3234</v>
      </c>
      <c r="E244" s="1">
        <v>65</v>
      </c>
      <c r="F244" s="1" t="s">
        <v>111</v>
      </c>
      <c r="G244" s="1">
        <v>82012</v>
      </c>
    </row>
    <row r="245" spans="1:7" x14ac:dyDescent="0.35">
      <c r="A245" s="1" t="str">
        <f t="shared" si="3"/>
        <v>08 Saccharin 0.01</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5" s="1" t="s">
        <v>3679</v>
      </c>
      <c r="D245" s="1" t="s">
        <v>3680</v>
      </c>
      <c r="E245" s="1" t="s">
        <v>3681</v>
      </c>
      <c r="F245" s="1" t="s">
        <v>111</v>
      </c>
      <c r="G245" s="1">
        <v>1213250</v>
      </c>
    </row>
    <row r="246" spans="1:7" x14ac:dyDescent="0.35">
      <c r="A246" s="1" t="str">
        <f t="shared" si="3"/>
        <v>08 Saccharin 0.01</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3682</v>
      </c>
      <c r="D246" s="1" t="s">
        <v>3683</v>
      </c>
      <c r="E246" s="1" t="s">
        <v>3684</v>
      </c>
      <c r="F246" s="1" t="s">
        <v>111</v>
      </c>
      <c r="G246" s="1">
        <v>1285038</v>
      </c>
    </row>
    <row r="247" spans="1:7" x14ac:dyDescent="0.35">
      <c r="A247" s="1" t="str">
        <f t="shared" si="3"/>
        <v>08 Saccharin 0.01</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3685</v>
      </c>
      <c r="D247" s="1" t="s">
        <v>3686</v>
      </c>
      <c r="E247" s="1" t="s">
        <v>3687</v>
      </c>
      <c r="F247" s="1" t="s">
        <v>111</v>
      </c>
      <c r="G247" s="1">
        <v>1450171</v>
      </c>
    </row>
    <row r="248" spans="1:7" x14ac:dyDescent="0.35">
      <c r="A248" s="1" t="str">
        <f t="shared" si="3"/>
        <v>08 Saccharin 0.01</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8" s="1" t="s">
        <v>3688</v>
      </c>
    </row>
    <row r="249" spans="1:7" x14ac:dyDescent="0.35">
      <c r="A249" s="1" t="str">
        <f t="shared" si="3"/>
        <v>08 Saccharin 0.01</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3689</v>
      </c>
      <c r="D249" s="1" t="s">
        <v>3690</v>
      </c>
      <c r="E249" s="1" t="s">
        <v>3691</v>
      </c>
      <c r="F249" s="1" t="s">
        <v>111</v>
      </c>
      <c r="G249" s="1">
        <v>161435</v>
      </c>
    </row>
    <row r="250" spans="1:7" x14ac:dyDescent="0.35">
      <c r="A250" s="1" t="str">
        <f t="shared" si="3"/>
        <v>08 Saccharin 0.01</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3692</v>
      </c>
      <c r="D250" s="1" t="s">
        <v>3693</v>
      </c>
      <c r="E250" s="1" t="s">
        <v>3694</v>
      </c>
      <c r="F250" s="1" t="s">
        <v>111</v>
      </c>
      <c r="G250" s="1">
        <v>141030</v>
      </c>
    </row>
    <row r="251" spans="1:7" x14ac:dyDescent="0.35">
      <c r="A251" s="1" t="str">
        <f t="shared" si="3"/>
        <v>08 Saccharin 0.01</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1" s="1" t="s">
        <v>3695</v>
      </c>
      <c r="D251" s="1" t="s">
        <v>3319</v>
      </c>
      <c r="E251" s="1" t="s">
        <v>3696</v>
      </c>
      <c r="F251" s="1" t="s">
        <v>111</v>
      </c>
      <c r="G251" s="1">
        <v>200918</v>
      </c>
    </row>
    <row r="252" spans="1:7" x14ac:dyDescent="0.35">
      <c r="A252" s="1" t="str">
        <f t="shared" si="3"/>
        <v>08 Saccharin 0.01</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3697</v>
      </c>
      <c r="D252" s="1" t="s">
        <v>3698</v>
      </c>
      <c r="E252" s="1" t="s">
        <v>3699</v>
      </c>
      <c r="F252" s="1" t="s">
        <v>111</v>
      </c>
      <c r="G252" s="1">
        <v>77574</v>
      </c>
    </row>
    <row r="253" spans="1:7" x14ac:dyDescent="0.35">
      <c r="A253" s="1" t="str">
        <f t="shared" si="3"/>
        <v>08 Saccharin 0.01</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3700</v>
      </c>
      <c r="D253" s="1" t="s">
        <v>3701</v>
      </c>
      <c r="E253" s="1" t="s">
        <v>3702</v>
      </c>
      <c r="F253" s="1" t="s">
        <v>111</v>
      </c>
      <c r="G253" s="1">
        <v>73462</v>
      </c>
    </row>
    <row r="254" spans="1:7" x14ac:dyDescent="0.35">
      <c r="A254" s="1" t="str">
        <f t="shared" si="3"/>
        <v>08 Saccharin 0.01</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4" s="1" t="s">
        <v>3703</v>
      </c>
      <c r="D254" s="1" t="s">
        <v>3704</v>
      </c>
      <c r="E254" s="1" t="s">
        <v>3705</v>
      </c>
      <c r="F254" s="1" t="s">
        <v>111</v>
      </c>
      <c r="G254" s="1">
        <v>54058</v>
      </c>
    </row>
    <row r="255" spans="1:7" x14ac:dyDescent="0.35">
      <c r="A255" s="1" t="str">
        <f t="shared" si="3"/>
        <v>08 Saccharin 0.01</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3706</v>
      </c>
      <c r="D255" s="1" t="s">
        <v>3707</v>
      </c>
      <c r="E255" s="1" t="s">
        <v>3708</v>
      </c>
      <c r="F255" s="1" t="s">
        <v>111</v>
      </c>
      <c r="G255" s="1">
        <v>272292</v>
      </c>
    </row>
    <row r="256" spans="1:7" x14ac:dyDescent="0.35">
      <c r="A256" s="1" t="str">
        <f t="shared" si="3"/>
        <v>08 Saccharin 0.01</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3709</v>
      </c>
      <c r="D256" s="1" t="s">
        <v>3710</v>
      </c>
      <c r="E256" s="1" t="s">
        <v>3711</v>
      </c>
      <c r="F256" s="1" t="s">
        <v>111</v>
      </c>
      <c r="G256" s="1">
        <v>360220</v>
      </c>
    </row>
    <row r="257" spans="1:9" x14ac:dyDescent="0.35">
      <c r="A257" s="1" t="str">
        <f t="shared" si="3"/>
        <v>08 Saccharin 0.01</v>
      </c>
      <c r="B2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7" s="1" t="s">
        <v>3712</v>
      </c>
      <c r="D257" s="1" t="s">
        <v>3342</v>
      </c>
      <c r="E257" s="1" t="s">
        <v>3713</v>
      </c>
      <c r="F257" s="1" t="s">
        <v>111</v>
      </c>
      <c r="G257" s="1">
        <v>122517</v>
      </c>
    </row>
    <row r="258" spans="1:9" x14ac:dyDescent="0.3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111</v>
      </c>
    </row>
    <row r="259" spans="1:9" x14ac:dyDescent="0.35">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9" s="1" t="s">
        <v>234</v>
      </c>
      <c r="D259" s="1" t="s">
        <v>111</v>
      </c>
      <c r="E259" s="1" t="s">
        <v>235</v>
      </c>
      <c r="F259" s="1" t="s">
        <v>236</v>
      </c>
      <c r="G259" s="1" t="s">
        <v>237</v>
      </c>
      <c r="H259" s="1" t="s">
        <v>238</v>
      </c>
      <c r="I259" s="1" t="s">
        <v>239</v>
      </c>
    </row>
    <row r="260" spans="1:9" x14ac:dyDescent="0.35">
      <c r="A260" s="1" t="str">
        <f t="shared" si="4"/>
        <v>08 Saccharin 0.01</v>
      </c>
      <c r="B2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60" s="1" t="s">
        <v>3714</v>
      </c>
      <c r="D260" s="1" t="s">
        <v>111</v>
      </c>
      <c r="E260" s="1" t="s">
        <v>3715</v>
      </c>
      <c r="F260" s="1" t="s">
        <v>3716</v>
      </c>
      <c r="G260" s="1" t="s">
        <v>3717</v>
      </c>
      <c r="H260" s="1" t="s">
        <v>3718</v>
      </c>
      <c r="I260" s="1">
        <v>24</v>
      </c>
    </row>
    <row r="261" spans="1:9" x14ac:dyDescent="0.3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111</v>
      </c>
    </row>
    <row r="262" spans="1:9" x14ac:dyDescent="0.3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111</v>
      </c>
    </row>
    <row r="263" spans="1:9" x14ac:dyDescent="0.3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111</v>
      </c>
    </row>
    <row r="264" spans="1:9" x14ac:dyDescent="0.3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111</v>
      </c>
    </row>
    <row r="265" spans="1:9" x14ac:dyDescent="0.3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111</v>
      </c>
    </row>
    <row r="266" spans="1:9" x14ac:dyDescent="0.35">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6" s="1" t="s">
        <v>245</v>
      </c>
      <c r="D266" s="1" t="s">
        <v>109</v>
      </c>
      <c r="E266" s="1" t="s">
        <v>110</v>
      </c>
      <c r="F266" s="1" t="s">
        <v>111</v>
      </c>
      <c r="G266" s="1" t="s">
        <v>112</v>
      </c>
    </row>
    <row r="267" spans="1:9" x14ac:dyDescent="0.35">
      <c r="A267" s="1" t="str">
        <f t="shared" si="4"/>
        <v>09 Saccharin 0.1</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3719</v>
      </c>
      <c r="D267" s="1" t="s">
        <v>3720</v>
      </c>
      <c r="E267" s="1" t="s">
        <v>3721</v>
      </c>
      <c r="F267" s="1" t="s">
        <v>111</v>
      </c>
      <c r="G267" s="1">
        <v>79401</v>
      </c>
    </row>
    <row r="268" spans="1:9" x14ac:dyDescent="0.35">
      <c r="A268" s="1" t="str">
        <f t="shared" si="4"/>
        <v>09 Saccharin 0.1</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3722</v>
      </c>
      <c r="D268" s="1" t="s">
        <v>3723</v>
      </c>
      <c r="E268" s="1" t="s">
        <v>3724</v>
      </c>
      <c r="F268" s="1" t="s">
        <v>111</v>
      </c>
      <c r="G268" s="1">
        <v>108921</v>
      </c>
    </row>
    <row r="269" spans="1:9" x14ac:dyDescent="0.35">
      <c r="A269" s="1" t="str">
        <f t="shared" si="4"/>
        <v>09 Saccharin 0.1</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9" s="1" t="s">
        <v>3725</v>
      </c>
      <c r="D269" s="1" t="s">
        <v>3726</v>
      </c>
      <c r="E269" s="1" t="s">
        <v>3727</v>
      </c>
      <c r="F269" s="1" t="s">
        <v>111</v>
      </c>
      <c r="G269" s="1">
        <v>58713</v>
      </c>
    </row>
    <row r="270" spans="1:9" x14ac:dyDescent="0.35">
      <c r="A270" s="1" t="str">
        <f t="shared" si="4"/>
        <v>09 Saccharin 0.1</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3728</v>
      </c>
      <c r="D270" s="1" t="s">
        <v>3656</v>
      </c>
      <c r="E270" s="1" t="s">
        <v>3729</v>
      </c>
      <c r="F270" s="1" t="s">
        <v>111</v>
      </c>
      <c r="G270" s="1">
        <v>132720</v>
      </c>
    </row>
    <row r="271" spans="1:9" x14ac:dyDescent="0.35">
      <c r="A271" s="1" t="str">
        <f t="shared" si="4"/>
        <v>09 Saccharin 0.1</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3730</v>
      </c>
      <c r="D271" s="1" t="s">
        <v>3731</v>
      </c>
      <c r="E271" s="1" t="s">
        <v>3732</v>
      </c>
      <c r="F271" s="1" t="s">
        <v>111</v>
      </c>
      <c r="G271" s="1">
        <v>41702</v>
      </c>
    </row>
    <row r="272" spans="1:9" x14ac:dyDescent="0.35">
      <c r="A272" s="1" t="str">
        <f t="shared" si="4"/>
        <v>09 Saccharin 0.1</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2" s="1" t="s">
        <v>3733</v>
      </c>
      <c r="D272" s="1" t="s">
        <v>3734</v>
      </c>
      <c r="E272" s="1" t="s">
        <v>3735</v>
      </c>
      <c r="F272" s="1" t="s">
        <v>111</v>
      </c>
      <c r="G272" s="1">
        <v>102417</v>
      </c>
    </row>
    <row r="273" spans="1:7" x14ac:dyDescent="0.35">
      <c r="A273" s="1" t="str">
        <f t="shared" si="4"/>
        <v>09 Saccharin 0.1</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3736</v>
      </c>
      <c r="D273" s="1" t="s">
        <v>3737</v>
      </c>
      <c r="E273" s="1" t="s">
        <v>3738</v>
      </c>
      <c r="F273" s="1" t="s">
        <v>111</v>
      </c>
      <c r="G273" s="1">
        <v>59888</v>
      </c>
    </row>
    <row r="274" spans="1:7" x14ac:dyDescent="0.35">
      <c r="A274" s="1" t="str">
        <f t="shared" si="4"/>
        <v>09 Saccharin 0.1</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3739</v>
      </c>
      <c r="D274" s="1" t="s">
        <v>3740</v>
      </c>
      <c r="E274" s="1" t="s">
        <v>3741</v>
      </c>
      <c r="F274" s="1" t="s">
        <v>111</v>
      </c>
      <c r="G274" s="1">
        <v>109095</v>
      </c>
    </row>
    <row r="275" spans="1:7" x14ac:dyDescent="0.35">
      <c r="A275" s="1" t="str">
        <f t="shared" si="4"/>
        <v>09 Saccharin 0.1</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5" s="1" t="s">
        <v>3742</v>
      </c>
      <c r="D275" s="1" t="s">
        <v>3743</v>
      </c>
      <c r="E275" s="1" t="s">
        <v>3744</v>
      </c>
      <c r="F275" s="1" t="s">
        <v>111</v>
      </c>
      <c r="G275" s="1">
        <v>258065</v>
      </c>
    </row>
    <row r="276" spans="1:7" x14ac:dyDescent="0.35">
      <c r="A276" s="1" t="str">
        <f t="shared" si="4"/>
        <v>09 Saccharin 0.1</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3745</v>
      </c>
      <c r="D276" s="1" t="s">
        <v>3164</v>
      </c>
      <c r="E276" s="1" t="s">
        <v>3746</v>
      </c>
      <c r="F276" s="1" t="s">
        <v>111</v>
      </c>
      <c r="G276" s="1">
        <v>37264</v>
      </c>
    </row>
    <row r="277" spans="1:7" x14ac:dyDescent="0.35">
      <c r="A277" s="1" t="str">
        <f t="shared" si="4"/>
        <v>09 Saccharin 0.1</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3747</v>
      </c>
    </row>
    <row r="278" spans="1:7" x14ac:dyDescent="0.35">
      <c r="A278" s="1" t="str">
        <f t="shared" si="4"/>
        <v>09 Saccharin 0.1</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8" s="1" t="s">
        <v>3748</v>
      </c>
      <c r="D278" s="1" t="s">
        <v>3749</v>
      </c>
      <c r="E278" s="1" t="s">
        <v>3750</v>
      </c>
      <c r="F278" s="1" t="s">
        <v>111</v>
      </c>
      <c r="G278" s="1">
        <v>154212</v>
      </c>
    </row>
    <row r="279" spans="1:7" x14ac:dyDescent="0.35">
      <c r="A279" s="1" t="str">
        <f t="shared" si="4"/>
        <v>09 Saccharin 0.1</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3751</v>
      </c>
      <c r="D279" s="1" t="s">
        <v>3752</v>
      </c>
      <c r="E279" s="1" t="s">
        <v>3753</v>
      </c>
      <c r="F279" s="1" t="s">
        <v>111</v>
      </c>
      <c r="G279" s="1">
        <v>491069</v>
      </c>
    </row>
    <row r="280" spans="1:7" x14ac:dyDescent="0.35">
      <c r="A280" s="1" t="str">
        <f t="shared" si="4"/>
        <v>09 Saccharin 0.1</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3754</v>
      </c>
      <c r="D280" s="1" t="s">
        <v>3755</v>
      </c>
      <c r="E280" s="1" t="s">
        <v>1662</v>
      </c>
      <c r="F280" s="1" t="s">
        <v>111</v>
      </c>
      <c r="G280" s="1">
        <v>599098</v>
      </c>
    </row>
    <row r="281" spans="1:7" x14ac:dyDescent="0.35">
      <c r="A281" s="1" t="str">
        <f t="shared" si="4"/>
        <v>09 Saccharin 0.1</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1" s="1" t="s">
        <v>3756</v>
      </c>
      <c r="D281" s="1" t="s">
        <v>3757</v>
      </c>
      <c r="E281" s="1" t="s">
        <v>3758</v>
      </c>
      <c r="F281" s="1" t="s">
        <v>111</v>
      </c>
      <c r="G281" s="1">
        <v>273031</v>
      </c>
    </row>
    <row r="282" spans="1:7" x14ac:dyDescent="0.35">
      <c r="A282" s="1" t="str">
        <f t="shared" si="4"/>
        <v>09 Saccharin 0.1</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3759</v>
      </c>
      <c r="D282" s="1" t="s">
        <v>3760</v>
      </c>
      <c r="E282" s="1" t="s">
        <v>3761</v>
      </c>
      <c r="F282" s="1" t="s">
        <v>111</v>
      </c>
      <c r="G282" s="1">
        <v>292457</v>
      </c>
    </row>
    <row r="283" spans="1:7" x14ac:dyDescent="0.35">
      <c r="A283" s="1" t="str">
        <f t="shared" si="4"/>
        <v>09 Saccharin 0.1</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3762</v>
      </c>
      <c r="D283" s="1" t="s">
        <v>3763</v>
      </c>
      <c r="E283" s="1" t="s">
        <v>3764</v>
      </c>
      <c r="F283" s="1" t="s">
        <v>111</v>
      </c>
      <c r="G283" s="1">
        <v>387543</v>
      </c>
    </row>
    <row r="284" spans="1:7" x14ac:dyDescent="0.35">
      <c r="A284" s="1" t="str">
        <f t="shared" si="4"/>
        <v>09 Saccharin 0.1</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4" s="1" t="s">
        <v>3765</v>
      </c>
      <c r="D284" s="1" t="s">
        <v>3766</v>
      </c>
      <c r="E284" s="1" t="s">
        <v>3767</v>
      </c>
      <c r="F284" s="1" t="s">
        <v>111</v>
      </c>
      <c r="G284" s="1">
        <v>222476</v>
      </c>
    </row>
    <row r="285" spans="1:7" x14ac:dyDescent="0.35">
      <c r="A285" s="1" t="str">
        <f t="shared" si="4"/>
        <v>09 Saccharin 0.1</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3768</v>
      </c>
      <c r="D285" s="1" t="s">
        <v>3769</v>
      </c>
      <c r="E285" s="1" t="s">
        <v>3770</v>
      </c>
      <c r="F285" s="1" t="s">
        <v>111</v>
      </c>
      <c r="G285" s="1">
        <v>219713</v>
      </c>
    </row>
    <row r="286" spans="1:7" x14ac:dyDescent="0.35">
      <c r="A286" s="1" t="str">
        <f t="shared" si="4"/>
        <v>09 Saccharin 0.1</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3771</v>
      </c>
    </row>
    <row r="287" spans="1:7" x14ac:dyDescent="0.35">
      <c r="A287" s="1" t="str">
        <f t="shared" si="4"/>
        <v>09 Saccharin 0.1</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7" s="1" t="s">
        <v>3772</v>
      </c>
      <c r="D287" s="1" t="s">
        <v>3773</v>
      </c>
      <c r="E287" s="1" t="s">
        <v>3774</v>
      </c>
      <c r="F287" s="1" t="s">
        <v>111</v>
      </c>
      <c r="G287" s="1">
        <v>288933</v>
      </c>
    </row>
    <row r="288" spans="1:7" x14ac:dyDescent="0.35">
      <c r="A288" s="1" t="str">
        <f t="shared" si="4"/>
        <v>09 Saccharin 0.1</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3775</v>
      </c>
      <c r="D288" s="1" t="s">
        <v>3701</v>
      </c>
      <c r="E288" s="1" t="s">
        <v>3776</v>
      </c>
      <c r="F288" s="1" t="s">
        <v>111</v>
      </c>
      <c r="G288" s="1">
        <v>70439</v>
      </c>
    </row>
    <row r="289" spans="1:9" x14ac:dyDescent="0.35">
      <c r="A289" s="1" t="str">
        <f t="shared" si="4"/>
        <v>09 Saccharin 0.1</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3777</v>
      </c>
      <c r="D289" s="1" t="s">
        <v>3656</v>
      </c>
      <c r="E289" s="1" t="s">
        <v>3778</v>
      </c>
      <c r="F289" s="1" t="s">
        <v>111</v>
      </c>
      <c r="G289" s="1">
        <v>127281</v>
      </c>
    </row>
    <row r="290" spans="1:9" x14ac:dyDescent="0.35">
      <c r="A290" s="1" t="str">
        <f t="shared" si="4"/>
        <v>09 Saccharin 0.1</v>
      </c>
      <c r="B2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90" s="1" t="s">
        <v>3779</v>
      </c>
      <c r="D290" s="1" t="s">
        <v>3310</v>
      </c>
      <c r="E290" s="1" t="s">
        <v>3780</v>
      </c>
      <c r="F290" s="1" t="s">
        <v>111</v>
      </c>
      <c r="G290" s="1">
        <v>89560</v>
      </c>
    </row>
    <row r="291" spans="1:9" x14ac:dyDescent="0.3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111</v>
      </c>
    </row>
    <row r="292" spans="1:9" x14ac:dyDescent="0.35">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2" s="1" t="s">
        <v>234</v>
      </c>
      <c r="D292" s="1" t="s">
        <v>111</v>
      </c>
      <c r="E292" s="1" t="s">
        <v>235</v>
      </c>
      <c r="F292" s="1" t="s">
        <v>236</v>
      </c>
      <c r="G292" s="1" t="s">
        <v>237</v>
      </c>
      <c r="H292" s="1" t="s">
        <v>238</v>
      </c>
      <c r="I292" s="1" t="s">
        <v>239</v>
      </c>
    </row>
    <row r="293" spans="1:9" x14ac:dyDescent="0.35">
      <c r="A293" s="1" t="str">
        <f t="shared" si="4"/>
        <v>09 Saccharin 0.1</v>
      </c>
      <c r="B2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3" s="1" t="s">
        <v>3781</v>
      </c>
      <c r="D293" s="1" t="s">
        <v>111</v>
      </c>
      <c r="E293" s="1" t="s">
        <v>3782</v>
      </c>
      <c r="F293" s="1" t="s">
        <v>3783</v>
      </c>
      <c r="G293" s="1" t="s">
        <v>3784</v>
      </c>
      <c r="H293" s="1" t="s">
        <v>3785</v>
      </c>
      <c r="I293" s="1">
        <v>24</v>
      </c>
    </row>
    <row r="294" spans="1:9" x14ac:dyDescent="0.3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111</v>
      </c>
    </row>
    <row r="295" spans="1:9" x14ac:dyDescent="0.3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111</v>
      </c>
    </row>
    <row r="296" spans="1:9" x14ac:dyDescent="0.3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111</v>
      </c>
    </row>
    <row r="297" spans="1:9" x14ac:dyDescent="0.3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111</v>
      </c>
    </row>
    <row r="298" spans="1:9" x14ac:dyDescent="0.3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111</v>
      </c>
    </row>
    <row r="299" spans="1:9" x14ac:dyDescent="0.35">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9" s="1" t="s">
        <v>245</v>
      </c>
      <c r="D299" s="1" t="s">
        <v>109</v>
      </c>
      <c r="E299" s="1" t="s">
        <v>110</v>
      </c>
      <c r="F299" s="1" t="s">
        <v>111</v>
      </c>
      <c r="G299" s="1" t="s">
        <v>112</v>
      </c>
    </row>
    <row r="300" spans="1:9" x14ac:dyDescent="0.35">
      <c r="A300" s="1" t="str">
        <f t="shared" si="4"/>
        <v>10 Saccharin 1</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3786</v>
      </c>
      <c r="D300" s="1" t="s">
        <v>3787</v>
      </c>
      <c r="E300" s="1" t="s">
        <v>3788</v>
      </c>
      <c r="F300" s="1" t="s">
        <v>111</v>
      </c>
      <c r="G300" s="1">
        <v>430376</v>
      </c>
    </row>
    <row r="301" spans="1:9" x14ac:dyDescent="0.35">
      <c r="A301" s="1" t="str">
        <f t="shared" si="4"/>
        <v>10 Saccharin 1</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3789</v>
      </c>
      <c r="D301" s="1" t="s">
        <v>3790</v>
      </c>
      <c r="E301" s="1" t="s">
        <v>3791</v>
      </c>
      <c r="F301" s="1" t="s">
        <v>111</v>
      </c>
      <c r="G301" s="1">
        <v>33805</v>
      </c>
    </row>
    <row r="302" spans="1:9" x14ac:dyDescent="0.35">
      <c r="A302" s="1" t="str">
        <f t="shared" si="4"/>
        <v>10 Saccharin 1</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2" s="1" t="s">
        <v>3792</v>
      </c>
    </row>
    <row r="303" spans="1:9" x14ac:dyDescent="0.35">
      <c r="A303" s="1" t="str">
        <f t="shared" si="4"/>
        <v>10 Saccharin 1</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3793</v>
      </c>
      <c r="D303" s="1" t="s">
        <v>3794</v>
      </c>
      <c r="E303" s="1" t="s">
        <v>3795</v>
      </c>
      <c r="F303" s="1" t="s">
        <v>111</v>
      </c>
      <c r="G303" s="1">
        <v>448193</v>
      </c>
    </row>
    <row r="304" spans="1:9" x14ac:dyDescent="0.35">
      <c r="A304" s="1" t="str">
        <f t="shared" si="4"/>
        <v>10 Saccharin 1</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3796</v>
      </c>
      <c r="D304" s="1" t="s">
        <v>3797</v>
      </c>
      <c r="E304" s="1" t="s">
        <v>3798</v>
      </c>
      <c r="F304" s="1" t="s">
        <v>111</v>
      </c>
      <c r="G304" s="1">
        <v>364201</v>
      </c>
    </row>
    <row r="305" spans="1:7" x14ac:dyDescent="0.35">
      <c r="A305" s="1" t="str">
        <f t="shared" si="4"/>
        <v>10 Saccharin 1</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5" s="1" t="s">
        <v>3799</v>
      </c>
    </row>
    <row r="306" spans="1:7" x14ac:dyDescent="0.35">
      <c r="A306" s="1" t="str">
        <f t="shared" si="4"/>
        <v>10 Saccharin 1</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3800</v>
      </c>
      <c r="D306" s="1" t="s">
        <v>3173</v>
      </c>
      <c r="E306" s="1" t="s">
        <v>3801</v>
      </c>
      <c r="F306" s="1" t="s">
        <v>111</v>
      </c>
      <c r="G306" s="1">
        <v>111292</v>
      </c>
    </row>
    <row r="307" spans="1:7" x14ac:dyDescent="0.35">
      <c r="A307" s="1" t="str">
        <f t="shared" si="4"/>
        <v>10 Saccharin 1</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3802</v>
      </c>
    </row>
    <row r="308" spans="1:7" x14ac:dyDescent="0.35">
      <c r="A308" s="1" t="str">
        <f t="shared" si="4"/>
        <v>10 Saccharin 1</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8" s="1" t="s">
        <v>3803</v>
      </c>
      <c r="D308" s="1" t="s">
        <v>3804</v>
      </c>
      <c r="E308" s="1" t="s">
        <v>3805</v>
      </c>
      <c r="F308" s="1" t="s">
        <v>111</v>
      </c>
      <c r="G308" s="1">
        <v>143814</v>
      </c>
    </row>
    <row r="309" spans="1:7" x14ac:dyDescent="0.35">
      <c r="A309" s="1" t="str">
        <f t="shared" si="4"/>
        <v>10 Saccharin 1</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3806</v>
      </c>
      <c r="D309" s="1" t="s">
        <v>3734</v>
      </c>
      <c r="E309" s="1" t="s">
        <v>3807</v>
      </c>
      <c r="F309" s="1" t="s">
        <v>111</v>
      </c>
      <c r="G309" s="1">
        <v>101460</v>
      </c>
    </row>
    <row r="310" spans="1:7" x14ac:dyDescent="0.35">
      <c r="A310" s="1" t="str">
        <f t="shared" si="4"/>
        <v>10 Saccharin 1</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3808</v>
      </c>
      <c r="D310" s="1" t="s">
        <v>3737</v>
      </c>
      <c r="E310" s="1" t="s">
        <v>3809</v>
      </c>
      <c r="F310" s="1" t="s">
        <v>111</v>
      </c>
      <c r="G310" s="1">
        <v>60040</v>
      </c>
    </row>
    <row r="311" spans="1:7" x14ac:dyDescent="0.35">
      <c r="A311" s="1" t="str">
        <f t="shared" si="4"/>
        <v>10 Saccharin 1</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1" s="1" t="s">
        <v>3810</v>
      </c>
      <c r="D311" s="1" t="s">
        <v>3811</v>
      </c>
      <c r="E311" s="1" t="s">
        <v>3812</v>
      </c>
      <c r="F311" s="1" t="s">
        <v>111</v>
      </c>
      <c r="G311" s="1">
        <v>50208</v>
      </c>
    </row>
    <row r="312" spans="1:7" x14ac:dyDescent="0.35">
      <c r="A312" s="1" t="str">
        <f t="shared" si="4"/>
        <v>10 Saccharin 1</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3813</v>
      </c>
      <c r="D312" s="1" t="s">
        <v>3325</v>
      </c>
      <c r="E312" s="1" t="s">
        <v>3814</v>
      </c>
      <c r="F312" s="1" t="s">
        <v>111</v>
      </c>
      <c r="G312" s="1">
        <v>163479</v>
      </c>
    </row>
    <row r="313" spans="1:7" x14ac:dyDescent="0.35">
      <c r="A313" s="1" t="str">
        <f t="shared" si="4"/>
        <v>10 Saccharin 1</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3815</v>
      </c>
      <c r="D313" s="1" t="s">
        <v>3816</v>
      </c>
      <c r="E313" s="1" t="s">
        <v>3817</v>
      </c>
      <c r="F313" s="1" t="s">
        <v>111</v>
      </c>
      <c r="G313" s="1">
        <v>150601</v>
      </c>
    </row>
    <row r="314" spans="1:7" x14ac:dyDescent="0.35">
      <c r="A314" s="1" t="str">
        <f t="shared" si="4"/>
        <v>10 Saccharin 1</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4" s="1" t="s">
        <v>3818</v>
      </c>
      <c r="D314" s="1" t="s">
        <v>3819</v>
      </c>
      <c r="E314" s="1" t="s">
        <v>3820</v>
      </c>
      <c r="F314" s="1" t="s">
        <v>111</v>
      </c>
      <c r="G314" s="1">
        <v>121560</v>
      </c>
    </row>
    <row r="315" spans="1:7" x14ac:dyDescent="0.35">
      <c r="A315" s="1" t="str">
        <f t="shared" si="4"/>
        <v>10 Saccharin 1</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3821</v>
      </c>
      <c r="D315" s="1" t="s">
        <v>3822</v>
      </c>
      <c r="E315" s="1" t="s">
        <v>3823</v>
      </c>
      <c r="F315" s="1" t="s">
        <v>111</v>
      </c>
      <c r="G315" s="1">
        <v>63782</v>
      </c>
    </row>
    <row r="316" spans="1:7" x14ac:dyDescent="0.35">
      <c r="A316" s="1" t="str">
        <f t="shared" si="4"/>
        <v>10 Saccharin 1</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3824</v>
      </c>
      <c r="D316" s="1" t="s">
        <v>3825</v>
      </c>
      <c r="E316" s="1" t="s">
        <v>3826</v>
      </c>
      <c r="F316" s="1" t="s">
        <v>111</v>
      </c>
      <c r="G316" s="1">
        <v>103526</v>
      </c>
    </row>
    <row r="317" spans="1:7" x14ac:dyDescent="0.35">
      <c r="A317" s="1" t="str">
        <f t="shared" si="4"/>
        <v>10 Saccharin 1</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7" s="1" t="s">
        <v>3827</v>
      </c>
      <c r="D317" s="1" t="s">
        <v>3399</v>
      </c>
      <c r="E317" s="1" t="s">
        <v>2957</v>
      </c>
      <c r="F317" s="1" t="s">
        <v>111</v>
      </c>
      <c r="G317" s="1">
        <v>25996</v>
      </c>
    </row>
    <row r="318" spans="1:7" x14ac:dyDescent="0.35">
      <c r="A318" s="1" t="str">
        <f t="shared" si="4"/>
        <v>10 Saccharin 1</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3828</v>
      </c>
      <c r="D318" s="1" t="s">
        <v>3310</v>
      </c>
      <c r="E318" s="1" t="s">
        <v>1650</v>
      </c>
      <c r="F318" s="1" t="s">
        <v>111</v>
      </c>
      <c r="G318" s="1">
        <v>89800</v>
      </c>
    </row>
    <row r="319" spans="1:7" x14ac:dyDescent="0.35">
      <c r="A319" s="1" t="str">
        <f t="shared" si="4"/>
        <v>10 Saccharin 1</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3829</v>
      </c>
      <c r="D319" s="1" t="s">
        <v>3830</v>
      </c>
      <c r="E319" s="1" t="s">
        <v>3831</v>
      </c>
      <c r="F319" s="1" t="s">
        <v>111</v>
      </c>
      <c r="G319" s="1">
        <v>116100</v>
      </c>
    </row>
    <row r="320" spans="1:7" x14ac:dyDescent="0.35">
      <c r="A320" s="1" t="str">
        <f t="shared" si="4"/>
        <v>10 Saccharin 1</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20" s="1" t="s">
        <v>3832</v>
      </c>
      <c r="D320" s="1" t="s">
        <v>3371</v>
      </c>
      <c r="E320" s="1" t="s">
        <v>3833</v>
      </c>
      <c r="F320" s="1" t="s">
        <v>111</v>
      </c>
      <c r="G320" s="1">
        <v>41593</v>
      </c>
    </row>
    <row r="321" spans="1:9" x14ac:dyDescent="0.35">
      <c r="A321" s="1" t="str">
        <f t="shared" si="4"/>
        <v>10 Saccharin 1</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3834</v>
      </c>
      <c r="D321" s="1" t="s">
        <v>3701</v>
      </c>
      <c r="E321" s="1" t="s">
        <v>3835</v>
      </c>
      <c r="F321" s="1" t="s">
        <v>111</v>
      </c>
      <c r="G321" s="1">
        <v>70178</v>
      </c>
    </row>
    <row r="322" spans="1:9" x14ac:dyDescent="0.35">
      <c r="A322" s="1" t="str">
        <f t="shared" ref="A322:A385" si="5">IFERROR(LEFT(RIGHT(C322,LEN(C322)-SEARCH("@",C322)),SEARCH("/",RIGHT(C322,LEN(C322)-SEARCH("@",C322)-1))),"")</f>
        <v>10 Saccharin 1</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3836</v>
      </c>
      <c r="D322" s="1" t="s">
        <v>3170</v>
      </c>
      <c r="E322" s="1" t="s">
        <v>3837</v>
      </c>
      <c r="F322" s="1" t="s">
        <v>111</v>
      </c>
      <c r="G322" s="1">
        <v>86819</v>
      </c>
    </row>
    <row r="323" spans="1:9" x14ac:dyDescent="0.35">
      <c r="A323" s="1" t="str">
        <f t="shared" si="5"/>
        <v>10 Saccharin 1</v>
      </c>
      <c r="B3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3" s="1" t="s">
        <v>3838</v>
      </c>
      <c r="D323" s="1" t="s">
        <v>3839</v>
      </c>
      <c r="E323" s="1">
        <v>65</v>
      </c>
      <c r="F323" s="1" t="s">
        <v>111</v>
      </c>
      <c r="G323" s="1">
        <v>59388</v>
      </c>
    </row>
    <row r="324" spans="1:9" x14ac:dyDescent="0.3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111</v>
      </c>
    </row>
    <row r="325" spans="1:9" x14ac:dyDescent="0.35">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5" s="1" t="s">
        <v>234</v>
      </c>
      <c r="D325" s="1" t="s">
        <v>111</v>
      </c>
      <c r="E325" s="1" t="s">
        <v>235</v>
      </c>
      <c r="F325" s="1" t="s">
        <v>236</v>
      </c>
      <c r="G325" s="1" t="s">
        <v>237</v>
      </c>
      <c r="H325" s="1" t="s">
        <v>238</v>
      </c>
      <c r="I325" s="1" t="s">
        <v>239</v>
      </c>
    </row>
    <row r="326" spans="1:9" x14ac:dyDescent="0.35">
      <c r="A326" s="1" t="str">
        <f t="shared" si="5"/>
        <v>10 Saccharin 1</v>
      </c>
      <c r="B3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6" s="1" t="s">
        <v>3840</v>
      </c>
      <c r="D326" s="1" t="s">
        <v>111</v>
      </c>
      <c r="E326" s="1" t="s">
        <v>3841</v>
      </c>
      <c r="F326" s="1" t="s">
        <v>3842</v>
      </c>
      <c r="G326" s="1" t="s">
        <v>3843</v>
      </c>
      <c r="H326" s="1" t="s">
        <v>3844</v>
      </c>
      <c r="I326" s="1">
        <v>24</v>
      </c>
    </row>
    <row r="327" spans="1:9" x14ac:dyDescent="0.3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111</v>
      </c>
    </row>
    <row r="328" spans="1:9" x14ac:dyDescent="0.3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111</v>
      </c>
    </row>
    <row r="329" spans="1:9" x14ac:dyDescent="0.3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111</v>
      </c>
    </row>
    <row r="330" spans="1:9" x14ac:dyDescent="0.3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111</v>
      </c>
    </row>
    <row r="331" spans="1:9" x14ac:dyDescent="0.3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111</v>
      </c>
    </row>
    <row r="332" spans="1:9" x14ac:dyDescent="0.35">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2" s="1" t="s">
        <v>245</v>
      </c>
      <c r="D332" s="1" t="s">
        <v>109</v>
      </c>
      <c r="E332" s="1" t="s">
        <v>110</v>
      </c>
      <c r="F332" s="1" t="s">
        <v>111</v>
      </c>
      <c r="G332" s="1" t="s">
        <v>112</v>
      </c>
    </row>
    <row r="333" spans="1:9" x14ac:dyDescent="0.35">
      <c r="A333" s="1" t="str">
        <f t="shared" si="5"/>
        <v>11 Saccharin 10</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3845</v>
      </c>
      <c r="D333" s="1" t="s">
        <v>3846</v>
      </c>
      <c r="E333" s="1" t="s">
        <v>3847</v>
      </c>
      <c r="F333" s="1" t="s">
        <v>111</v>
      </c>
      <c r="G333" s="1">
        <v>72810</v>
      </c>
    </row>
    <row r="334" spans="1:9" x14ac:dyDescent="0.35">
      <c r="A334" s="1" t="str">
        <f t="shared" si="5"/>
        <v>11 Saccharin 10</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3848</v>
      </c>
      <c r="D334" s="1" t="s">
        <v>3214</v>
      </c>
      <c r="E334" s="1" t="s">
        <v>3849</v>
      </c>
      <c r="F334" s="1" t="s">
        <v>111</v>
      </c>
      <c r="G334" s="1">
        <v>56538</v>
      </c>
    </row>
    <row r="335" spans="1:9" x14ac:dyDescent="0.35">
      <c r="A335" s="1" t="str">
        <f t="shared" si="5"/>
        <v>11 Saccharin 10</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5" s="1" t="s">
        <v>3850</v>
      </c>
      <c r="D335" s="1" t="s">
        <v>3851</v>
      </c>
      <c r="E335" s="1" t="s">
        <v>3852</v>
      </c>
      <c r="F335" s="1" t="s">
        <v>111</v>
      </c>
      <c r="G335" s="1">
        <v>82055</v>
      </c>
    </row>
    <row r="336" spans="1:9" x14ac:dyDescent="0.35">
      <c r="A336" s="1" t="str">
        <f t="shared" si="5"/>
        <v>11 Saccharin 10</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3853</v>
      </c>
      <c r="D336" s="1" t="s">
        <v>3199</v>
      </c>
      <c r="E336" s="1" t="s">
        <v>3854</v>
      </c>
      <c r="F336" s="1" t="s">
        <v>111</v>
      </c>
      <c r="G336" s="1">
        <v>83948</v>
      </c>
    </row>
    <row r="337" spans="1:7" x14ac:dyDescent="0.35">
      <c r="A337" s="1" t="str">
        <f t="shared" si="5"/>
        <v>11 Saccharin 10</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3855</v>
      </c>
      <c r="D337" s="1" t="s">
        <v>3856</v>
      </c>
      <c r="E337" s="1" t="s">
        <v>1649</v>
      </c>
      <c r="F337" s="1" t="s">
        <v>111</v>
      </c>
      <c r="G337" s="1">
        <v>22211</v>
      </c>
    </row>
    <row r="338" spans="1:7" x14ac:dyDescent="0.35">
      <c r="A338" s="1" t="str">
        <f t="shared" si="5"/>
        <v>11 Saccharin 10</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8" s="1" t="s">
        <v>3857</v>
      </c>
      <c r="D338" s="1" t="s">
        <v>3310</v>
      </c>
      <c r="E338" s="1" t="s">
        <v>3858</v>
      </c>
      <c r="F338" s="1" t="s">
        <v>111</v>
      </c>
      <c r="G338" s="1">
        <v>93150</v>
      </c>
    </row>
    <row r="339" spans="1:7" x14ac:dyDescent="0.35">
      <c r="A339" s="1" t="str">
        <f t="shared" si="5"/>
        <v>11 Saccharin 10</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3859</v>
      </c>
    </row>
    <row r="340" spans="1:7" x14ac:dyDescent="0.35">
      <c r="A340" s="1" t="str">
        <f t="shared" si="5"/>
        <v>11 Saccharin 10</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3860</v>
      </c>
    </row>
    <row r="341" spans="1:7" x14ac:dyDescent="0.35">
      <c r="A341" s="1" t="str">
        <f t="shared" si="5"/>
        <v>11 Saccharin 10</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1" s="1" t="s">
        <v>3861</v>
      </c>
    </row>
    <row r="342" spans="1:7" x14ac:dyDescent="0.35">
      <c r="A342" s="1" t="str">
        <f t="shared" si="5"/>
        <v>11 Saccharin 10</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3862</v>
      </c>
      <c r="D342" s="1" t="s">
        <v>3839</v>
      </c>
      <c r="E342" s="1" t="s">
        <v>3863</v>
      </c>
      <c r="F342" s="1" t="s">
        <v>111</v>
      </c>
      <c r="G342" s="1">
        <v>58170</v>
      </c>
    </row>
    <row r="343" spans="1:7" x14ac:dyDescent="0.35">
      <c r="A343" s="1" t="str">
        <f t="shared" si="5"/>
        <v>11 Saccharin 10</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3864</v>
      </c>
      <c r="D343" s="1" t="s">
        <v>3865</v>
      </c>
      <c r="E343" s="1" t="s">
        <v>3866</v>
      </c>
      <c r="F343" s="1" t="s">
        <v>111</v>
      </c>
      <c r="G343" s="1">
        <v>64174</v>
      </c>
    </row>
    <row r="344" spans="1:7" x14ac:dyDescent="0.35">
      <c r="A344" s="1" t="str">
        <f t="shared" si="5"/>
        <v>11 Saccharin 10</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4" s="1" t="s">
        <v>3867</v>
      </c>
      <c r="D344" s="1" t="s">
        <v>3868</v>
      </c>
      <c r="E344" s="1" t="s">
        <v>3869</v>
      </c>
      <c r="F344" s="1" t="s">
        <v>111</v>
      </c>
      <c r="G344" s="1">
        <v>67980</v>
      </c>
    </row>
    <row r="345" spans="1:7" x14ac:dyDescent="0.35">
      <c r="A345" s="1" t="str">
        <f t="shared" si="5"/>
        <v>11 Saccharin 10</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3870</v>
      </c>
      <c r="D345" s="1" t="s">
        <v>3871</v>
      </c>
      <c r="E345" s="1" t="s">
        <v>3872</v>
      </c>
      <c r="F345" s="1" t="s">
        <v>111</v>
      </c>
      <c r="G345" s="1">
        <v>218560</v>
      </c>
    </row>
    <row r="346" spans="1:7" x14ac:dyDescent="0.35">
      <c r="A346" s="1" t="str">
        <f t="shared" si="5"/>
        <v>11 Saccharin 10</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3873</v>
      </c>
      <c r="D346" s="1" t="s">
        <v>3874</v>
      </c>
      <c r="E346" s="1" t="s">
        <v>3875</v>
      </c>
      <c r="F346" s="1" t="s">
        <v>111</v>
      </c>
      <c r="G346" s="1">
        <v>108116</v>
      </c>
    </row>
    <row r="347" spans="1:7" x14ac:dyDescent="0.35">
      <c r="A347" s="1" t="str">
        <f t="shared" si="5"/>
        <v>11 Saccharin 10</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7" s="1" t="s">
        <v>3876</v>
      </c>
      <c r="D347" s="1" t="s">
        <v>3877</v>
      </c>
      <c r="E347" s="1" t="s">
        <v>3878</v>
      </c>
      <c r="F347" s="1" t="s">
        <v>111</v>
      </c>
      <c r="G347" s="1">
        <v>122756</v>
      </c>
    </row>
    <row r="348" spans="1:7" x14ac:dyDescent="0.35">
      <c r="A348" s="1" t="str">
        <f t="shared" si="5"/>
        <v>11 Saccharin 10</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3879</v>
      </c>
      <c r="D348" s="1" t="s">
        <v>3659</v>
      </c>
      <c r="E348" s="1" t="s">
        <v>3880</v>
      </c>
      <c r="F348" s="1" t="s">
        <v>111</v>
      </c>
      <c r="G348" s="1">
        <v>186190</v>
      </c>
    </row>
    <row r="349" spans="1:7" x14ac:dyDescent="0.35">
      <c r="A349" s="1" t="str">
        <f t="shared" si="5"/>
        <v>11 Saccharin 10</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3881</v>
      </c>
      <c r="D349" s="1" t="s">
        <v>3345</v>
      </c>
      <c r="E349" s="1" t="s">
        <v>3882</v>
      </c>
      <c r="F349" s="1" t="s">
        <v>111</v>
      </c>
      <c r="G349" s="1">
        <v>131610</v>
      </c>
    </row>
    <row r="350" spans="1:7" x14ac:dyDescent="0.35">
      <c r="A350" s="1" t="str">
        <f t="shared" si="5"/>
        <v>11 Saccharin 10</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50" s="1" t="s">
        <v>3883</v>
      </c>
      <c r="D350" s="1" t="s">
        <v>3766</v>
      </c>
      <c r="E350" s="1" t="s">
        <v>3884</v>
      </c>
      <c r="F350" s="1" t="s">
        <v>111</v>
      </c>
      <c r="G350" s="1">
        <v>230198</v>
      </c>
    </row>
    <row r="351" spans="1:7" x14ac:dyDescent="0.35">
      <c r="A351" s="1" t="str">
        <f t="shared" si="5"/>
        <v>11 Saccharin 10</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3885</v>
      </c>
      <c r="D351" s="1" t="s">
        <v>3886</v>
      </c>
      <c r="E351" s="1" t="s">
        <v>3887</v>
      </c>
      <c r="F351" s="1" t="s">
        <v>111</v>
      </c>
      <c r="G351" s="1">
        <v>165459</v>
      </c>
    </row>
    <row r="352" spans="1:7" x14ac:dyDescent="0.35">
      <c r="A352" s="1" t="str">
        <f t="shared" si="5"/>
        <v>11 Saccharin 10</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3888</v>
      </c>
      <c r="D352" s="1" t="s">
        <v>3889</v>
      </c>
      <c r="E352" s="1" t="s">
        <v>3890</v>
      </c>
      <c r="F352" s="1" t="s">
        <v>111</v>
      </c>
      <c r="G352" s="1">
        <v>134939</v>
      </c>
    </row>
    <row r="353" spans="1:9" x14ac:dyDescent="0.35">
      <c r="A353" s="1" t="str">
        <f t="shared" si="5"/>
        <v>11 Saccharin 10</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3" s="1" t="s">
        <v>3891</v>
      </c>
      <c r="D353" s="1" t="s">
        <v>3892</v>
      </c>
      <c r="E353" s="1" t="s">
        <v>3893</v>
      </c>
      <c r="F353" s="1" t="s">
        <v>111</v>
      </c>
      <c r="G353" s="1">
        <v>102961</v>
      </c>
    </row>
    <row r="354" spans="1:9" x14ac:dyDescent="0.35">
      <c r="A354" s="1" t="str">
        <f t="shared" si="5"/>
        <v>11 Saccharin 10</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3894</v>
      </c>
      <c r="D354" s="1" t="s">
        <v>3874</v>
      </c>
      <c r="E354" s="1" t="s">
        <v>3895</v>
      </c>
      <c r="F354" s="1" t="s">
        <v>111</v>
      </c>
      <c r="G354" s="1">
        <v>114860</v>
      </c>
    </row>
    <row r="355" spans="1:9" x14ac:dyDescent="0.35">
      <c r="A355" s="1" t="str">
        <f t="shared" si="5"/>
        <v>11 Saccharin 10</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3896</v>
      </c>
      <c r="D355" s="1" t="s">
        <v>3231</v>
      </c>
      <c r="E355" s="1" t="s">
        <v>3897</v>
      </c>
      <c r="F355" s="1" t="s">
        <v>111</v>
      </c>
      <c r="G355" s="1">
        <v>424481</v>
      </c>
    </row>
    <row r="356" spans="1:9" x14ac:dyDescent="0.35">
      <c r="A356" s="1" t="str">
        <f t="shared" si="5"/>
        <v>11 Saccharin 10</v>
      </c>
      <c r="B3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6" s="1" t="s">
        <v>3898</v>
      </c>
      <c r="D356" s="1" t="s">
        <v>3811</v>
      </c>
      <c r="E356" s="1" t="s">
        <v>3899</v>
      </c>
      <c r="F356" s="1" t="s">
        <v>111</v>
      </c>
      <c r="G356" s="1">
        <v>51208</v>
      </c>
    </row>
    <row r="357" spans="1:9" x14ac:dyDescent="0.3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111</v>
      </c>
    </row>
    <row r="358" spans="1:9" x14ac:dyDescent="0.35">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8" s="1" t="s">
        <v>234</v>
      </c>
      <c r="D358" s="1" t="s">
        <v>111</v>
      </c>
      <c r="E358" s="1" t="s">
        <v>235</v>
      </c>
      <c r="F358" s="1" t="s">
        <v>236</v>
      </c>
      <c r="G358" s="1" t="s">
        <v>237</v>
      </c>
      <c r="H358" s="1" t="s">
        <v>238</v>
      </c>
      <c r="I358" s="1" t="s">
        <v>239</v>
      </c>
    </row>
    <row r="359" spans="1:9" x14ac:dyDescent="0.35">
      <c r="A359" s="1" t="str">
        <f t="shared" si="5"/>
        <v>11 Saccharin 10</v>
      </c>
      <c r="B3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9" s="1" t="s">
        <v>3900</v>
      </c>
      <c r="D359" s="1" t="s">
        <v>111</v>
      </c>
      <c r="E359" s="1" t="s">
        <v>3901</v>
      </c>
      <c r="F359" s="1" t="s">
        <v>3902</v>
      </c>
      <c r="G359" s="1" t="s">
        <v>3903</v>
      </c>
      <c r="H359" s="1" t="s">
        <v>3904</v>
      </c>
      <c r="I359" s="1">
        <v>24</v>
      </c>
    </row>
    <row r="360" spans="1:9" x14ac:dyDescent="0.3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111</v>
      </c>
    </row>
    <row r="361" spans="1:9" x14ac:dyDescent="0.3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111</v>
      </c>
    </row>
    <row r="362" spans="1:9" x14ac:dyDescent="0.3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111</v>
      </c>
    </row>
    <row r="363" spans="1:9" x14ac:dyDescent="0.3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111</v>
      </c>
    </row>
    <row r="364" spans="1:9" x14ac:dyDescent="0.3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111</v>
      </c>
    </row>
    <row r="365" spans="1:9" x14ac:dyDescent="0.35">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5" s="1" t="s">
        <v>245</v>
      </c>
      <c r="D365" s="1" t="s">
        <v>109</v>
      </c>
      <c r="E365" s="1" t="s">
        <v>110</v>
      </c>
      <c r="F365" s="1" t="s">
        <v>111</v>
      </c>
      <c r="G365" s="1" t="s">
        <v>112</v>
      </c>
    </row>
    <row r="366" spans="1:9" x14ac:dyDescent="0.35">
      <c r="A366" s="1" t="str">
        <f t="shared" si="5"/>
        <v>12 Saccharin 100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3905</v>
      </c>
      <c r="D366" s="1" t="s">
        <v>3766</v>
      </c>
      <c r="E366" s="1" t="s">
        <v>1728</v>
      </c>
      <c r="F366" s="1" t="s">
        <v>111</v>
      </c>
      <c r="G366" s="1">
        <v>231895</v>
      </c>
    </row>
    <row r="367" spans="1:9" x14ac:dyDescent="0.35">
      <c r="A367" s="1" t="str">
        <f t="shared" si="5"/>
        <v>12 Saccharin 100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3906</v>
      </c>
      <c r="D367" s="1" t="s">
        <v>3170</v>
      </c>
      <c r="E367" s="1" t="s">
        <v>3907</v>
      </c>
      <c r="F367" s="1" t="s">
        <v>111</v>
      </c>
      <c r="G367" s="1">
        <v>86210</v>
      </c>
    </row>
    <row r="368" spans="1:9" x14ac:dyDescent="0.35">
      <c r="A368" s="1" t="str">
        <f t="shared" si="5"/>
        <v>12 Saccharin 100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8" s="1" t="s">
        <v>3908</v>
      </c>
      <c r="D368" s="1" t="s">
        <v>3167</v>
      </c>
      <c r="E368" s="1" t="s">
        <v>3909</v>
      </c>
      <c r="F368" s="1" t="s">
        <v>111</v>
      </c>
      <c r="G368" s="1">
        <v>30608</v>
      </c>
    </row>
    <row r="369" spans="1:7" x14ac:dyDescent="0.35">
      <c r="A369" s="1" t="str">
        <f t="shared" si="5"/>
        <v>12 Saccharin 100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3910</v>
      </c>
    </row>
    <row r="370" spans="1:7" x14ac:dyDescent="0.35">
      <c r="A370" s="1" t="str">
        <f t="shared" si="5"/>
        <v>12 Saccharin 100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3911</v>
      </c>
      <c r="D370" s="1" t="s">
        <v>3912</v>
      </c>
      <c r="E370" s="1" t="s">
        <v>3913</v>
      </c>
      <c r="F370" s="1" t="s">
        <v>111</v>
      </c>
      <c r="G370" s="1">
        <v>7113</v>
      </c>
    </row>
    <row r="371" spans="1:7" x14ac:dyDescent="0.35">
      <c r="A371" s="1" t="str">
        <f t="shared" si="5"/>
        <v>12 Saccharin 100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1" s="1" t="s">
        <v>3914</v>
      </c>
      <c r="D371" s="1" t="s">
        <v>3915</v>
      </c>
      <c r="E371" s="1" t="s">
        <v>3916</v>
      </c>
      <c r="F371" s="1" t="s">
        <v>111</v>
      </c>
      <c r="G371" s="1">
        <v>177946</v>
      </c>
    </row>
    <row r="372" spans="1:7" x14ac:dyDescent="0.35">
      <c r="A372" s="1" t="str">
        <f t="shared" si="5"/>
        <v>12 Saccharin 100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3917</v>
      </c>
      <c r="D372" s="1" t="s">
        <v>3918</v>
      </c>
      <c r="E372" s="1" t="s">
        <v>1645</v>
      </c>
      <c r="F372" s="1" t="s">
        <v>111</v>
      </c>
      <c r="G372" s="1">
        <v>53841</v>
      </c>
    </row>
    <row r="373" spans="1:7" x14ac:dyDescent="0.35">
      <c r="A373" s="1" t="str">
        <f t="shared" si="5"/>
        <v>12 Saccharin 100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3919</v>
      </c>
      <c r="D373" s="1" t="s">
        <v>3918</v>
      </c>
      <c r="E373" s="1" t="s">
        <v>3920</v>
      </c>
      <c r="F373" s="1" t="s">
        <v>111</v>
      </c>
      <c r="G373" s="1">
        <v>53645</v>
      </c>
    </row>
    <row r="374" spans="1:7" x14ac:dyDescent="0.35">
      <c r="A374" s="1" t="str">
        <f t="shared" si="5"/>
        <v>12 Saccharin 100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4" s="1" t="s">
        <v>3921</v>
      </c>
      <c r="D374" s="1" t="s">
        <v>3922</v>
      </c>
      <c r="E374" s="1" t="s">
        <v>3923</v>
      </c>
      <c r="F374" s="1" t="s">
        <v>111</v>
      </c>
      <c r="G374" s="1">
        <v>46140</v>
      </c>
    </row>
    <row r="375" spans="1:7" x14ac:dyDescent="0.35">
      <c r="A375" s="1" t="str">
        <f t="shared" si="5"/>
        <v>12 Saccharin 100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3924</v>
      </c>
      <c r="D375" s="1" t="s">
        <v>3925</v>
      </c>
      <c r="E375" s="1" t="s">
        <v>3926</v>
      </c>
      <c r="F375" s="1" t="s">
        <v>111</v>
      </c>
      <c r="G375" s="1">
        <v>161935</v>
      </c>
    </row>
    <row r="376" spans="1:7" x14ac:dyDescent="0.35">
      <c r="A376" s="1" t="str">
        <f t="shared" si="5"/>
        <v>12 Saccharin 100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3927</v>
      </c>
      <c r="D376" s="1" t="s">
        <v>3731</v>
      </c>
      <c r="E376" s="1" t="s">
        <v>3928</v>
      </c>
      <c r="F376" s="1" t="s">
        <v>111</v>
      </c>
      <c r="G376" s="1">
        <v>41180</v>
      </c>
    </row>
    <row r="377" spans="1:7" x14ac:dyDescent="0.35">
      <c r="A377" s="1" t="str">
        <f t="shared" si="5"/>
        <v>12 Saccharin 100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7" s="1" t="s">
        <v>3929</v>
      </c>
    </row>
    <row r="378" spans="1:7" x14ac:dyDescent="0.35">
      <c r="A378" s="1" t="str">
        <f t="shared" si="5"/>
        <v>12 Saccharin 100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3930</v>
      </c>
      <c r="D378" s="1" t="s">
        <v>3931</v>
      </c>
      <c r="E378" s="1" t="s">
        <v>3932</v>
      </c>
      <c r="F378" s="1" t="s">
        <v>111</v>
      </c>
      <c r="G378" s="1">
        <v>74463</v>
      </c>
    </row>
    <row r="379" spans="1:7" x14ac:dyDescent="0.35">
      <c r="A379" s="1" t="str">
        <f t="shared" si="5"/>
        <v>12 Saccharin 100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3933</v>
      </c>
      <c r="D379" s="1" t="s">
        <v>3934</v>
      </c>
      <c r="E379" s="1" t="s">
        <v>3935</v>
      </c>
      <c r="F379" s="1" t="s">
        <v>111</v>
      </c>
      <c r="G379" s="1">
        <v>50534</v>
      </c>
    </row>
    <row r="380" spans="1:7" x14ac:dyDescent="0.35">
      <c r="A380" s="1" t="str">
        <f t="shared" si="5"/>
        <v>12 Saccharin 100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80" s="1" t="s">
        <v>3936</v>
      </c>
      <c r="D380" s="1" t="s">
        <v>3164</v>
      </c>
      <c r="E380" s="1" t="s">
        <v>3937</v>
      </c>
      <c r="F380" s="1" t="s">
        <v>111</v>
      </c>
      <c r="G380" s="1">
        <v>37765</v>
      </c>
    </row>
    <row r="381" spans="1:7" x14ac:dyDescent="0.35">
      <c r="A381" s="1" t="str">
        <f t="shared" si="5"/>
        <v>12 Saccharin 100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3938</v>
      </c>
      <c r="D381" s="1" t="s">
        <v>3288</v>
      </c>
      <c r="E381" s="1" t="s">
        <v>3939</v>
      </c>
      <c r="F381" s="1" t="s">
        <v>111</v>
      </c>
      <c r="G381" s="1">
        <v>94912</v>
      </c>
    </row>
    <row r="382" spans="1:7" x14ac:dyDescent="0.35">
      <c r="A382" s="1" t="str">
        <f t="shared" si="5"/>
        <v>12 Saccharin 100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3940</v>
      </c>
      <c r="D382" s="1" t="s">
        <v>3830</v>
      </c>
      <c r="E382" s="1" t="s">
        <v>3941</v>
      </c>
      <c r="F382" s="1" t="s">
        <v>111</v>
      </c>
      <c r="G382" s="1">
        <v>122408</v>
      </c>
    </row>
    <row r="383" spans="1:7" x14ac:dyDescent="0.35">
      <c r="A383" s="1" t="str">
        <f t="shared" si="5"/>
        <v>12 Saccharin 100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3" s="1" t="s">
        <v>3942</v>
      </c>
      <c r="D383" s="1" t="s">
        <v>3816</v>
      </c>
      <c r="E383" s="1" t="s">
        <v>3943</v>
      </c>
      <c r="F383" s="1" t="s">
        <v>111</v>
      </c>
      <c r="G383" s="1">
        <v>152516</v>
      </c>
    </row>
    <row r="384" spans="1:7" x14ac:dyDescent="0.35">
      <c r="A384" s="1" t="str">
        <f t="shared" si="5"/>
        <v>12 Saccharin 100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3944</v>
      </c>
      <c r="D384" s="1" t="s">
        <v>3164</v>
      </c>
      <c r="E384" s="1" t="s">
        <v>767</v>
      </c>
      <c r="F384" s="1" t="s">
        <v>111</v>
      </c>
      <c r="G384" s="1">
        <v>37134</v>
      </c>
    </row>
    <row r="385" spans="1:9" x14ac:dyDescent="0.35">
      <c r="A385" s="1" t="str">
        <f t="shared" si="5"/>
        <v>12 Saccharin 100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3945</v>
      </c>
      <c r="D385" s="1" t="s">
        <v>3399</v>
      </c>
      <c r="E385" s="1" t="s">
        <v>1376</v>
      </c>
      <c r="F385" s="1" t="s">
        <v>111</v>
      </c>
      <c r="G385" s="1">
        <v>26605</v>
      </c>
    </row>
    <row r="386" spans="1:9" x14ac:dyDescent="0.35">
      <c r="A386" s="1" t="str">
        <f t="shared" ref="A386:A449" si="6">IFERROR(LEFT(RIGHT(C386,LEN(C386)-SEARCH("@",C386)),SEARCH("/",RIGHT(C386,LEN(C386)-SEARCH("@",C386)-1))),"")</f>
        <v>12 Saccharin 100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6" s="1" t="s">
        <v>3946</v>
      </c>
      <c r="D386" s="1" t="s">
        <v>3164</v>
      </c>
      <c r="E386" s="1" t="s">
        <v>3947</v>
      </c>
      <c r="F386" s="1" t="s">
        <v>111</v>
      </c>
      <c r="G386" s="1">
        <v>38004</v>
      </c>
    </row>
    <row r="387" spans="1:9" x14ac:dyDescent="0.35">
      <c r="A387" s="1" t="str">
        <f t="shared" si="6"/>
        <v>12 Saccharin 100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3948</v>
      </c>
      <c r="D387" s="1" t="s">
        <v>3949</v>
      </c>
      <c r="E387" s="1" t="s">
        <v>3950</v>
      </c>
      <c r="F387" s="1" t="s">
        <v>111</v>
      </c>
      <c r="G387" s="1">
        <v>310578</v>
      </c>
    </row>
    <row r="388" spans="1:9" x14ac:dyDescent="0.35">
      <c r="A388" s="1" t="str">
        <f t="shared" si="6"/>
        <v>12 Saccharin 100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3951</v>
      </c>
      <c r="D388" s="1" t="s">
        <v>3952</v>
      </c>
      <c r="E388" s="1" t="s">
        <v>3953</v>
      </c>
      <c r="F388" s="1" t="s">
        <v>111</v>
      </c>
      <c r="G388" s="1">
        <v>305096</v>
      </c>
    </row>
    <row r="389" spans="1:9" x14ac:dyDescent="0.35">
      <c r="A389" s="1" t="str">
        <f t="shared" si="6"/>
        <v>12 Saccharin 100</v>
      </c>
      <c r="B3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9" s="1" t="s">
        <v>3954</v>
      </c>
      <c r="D389" s="1" t="s">
        <v>3955</v>
      </c>
      <c r="E389" s="1" t="s">
        <v>3956</v>
      </c>
      <c r="F389" s="1" t="s">
        <v>111</v>
      </c>
      <c r="G389" s="1">
        <v>272531</v>
      </c>
    </row>
    <row r="390" spans="1:9" x14ac:dyDescent="0.3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111</v>
      </c>
    </row>
    <row r="391" spans="1:9" x14ac:dyDescent="0.35">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1" s="1" t="s">
        <v>234</v>
      </c>
      <c r="D391" s="1" t="s">
        <v>111</v>
      </c>
      <c r="E391" s="1" t="s">
        <v>235</v>
      </c>
      <c r="F391" s="1" t="s">
        <v>236</v>
      </c>
      <c r="G391" s="1" t="s">
        <v>237</v>
      </c>
      <c r="H391" s="1" t="s">
        <v>238</v>
      </c>
      <c r="I391" s="1" t="s">
        <v>239</v>
      </c>
    </row>
    <row r="392" spans="1:9" x14ac:dyDescent="0.35">
      <c r="A392" s="1" t="str">
        <f t="shared" si="6"/>
        <v>12 Saccharin 100</v>
      </c>
      <c r="B3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2" s="1" t="s">
        <v>3957</v>
      </c>
      <c r="D392" s="1" t="s">
        <v>111</v>
      </c>
      <c r="E392" s="1" t="s">
        <v>3958</v>
      </c>
      <c r="F392" s="1" t="s">
        <v>3959</v>
      </c>
      <c r="G392" s="1" t="s">
        <v>3960</v>
      </c>
      <c r="H392" s="1" t="s">
        <v>3961</v>
      </c>
      <c r="I392" s="1">
        <v>24</v>
      </c>
    </row>
    <row r="393" spans="1:9" x14ac:dyDescent="0.3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111</v>
      </c>
    </row>
    <row r="394" spans="1:9" x14ac:dyDescent="0.3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111</v>
      </c>
    </row>
    <row r="395" spans="1:9" x14ac:dyDescent="0.3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111</v>
      </c>
    </row>
    <row r="396" spans="1:9" x14ac:dyDescent="0.3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111</v>
      </c>
    </row>
    <row r="397" spans="1:9" x14ac:dyDescent="0.3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111</v>
      </c>
    </row>
    <row r="398" spans="1:9" x14ac:dyDescent="0.35">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8" s="1" t="s">
        <v>245</v>
      </c>
      <c r="D398" s="1" t="s">
        <v>109</v>
      </c>
      <c r="E398" s="1" t="s">
        <v>110</v>
      </c>
      <c r="F398" s="1" t="s">
        <v>111</v>
      </c>
      <c r="G398" s="1" t="s">
        <v>112</v>
      </c>
    </row>
    <row r="399" spans="1:9" x14ac:dyDescent="0.35">
      <c r="A399" s="1" t="str">
        <f t="shared" si="6"/>
        <v>13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3962</v>
      </c>
      <c r="D399" s="1" t="s">
        <v>3963</v>
      </c>
      <c r="E399" s="1" t="s">
        <v>3964</v>
      </c>
      <c r="F399" s="1" t="s">
        <v>111</v>
      </c>
      <c r="G399" s="1">
        <v>2548300</v>
      </c>
    </row>
    <row r="400" spans="1:9" x14ac:dyDescent="0.35">
      <c r="A400" s="1" t="str">
        <f t="shared" si="6"/>
        <v>13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3965</v>
      </c>
      <c r="D400" s="1" t="s">
        <v>3966</v>
      </c>
      <c r="E400" s="1" t="s">
        <v>3967</v>
      </c>
      <c r="F400" s="1" t="s">
        <v>111</v>
      </c>
      <c r="G400" s="1">
        <v>2307856</v>
      </c>
    </row>
    <row r="401" spans="1:7" x14ac:dyDescent="0.35">
      <c r="A401" s="1" t="str">
        <f t="shared" si="6"/>
        <v>13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1" s="1" t="s">
        <v>3968</v>
      </c>
      <c r="D401" s="1" t="s">
        <v>3969</v>
      </c>
      <c r="E401" s="1" t="s">
        <v>3970</v>
      </c>
      <c r="F401" s="1" t="s">
        <v>111</v>
      </c>
      <c r="G401" s="1">
        <v>2191190</v>
      </c>
    </row>
    <row r="402" spans="1:7" x14ac:dyDescent="0.35">
      <c r="A402" s="1" t="str">
        <f t="shared" si="6"/>
        <v>13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3971</v>
      </c>
      <c r="D402" s="1" t="s">
        <v>3972</v>
      </c>
      <c r="E402" s="1" t="s">
        <v>3973</v>
      </c>
      <c r="F402" s="1" t="s">
        <v>111</v>
      </c>
      <c r="G402" s="1">
        <v>2955487</v>
      </c>
    </row>
    <row r="403" spans="1:7" x14ac:dyDescent="0.35">
      <c r="A403" s="1" t="str">
        <f t="shared" si="6"/>
        <v>13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3974</v>
      </c>
      <c r="D403" s="1" t="s">
        <v>3975</v>
      </c>
      <c r="E403" s="1" t="s">
        <v>3976</v>
      </c>
      <c r="F403" s="1" t="s">
        <v>111</v>
      </c>
      <c r="G403" s="1">
        <v>2410534</v>
      </c>
    </row>
    <row r="404" spans="1:7" x14ac:dyDescent="0.35">
      <c r="A404" s="1" t="str">
        <f t="shared" si="6"/>
        <v>13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4" s="1" t="s">
        <v>3977</v>
      </c>
      <c r="D404" s="1" t="s">
        <v>3978</v>
      </c>
      <c r="E404" s="1" t="s">
        <v>3979</v>
      </c>
      <c r="F404" s="1" t="s">
        <v>111</v>
      </c>
      <c r="G404" s="1">
        <v>2635380</v>
      </c>
    </row>
    <row r="405" spans="1:7" x14ac:dyDescent="0.35">
      <c r="A405" s="1" t="str">
        <f t="shared" si="6"/>
        <v>13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3980</v>
      </c>
      <c r="D405" s="1" t="s">
        <v>3981</v>
      </c>
      <c r="E405" s="1" t="s">
        <v>3982</v>
      </c>
      <c r="F405" s="1" t="s">
        <v>111</v>
      </c>
      <c r="G405" s="1">
        <v>1676366</v>
      </c>
    </row>
    <row r="406" spans="1:7" x14ac:dyDescent="0.35">
      <c r="A406" s="1" t="str">
        <f t="shared" si="6"/>
        <v>13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3983</v>
      </c>
      <c r="D406" s="1" t="s">
        <v>3984</v>
      </c>
      <c r="E406" s="1" t="s">
        <v>3985</v>
      </c>
      <c r="F406" s="1" t="s">
        <v>111</v>
      </c>
      <c r="G406" s="1">
        <v>1728988</v>
      </c>
    </row>
    <row r="407" spans="1:7" x14ac:dyDescent="0.35">
      <c r="A407" s="1" t="str">
        <f t="shared" si="6"/>
        <v>13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7" s="1" t="s">
        <v>3986</v>
      </c>
      <c r="D407" s="1" t="s">
        <v>3987</v>
      </c>
      <c r="E407" s="1" t="s">
        <v>3988</v>
      </c>
      <c r="F407" s="1" t="s">
        <v>111</v>
      </c>
      <c r="G407" s="1">
        <v>1598836</v>
      </c>
    </row>
    <row r="408" spans="1:7" x14ac:dyDescent="0.35">
      <c r="A408" s="1" t="str">
        <f t="shared" si="6"/>
        <v>13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3989</v>
      </c>
      <c r="D408" s="1" t="s">
        <v>3990</v>
      </c>
      <c r="E408" s="1" t="s">
        <v>3991</v>
      </c>
      <c r="F408" s="1" t="s">
        <v>111</v>
      </c>
      <c r="G408" s="1">
        <v>1735036</v>
      </c>
    </row>
    <row r="409" spans="1:7" x14ac:dyDescent="0.35">
      <c r="A409" s="1" t="str">
        <f t="shared" si="6"/>
        <v>13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3992</v>
      </c>
      <c r="D409" s="1" t="s">
        <v>3993</v>
      </c>
      <c r="E409" s="1" t="s">
        <v>3994</v>
      </c>
      <c r="F409" s="1" t="s">
        <v>111</v>
      </c>
      <c r="G409" s="1">
        <v>2109592</v>
      </c>
    </row>
    <row r="410" spans="1:7" x14ac:dyDescent="0.35">
      <c r="A410" s="1" t="str">
        <f t="shared" si="6"/>
        <v>13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10" s="1" t="s">
        <v>3995</v>
      </c>
      <c r="D410" s="1" t="s">
        <v>3996</v>
      </c>
      <c r="E410" s="1" t="s">
        <v>3997</v>
      </c>
      <c r="F410" s="1" t="s">
        <v>111</v>
      </c>
      <c r="G410" s="1">
        <v>1861338</v>
      </c>
    </row>
    <row r="411" spans="1:7" x14ac:dyDescent="0.35">
      <c r="A411" s="1" t="str">
        <f t="shared" si="6"/>
        <v>13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3998</v>
      </c>
      <c r="D411" s="1" t="s">
        <v>3999</v>
      </c>
      <c r="E411" s="1" t="s">
        <v>4000</v>
      </c>
      <c r="F411" s="1" t="s">
        <v>111</v>
      </c>
      <c r="G411" s="1">
        <v>1812218</v>
      </c>
    </row>
    <row r="412" spans="1:7" x14ac:dyDescent="0.35">
      <c r="A412" s="1" t="str">
        <f t="shared" si="6"/>
        <v>13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4001</v>
      </c>
      <c r="D412" s="1" t="s">
        <v>4002</v>
      </c>
      <c r="E412" s="1" t="s">
        <v>4003</v>
      </c>
      <c r="F412" s="1" t="s">
        <v>111</v>
      </c>
      <c r="G412" s="1">
        <v>2198130</v>
      </c>
    </row>
    <row r="413" spans="1:7" x14ac:dyDescent="0.35">
      <c r="A413" s="1" t="str">
        <f t="shared" si="6"/>
        <v>13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3" s="1" t="s">
        <v>4004</v>
      </c>
      <c r="D413" s="1" t="s">
        <v>4005</v>
      </c>
      <c r="E413" s="1" t="s">
        <v>4006</v>
      </c>
      <c r="F413" s="1" t="s">
        <v>111</v>
      </c>
      <c r="G413" s="1">
        <v>1837257</v>
      </c>
    </row>
    <row r="414" spans="1:7" x14ac:dyDescent="0.35">
      <c r="A414" s="1" t="str">
        <f t="shared" si="6"/>
        <v>13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4007</v>
      </c>
      <c r="D414" s="1" t="s">
        <v>4008</v>
      </c>
      <c r="E414" s="1" t="s">
        <v>4009</v>
      </c>
      <c r="F414" s="1" t="s">
        <v>111</v>
      </c>
      <c r="G414" s="1">
        <v>573190</v>
      </c>
    </row>
    <row r="415" spans="1:7" x14ac:dyDescent="0.35">
      <c r="A415" s="1" t="str">
        <f t="shared" si="6"/>
        <v>13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4010</v>
      </c>
      <c r="D415" s="1" t="s">
        <v>3769</v>
      </c>
      <c r="E415" s="1" t="s">
        <v>4011</v>
      </c>
      <c r="F415" s="1" t="s">
        <v>111</v>
      </c>
      <c r="G415" s="1">
        <v>216624</v>
      </c>
    </row>
    <row r="416" spans="1:7" x14ac:dyDescent="0.35">
      <c r="A416" s="1" t="str">
        <f t="shared" si="6"/>
        <v>13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6" s="1" t="s">
        <v>4012</v>
      </c>
    </row>
    <row r="417" spans="1:9" x14ac:dyDescent="0.35">
      <c r="A417" s="1" t="str">
        <f t="shared" si="6"/>
        <v>13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4013</v>
      </c>
      <c r="D417" s="1" t="s">
        <v>4014</v>
      </c>
      <c r="E417" s="1" t="s">
        <v>4015</v>
      </c>
      <c r="F417" s="1" t="s">
        <v>111</v>
      </c>
      <c r="G417" s="1">
        <v>2213249</v>
      </c>
    </row>
    <row r="418" spans="1:9" x14ac:dyDescent="0.35">
      <c r="A418" s="1" t="str">
        <f t="shared" si="6"/>
        <v>13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4016</v>
      </c>
      <c r="D418" s="1" t="s">
        <v>4017</v>
      </c>
      <c r="E418" s="1" t="s">
        <v>4018</v>
      </c>
      <c r="F418" s="1" t="s">
        <v>111</v>
      </c>
      <c r="G418" s="1">
        <v>2412709</v>
      </c>
    </row>
    <row r="419" spans="1:9" x14ac:dyDescent="0.35">
      <c r="A419" s="1" t="str">
        <f t="shared" si="6"/>
        <v>13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9" s="1" t="s">
        <v>4019</v>
      </c>
      <c r="D419" s="1" t="s">
        <v>4020</v>
      </c>
      <c r="E419" s="1" t="s">
        <v>4021</v>
      </c>
      <c r="F419" s="1" t="s">
        <v>111</v>
      </c>
      <c r="G419" s="1">
        <v>2442164</v>
      </c>
    </row>
    <row r="420" spans="1:9" x14ac:dyDescent="0.35">
      <c r="A420" s="1" t="str">
        <f t="shared" si="6"/>
        <v>13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4022</v>
      </c>
      <c r="D420" s="1" t="s">
        <v>4023</v>
      </c>
      <c r="E420" s="1" t="s">
        <v>4024</v>
      </c>
      <c r="F420" s="1" t="s">
        <v>111</v>
      </c>
      <c r="G420" s="1">
        <v>2781500</v>
      </c>
    </row>
    <row r="421" spans="1:9" x14ac:dyDescent="0.35">
      <c r="A421" s="1" t="str">
        <f t="shared" si="6"/>
        <v>13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4025</v>
      </c>
      <c r="D421" s="1" t="s">
        <v>4026</v>
      </c>
      <c r="E421" s="1" t="s">
        <v>4027</v>
      </c>
      <c r="F421" s="1" t="s">
        <v>111</v>
      </c>
      <c r="G421" s="1">
        <v>2342118</v>
      </c>
    </row>
    <row r="422" spans="1:9" x14ac:dyDescent="0.35">
      <c r="A422" s="1" t="str">
        <f t="shared" si="6"/>
        <v>13 TESTO 30</v>
      </c>
      <c r="B4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2" s="1" t="s">
        <v>4028</v>
      </c>
      <c r="D422" s="1" t="s">
        <v>4029</v>
      </c>
      <c r="E422" s="1" t="s">
        <v>4030</v>
      </c>
      <c r="F422" s="1" t="s">
        <v>111</v>
      </c>
      <c r="G422" s="1">
        <v>3026056</v>
      </c>
    </row>
    <row r="423" spans="1:9" x14ac:dyDescent="0.3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111</v>
      </c>
    </row>
    <row r="424" spans="1:9" x14ac:dyDescent="0.35">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4" s="1" t="s">
        <v>234</v>
      </c>
      <c r="D424" s="1" t="s">
        <v>111</v>
      </c>
      <c r="E424" s="1" t="s">
        <v>235</v>
      </c>
      <c r="F424" s="1" t="s">
        <v>236</v>
      </c>
      <c r="G424" s="1" t="s">
        <v>237</v>
      </c>
      <c r="H424" s="1" t="s">
        <v>238</v>
      </c>
      <c r="I424" s="1" t="s">
        <v>239</v>
      </c>
    </row>
    <row r="425" spans="1:9" x14ac:dyDescent="0.35">
      <c r="A425" s="1" t="str">
        <f t="shared" si="6"/>
        <v>13 TESTO 30</v>
      </c>
      <c r="B4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5" s="1" t="s">
        <v>4031</v>
      </c>
      <c r="D425" s="1" t="s">
        <v>111</v>
      </c>
      <c r="E425" s="1" t="s">
        <v>4032</v>
      </c>
      <c r="F425" s="1" t="s">
        <v>4033</v>
      </c>
      <c r="G425" s="1" t="s">
        <v>4034</v>
      </c>
      <c r="H425" s="1" t="s">
        <v>4035</v>
      </c>
      <c r="I425" s="1">
        <v>24</v>
      </c>
    </row>
    <row r="426" spans="1:9" x14ac:dyDescent="0.3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111</v>
      </c>
    </row>
    <row r="427" spans="1:9" x14ac:dyDescent="0.3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111</v>
      </c>
    </row>
    <row r="428" spans="1:9" x14ac:dyDescent="0.3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111</v>
      </c>
    </row>
    <row r="429" spans="1:9" x14ac:dyDescent="0.3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111</v>
      </c>
    </row>
    <row r="430" spans="1:9" x14ac:dyDescent="0.3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111</v>
      </c>
    </row>
    <row r="431" spans="1:9" x14ac:dyDescent="0.35">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1" s="1" t="s">
        <v>245</v>
      </c>
      <c r="D431" s="1" t="s">
        <v>109</v>
      </c>
      <c r="E431" s="1" t="s">
        <v>110</v>
      </c>
      <c r="F431" s="1" t="s">
        <v>111</v>
      </c>
      <c r="G431" s="1" t="s">
        <v>112</v>
      </c>
    </row>
    <row r="432" spans="1:9" x14ac:dyDescent="0.35">
      <c r="A432" s="1" t="str">
        <f t="shared" si="6"/>
        <v>14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4036</v>
      </c>
      <c r="D432" s="1" t="s">
        <v>4037</v>
      </c>
      <c r="E432" s="1" t="s">
        <v>4038</v>
      </c>
      <c r="F432" s="1" t="s">
        <v>111</v>
      </c>
      <c r="G432" s="1">
        <v>3478882</v>
      </c>
    </row>
    <row r="433" spans="1:7" x14ac:dyDescent="0.35">
      <c r="A433" s="1" t="str">
        <f t="shared" si="6"/>
        <v>14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4039</v>
      </c>
      <c r="D433" s="1" t="s">
        <v>4040</v>
      </c>
      <c r="E433" s="1" t="s">
        <v>4041</v>
      </c>
      <c r="F433" s="1" t="s">
        <v>111</v>
      </c>
      <c r="G433" s="1">
        <v>3310660</v>
      </c>
    </row>
    <row r="434" spans="1:7" x14ac:dyDescent="0.35">
      <c r="A434" s="1" t="str">
        <f t="shared" si="6"/>
        <v>14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4" s="1" t="s">
        <v>4042</v>
      </c>
      <c r="D434" s="1" t="s">
        <v>4043</v>
      </c>
      <c r="E434" s="1" t="s">
        <v>4044</v>
      </c>
      <c r="F434" s="1" t="s">
        <v>111</v>
      </c>
      <c r="G434" s="1">
        <v>3146507</v>
      </c>
    </row>
    <row r="435" spans="1:7" x14ac:dyDescent="0.35">
      <c r="A435" s="1" t="str">
        <f t="shared" si="6"/>
        <v>14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4045</v>
      </c>
      <c r="D435" s="1" t="s">
        <v>4046</v>
      </c>
      <c r="E435" s="1" t="s">
        <v>4047</v>
      </c>
      <c r="F435" s="1" t="s">
        <v>111</v>
      </c>
      <c r="G435" s="1">
        <v>3918656</v>
      </c>
    </row>
    <row r="436" spans="1:7" x14ac:dyDescent="0.35">
      <c r="A436" s="1" t="str">
        <f t="shared" si="6"/>
        <v>14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4048</v>
      </c>
      <c r="D436" s="1" t="s">
        <v>4049</v>
      </c>
      <c r="E436" s="1" t="s">
        <v>4050</v>
      </c>
      <c r="F436" s="1" t="s">
        <v>111</v>
      </c>
      <c r="G436" s="1">
        <v>3582430</v>
      </c>
    </row>
    <row r="437" spans="1:7" x14ac:dyDescent="0.35">
      <c r="A437" s="1" t="str">
        <f t="shared" si="6"/>
        <v>14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7" s="1" t="s">
        <v>4051</v>
      </c>
      <c r="D437" s="1" t="s">
        <v>4052</v>
      </c>
      <c r="E437" s="1" t="s">
        <v>4053</v>
      </c>
      <c r="F437" s="1" t="s">
        <v>111</v>
      </c>
      <c r="G437" s="1">
        <v>3266674</v>
      </c>
    </row>
    <row r="438" spans="1:7" x14ac:dyDescent="0.35">
      <c r="A438" s="1" t="str">
        <f t="shared" si="6"/>
        <v>14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4054</v>
      </c>
      <c r="D438" s="1" t="s">
        <v>4055</v>
      </c>
      <c r="E438" s="1" t="s">
        <v>4056</v>
      </c>
      <c r="F438" s="1" t="s">
        <v>111</v>
      </c>
      <c r="G438" s="1">
        <v>1757573</v>
      </c>
    </row>
    <row r="439" spans="1:7" x14ac:dyDescent="0.35">
      <c r="A439" s="1" t="str">
        <f t="shared" si="6"/>
        <v>14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4057</v>
      </c>
      <c r="D439" s="1" t="s">
        <v>4058</v>
      </c>
      <c r="E439" s="1" t="s">
        <v>4059</v>
      </c>
      <c r="F439" s="1" t="s">
        <v>111</v>
      </c>
      <c r="G439" s="1">
        <v>1484520</v>
      </c>
    </row>
    <row r="440" spans="1:7" x14ac:dyDescent="0.35">
      <c r="A440" s="1" t="str">
        <f t="shared" si="6"/>
        <v>14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40" s="1" t="s">
        <v>4060</v>
      </c>
      <c r="D440" s="1" t="s">
        <v>4061</v>
      </c>
      <c r="E440" s="1" t="s">
        <v>4062</v>
      </c>
      <c r="F440" s="1" t="s">
        <v>111</v>
      </c>
      <c r="G440" s="1">
        <v>1721679</v>
      </c>
    </row>
    <row r="441" spans="1:7" x14ac:dyDescent="0.35">
      <c r="A441" s="1" t="str">
        <f t="shared" si="6"/>
        <v>14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4063</v>
      </c>
      <c r="D441" s="1" t="s">
        <v>4064</v>
      </c>
      <c r="E441" s="1" t="s">
        <v>4065</v>
      </c>
      <c r="F441" s="1" t="s">
        <v>111</v>
      </c>
      <c r="G441" s="1">
        <v>1129542</v>
      </c>
    </row>
    <row r="442" spans="1:7" x14ac:dyDescent="0.35">
      <c r="A442" s="1" t="str">
        <f t="shared" si="6"/>
        <v>14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4066</v>
      </c>
      <c r="D442" s="1" t="s">
        <v>4067</v>
      </c>
      <c r="E442" s="1" t="s">
        <v>4068</v>
      </c>
      <c r="F442" s="1" t="s">
        <v>111</v>
      </c>
      <c r="G442" s="1">
        <v>1707648</v>
      </c>
    </row>
    <row r="443" spans="1:7" x14ac:dyDescent="0.35">
      <c r="A443" s="1" t="str">
        <f t="shared" si="6"/>
        <v>14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3" s="1" t="s">
        <v>4069</v>
      </c>
    </row>
    <row r="444" spans="1:7" x14ac:dyDescent="0.35">
      <c r="A444" s="1" t="str">
        <f t="shared" si="6"/>
        <v>14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4070</v>
      </c>
      <c r="D444" s="1" t="s">
        <v>4071</v>
      </c>
      <c r="E444" s="1" t="s">
        <v>4072</v>
      </c>
      <c r="F444" s="1" t="s">
        <v>111</v>
      </c>
      <c r="G444" s="1">
        <v>1432006</v>
      </c>
    </row>
    <row r="445" spans="1:7" x14ac:dyDescent="0.35">
      <c r="A445" s="1" t="str">
        <f t="shared" si="6"/>
        <v>14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4073</v>
      </c>
      <c r="D445" s="1" t="s">
        <v>4074</v>
      </c>
      <c r="E445" s="1" t="s">
        <v>4075</v>
      </c>
      <c r="F445" s="1" t="s">
        <v>111</v>
      </c>
      <c r="G445" s="1">
        <v>1214773</v>
      </c>
    </row>
    <row r="446" spans="1:7" x14ac:dyDescent="0.35">
      <c r="A446" s="1" t="str">
        <f t="shared" si="6"/>
        <v>14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6" s="1" t="s">
        <v>4076</v>
      </c>
      <c r="D446" s="1" t="s">
        <v>4077</v>
      </c>
      <c r="E446" s="1" t="s">
        <v>4078</v>
      </c>
      <c r="F446" s="1" t="s">
        <v>111</v>
      </c>
      <c r="G446" s="1">
        <v>814830</v>
      </c>
    </row>
    <row r="447" spans="1:7" x14ac:dyDescent="0.35">
      <c r="A447" s="1" t="str">
        <f t="shared" si="6"/>
        <v>14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4079</v>
      </c>
      <c r="D447" s="1" t="s">
        <v>4080</v>
      </c>
      <c r="E447" s="1" t="s">
        <v>4081</v>
      </c>
      <c r="F447" s="1" t="s">
        <v>111</v>
      </c>
      <c r="G447" s="1">
        <v>2095039</v>
      </c>
    </row>
    <row r="448" spans="1:7" x14ac:dyDescent="0.35">
      <c r="A448" s="1" t="str">
        <f t="shared" si="6"/>
        <v>14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4082</v>
      </c>
      <c r="D448" s="1" t="s">
        <v>4083</v>
      </c>
      <c r="E448" s="1" t="s">
        <v>4084</v>
      </c>
      <c r="F448" s="1" t="s">
        <v>111</v>
      </c>
      <c r="G448" s="1">
        <v>2284536</v>
      </c>
    </row>
    <row r="449" spans="1:9" x14ac:dyDescent="0.35">
      <c r="A449" s="1" t="str">
        <f t="shared" si="6"/>
        <v>14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9" s="1" t="s">
        <v>4085</v>
      </c>
      <c r="D449" s="1" t="s">
        <v>4086</v>
      </c>
      <c r="E449" s="1" t="s">
        <v>4087</v>
      </c>
      <c r="F449" s="1" t="s">
        <v>111</v>
      </c>
      <c r="G449" s="1">
        <v>2465636</v>
      </c>
    </row>
    <row r="450" spans="1:9" x14ac:dyDescent="0.35">
      <c r="A450" s="1" t="str">
        <f t="shared" ref="A450:A513" si="7">IFERROR(LEFT(RIGHT(C450,LEN(C450)-SEARCH("@",C450)),SEARCH("/",RIGHT(C450,LEN(C450)-SEARCH("@",C450)-1))),"")</f>
        <v>14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4088</v>
      </c>
      <c r="D450" s="1" t="s">
        <v>4089</v>
      </c>
      <c r="E450" s="1" t="s">
        <v>4090</v>
      </c>
      <c r="F450" s="1" t="s">
        <v>111</v>
      </c>
      <c r="G450" s="1">
        <v>2902843</v>
      </c>
    </row>
    <row r="451" spans="1:9" x14ac:dyDescent="0.35">
      <c r="A451" s="1" t="str">
        <f t="shared" si="7"/>
        <v>14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4091</v>
      </c>
      <c r="D451" s="1" t="s">
        <v>4092</v>
      </c>
      <c r="E451" s="1" t="s">
        <v>4093</v>
      </c>
      <c r="F451" s="1" t="s">
        <v>111</v>
      </c>
      <c r="G451" s="1">
        <v>2702186</v>
      </c>
    </row>
    <row r="452" spans="1:9" x14ac:dyDescent="0.35">
      <c r="A452" s="1" t="str">
        <f t="shared" si="7"/>
        <v>14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2" s="1" t="s">
        <v>4094</v>
      </c>
      <c r="D452" s="1" t="s">
        <v>4095</v>
      </c>
      <c r="E452" s="1" t="s">
        <v>4096</v>
      </c>
      <c r="F452" s="1" t="s">
        <v>111</v>
      </c>
      <c r="G452" s="1">
        <v>3211181</v>
      </c>
    </row>
    <row r="453" spans="1:9" x14ac:dyDescent="0.35">
      <c r="A453" s="1" t="str">
        <f t="shared" si="7"/>
        <v>14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4097</v>
      </c>
    </row>
    <row r="454" spans="1:9" x14ac:dyDescent="0.35">
      <c r="A454" s="1" t="str">
        <f t="shared" si="7"/>
        <v>14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4098</v>
      </c>
    </row>
    <row r="455" spans="1:9" x14ac:dyDescent="0.35">
      <c r="A455" s="1" t="str">
        <f t="shared" si="7"/>
        <v>14 TESTO 30</v>
      </c>
      <c r="B4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5" s="1" t="s">
        <v>4099</v>
      </c>
    </row>
    <row r="456" spans="1:9" x14ac:dyDescent="0.3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111</v>
      </c>
    </row>
    <row r="457" spans="1:9" x14ac:dyDescent="0.35">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7" s="1" t="s">
        <v>234</v>
      </c>
      <c r="D457" s="1" t="s">
        <v>111</v>
      </c>
      <c r="E457" s="1" t="s">
        <v>235</v>
      </c>
      <c r="F457" s="1" t="s">
        <v>236</v>
      </c>
      <c r="G457" s="1" t="s">
        <v>237</v>
      </c>
      <c r="H457" s="1" t="s">
        <v>238</v>
      </c>
      <c r="I457" s="1" t="s">
        <v>239</v>
      </c>
    </row>
    <row r="458" spans="1:9" x14ac:dyDescent="0.35">
      <c r="A458" s="1" t="str">
        <f t="shared" si="7"/>
        <v>14 TESTO 30</v>
      </c>
      <c r="B4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8" s="1" t="s">
        <v>4100</v>
      </c>
      <c r="D458" s="1" t="s">
        <v>111</v>
      </c>
      <c r="E458" s="1" t="s">
        <v>4101</v>
      </c>
      <c r="F458" s="1" t="s">
        <v>4102</v>
      </c>
      <c r="G458" s="1" t="s">
        <v>4103</v>
      </c>
      <c r="H458" s="1" t="s">
        <v>4104</v>
      </c>
      <c r="I458" s="1">
        <v>24</v>
      </c>
    </row>
    <row r="459" spans="1:9" x14ac:dyDescent="0.3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111</v>
      </c>
    </row>
    <row r="460" spans="1:9" x14ac:dyDescent="0.3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111</v>
      </c>
    </row>
    <row r="461" spans="1:9" x14ac:dyDescent="0.3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111</v>
      </c>
    </row>
    <row r="462" spans="1:9" x14ac:dyDescent="0.3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111</v>
      </c>
    </row>
    <row r="463" spans="1:9" x14ac:dyDescent="0.3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111</v>
      </c>
    </row>
    <row r="464" spans="1:9" x14ac:dyDescent="0.35">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4" s="1" t="s">
        <v>245</v>
      </c>
      <c r="D464" s="1" t="s">
        <v>109</v>
      </c>
      <c r="E464" s="1" t="s">
        <v>110</v>
      </c>
      <c r="F464" s="1" t="s">
        <v>111</v>
      </c>
      <c r="G464" s="1" t="s">
        <v>112</v>
      </c>
    </row>
    <row r="465" spans="1:7" x14ac:dyDescent="0.35">
      <c r="A465" s="1" t="str">
        <f t="shared" si="7"/>
        <v>15 TESTO + EE2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4105</v>
      </c>
      <c r="D465" s="1" t="s">
        <v>4106</v>
      </c>
      <c r="E465" s="1" t="s">
        <v>4107</v>
      </c>
      <c r="F465" s="1" t="s">
        <v>111</v>
      </c>
      <c r="G465" s="1">
        <v>2561787</v>
      </c>
    </row>
    <row r="466" spans="1:7" x14ac:dyDescent="0.35">
      <c r="A466" s="1" t="str">
        <f t="shared" si="7"/>
        <v>15 TESTO + EE2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4108</v>
      </c>
      <c r="D466" s="1" t="s">
        <v>4109</v>
      </c>
      <c r="E466" s="1" t="s">
        <v>4110</v>
      </c>
      <c r="F466" s="1" t="s">
        <v>111</v>
      </c>
      <c r="G466" s="1">
        <v>3040218</v>
      </c>
    </row>
    <row r="467" spans="1:7" x14ac:dyDescent="0.35">
      <c r="A467" s="1" t="str">
        <f t="shared" si="7"/>
        <v>15 TESTO + EE2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7" s="1" t="s">
        <v>4111</v>
      </c>
      <c r="D467" s="1" t="s">
        <v>4112</v>
      </c>
      <c r="E467" s="1" t="s">
        <v>4113</v>
      </c>
      <c r="F467" s="1" t="s">
        <v>111</v>
      </c>
      <c r="G467" s="1">
        <v>3044721</v>
      </c>
    </row>
    <row r="468" spans="1:7" x14ac:dyDescent="0.35">
      <c r="A468" s="1" t="str">
        <f t="shared" si="7"/>
        <v>15 TESTO + EE2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4114</v>
      </c>
    </row>
    <row r="469" spans="1:7" x14ac:dyDescent="0.35">
      <c r="A469" s="1" t="str">
        <f t="shared" si="7"/>
        <v>15 TESTO + EE2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4115</v>
      </c>
    </row>
    <row r="470" spans="1:7" x14ac:dyDescent="0.35">
      <c r="A470" s="1" t="str">
        <f t="shared" si="7"/>
        <v>15 TESTO + EE2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70" s="1" t="s">
        <v>4116</v>
      </c>
    </row>
    <row r="471" spans="1:7" x14ac:dyDescent="0.35">
      <c r="A471" s="1" t="str">
        <f t="shared" si="7"/>
        <v>15 TESTO + EE2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4117</v>
      </c>
      <c r="D471" s="1" t="s">
        <v>4118</v>
      </c>
      <c r="E471" s="1" t="s">
        <v>4119</v>
      </c>
      <c r="F471" s="1" t="s">
        <v>111</v>
      </c>
      <c r="G471" s="1">
        <v>730078</v>
      </c>
    </row>
    <row r="472" spans="1:7" x14ac:dyDescent="0.35">
      <c r="A472" s="1" t="str">
        <f t="shared" si="7"/>
        <v>15 TESTO + EE2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4120</v>
      </c>
      <c r="D472" s="1" t="s">
        <v>4121</v>
      </c>
      <c r="E472" s="1" t="s">
        <v>4122</v>
      </c>
      <c r="F472" s="1" t="s">
        <v>111</v>
      </c>
      <c r="G472" s="1">
        <v>779807</v>
      </c>
    </row>
    <row r="473" spans="1:7" x14ac:dyDescent="0.35">
      <c r="A473" s="1" t="str">
        <f t="shared" si="7"/>
        <v>15 TESTO + EE2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3" s="1" t="s">
        <v>4123</v>
      </c>
      <c r="D473" s="1" t="s">
        <v>4124</v>
      </c>
      <c r="E473" s="1" t="s">
        <v>4125</v>
      </c>
      <c r="F473" s="1" t="s">
        <v>111</v>
      </c>
      <c r="G473" s="1">
        <v>734646</v>
      </c>
    </row>
    <row r="474" spans="1:7" x14ac:dyDescent="0.35">
      <c r="A474" s="1" t="str">
        <f t="shared" si="7"/>
        <v>15 TESTO + EE2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4126</v>
      </c>
      <c r="D474" s="1" t="s">
        <v>4127</v>
      </c>
      <c r="E474" s="1" t="s">
        <v>4128</v>
      </c>
      <c r="F474" s="1" t="s">
        <v>111</v>
      </c>
      <c r="G474" s="1">
        <v>1378318</v>
      </c>
    </row>
    <row r="475" spans="1:7" x14ac:dyDescent="0.35">
      <c r="A475" s="1" t="str">
        <f t="shared" si="7"/>
        <v>15 TESTO + EE2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4129</v>
      </c>
      <c r="D475" s="1" t="s">
        <v>4130</v>
      </c>
      <c r="E475" s="1" t="s">
        <v>4131</v>
      </c>
      <c r="F475" s="1" t="s">
        <v>111</v>
      </c>
      <c r="G475" s="1">
        <v>1500095</v>
      </c>
    </row>
    <row r="476" spans="1:7" x14ac:dyDescent="0.35">
      <c r="A476" s="1" t="str">
        <f t="shared" si="7"/>
        <v>15 TESTO + EE2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6" s="1" t="s">
        <v>4132</v>
      </c>
      <c r="D476" s="1" t="s">
        <v>4133</v>
      </c>
      <c r="E476" s="1" t="s">
        <v>4134</v>
      </c>
      <c r="F476" s="1" t="s">
        <v>111</v>
      </c>
      <c r="G476" s="1">
        <v>1564595</v>
      </c>
    </row>
    <row r="477" spans="1:7" x14ac:dyDescent="0.35">
      <c r="A477" s="1" t="str">
        <f t="shared" si="7"/>
        <v>15 TESTO + EE2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4135</v>
      </c>
      <c r="D477" s="1" t="s">
        <v>4136</v>
      </c>
      <c r="E477" s="1" t="s">
        <v>4137</v>
      </c>
      <c r="F477" s="1" t="s">
        <v>111</v>
      </c>
      <c r="G477" s="1">
        <v>3151554</v>
      </c>
    </row>
    <row r="478" spans="1:7" x14ac:dyDescent="0.35">
      <c r="A478" s="1" t="str">
        <f t="shared" si="7"/>
        <v>15 TESTO + EE2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4138</v>
      </c>
      <c r="D478" s="1" t="s">
        <v>4139</v>
      </c>
      <c r="E478" s="1" t="s">
        <v>4140</v>
      </c>
      <c r="F478" s="1" t="s">
        <v>111</v>
      </c>
      <c r="G478" s="1">
        <v>3077373</v>
      </c>
    </row>
    <row r="479" spans="1:7" x14ac:dyDescent="0.35">
      <c r="A479" s="1" t="str">
        <f t="shared" si="7"/>
        <v>15 TESTO + EE2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9" s="1" t="s">
        <v>4141</v>
      </c>
      <c r="D479" s="1" t="s">
        <v>4142</v>
      </c>
      <c r="E479" s="1" t="s">
        <v>4143</v>
      </c>
      <c r="F479" s="1" t="s">
        <v>111</v>
      </c>
      <c r="G479" s="1">
        <v>3140742</v>
      </c>
    </row>
    <row r="480" spans="1:7" x14ac:dyDescent="0.35">
      <c r="A480" s="1" t="str">
        <f t="shared" si="7"/>
        <v>15 TESTO + EE2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4144</v>
      </c>
      <c r="D480" s="1" t="s">
        <v>4145</v>
      </c>
      <c r="E480" s="1" t="s">
        <v>4146</v>
      </c>
      <c r="F480" s="1" t="s">
        <v>111</v>
      </c>
      <c r="G480" s="1">
        <v>5449729</v>
      </c>
    </row>
    <row r="481" spans="1:9" x14ac:dyDescent="0.35">
      <c r="A481" s="1" t="str">
        <f t="shared" si="7"/>
        <v>15 TESTO + EE2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4147</v>
      </c>
      <c r="D481" s="1" t="s">
        <v>4148</v>
      </c>
      <c r="E481" s="1" t="s">
        <v>4149</v>
      </c>
      <c r="F481" s="1" t="s">
        <v>111</v>
      </c>
      <c r="G481" s="1">
        <v>5234867</v>
      </c>
    </row>
    <row r="482" spans="1:9" x14ac:dyDescent="0.35">
      <c r="A482" s="1" t="str">
        <f t="shared" si="7"/>
        <v>15 TESTO + EE2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2" s="1" t="s">
        <v>4150</v>
      </c>
      <c r="D482" s="1" t="s">
        <v>4151</v>
      </c>
      <c r="E482" s="1" t="s">
        <v>4152</v>
      </c>
      <c r="F482" s="1" t="s">
        <v>111</v>
      </c>
      <c r="G482" s="1">
        <v>4773122</v>
      </c>
    </row>
    <row r="483" spans="1:9" x14ac:dyDescent="0.35">
      <c r="A483" s="1" t="str">
        <f t="shared" si="7"/>
        <v>15 TESTO + EE2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4153</v>
      </c>
      <c r="D483" s="1" t="s">
        <v>4154</v>
      </c>
      <c r="E483" s="1" t="s">
        <v>4155</v>
      </c>
      <c r="F483" s="1" t="s">
        <v>111</v>
      </c>
      <c r="G483" s="1">
        <v>4891854</v>
      </c>
    </row>
    <row r="484" spans="1:9" x14ac:dyDescent="0.35">
      <c r="A484" s="1" t="str">
        <f t="shared" si="7"/>
        <v>15 TESTO + EE2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4156</v>
      </c>
      <c r="D484" s="1" t="s">
        <v>4157</v>
      </c>
      <c r="E484" s="1" t="s">
        <v>4158</v>
      </c>
      <c r="F484" s="1" t="s">
        <v>111</v>
      </c>
      <c r="G484" s="1">
        <v>4930554</v>
      </c>
    </row>
    <row r="485" spans="1:9" x14ac:dyDescent="0.35">
      <c r="A485" s="1" t="str">
        <f t="shared" si="7"/>
        <v>15 TESTO + EE2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5" s="1" t="s">
        <v>4159</v>
      </c>
      <c r="D485" s="1" t="s">
        <v>4160</v>
      </c>
      <c r="E485" s="1" t="s">
        <v>4161</v>
      </c>
      <c r="F485" s="1" t="s">
        <v>111</v>
      </c>
      <c r="G485" s="1">
        <v>4706381</v>
      </c>
    </row>
    <row r="486" spans="1:9" x14ac:dyDescent="0.35">
      <c r="A486" s="1" t="str">
        <f t="shared" si="7"/>
        <v>15 TESTO + EE2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4162</v>
      </c>
      <c r="D486" s="1" t="s">
        <v>4163</v>
      </c>
      <c r="E486" s="1" t="s">
        <v>4164</v>
      </c>
      <c r="F486" s="1" t="s">
        <v>111</v>
      </c>
      <c r="G486" s="1">
        <v>1394894</v>
      </c>
    </row>
    <row r="487" spans="1:9" x14ac:dyDescent="0.35">
      <c r="A487" s="1" t="str">
        <f t="shared" si="7"/>
        <v>15 TESTO + EE2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4165</v>
      </c>
      <c r="D487" s="1" t="s">
        <v>4166</v>
      </c>
      <c r="E487" s="1" t="s">
        <v>4167</v>
      </c>
      <c r="F487" s="1" t="s">
        <v>111</v>
      </c>
      <c r="G487" s="1">
        <v>1013116</v>
      </c>
    </row>
    <row r="488" spans="1:9" x14ac:dyDescent="0.35">
      <c r="A488" s="1" t="str">
        <f t="shared" si="7"/>
        <v>15 TESTO + EE2</v>
      </c>
      <c r="B4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8" s="1" t="s">
        <v>4168</v>
      </c>
      <c r="D488" s="1" t="s">
        <v>4169</v>
      </c>
      <c r="E488" s="1" t="s">
        <v>4170</v>
      </c>
      <c r="F488" s="1" t="s">
        <v>111</v>
      </c>
      <c r="G488" s="1">
        <v>858795</v>
      </c>
    </row>
    <row r="489" spans="1:9" x14ac:dyDescent="0.3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111</v>
      </c>
    </row>
    <row r="490" spans="1:9" x14ac:dyDescent="0.35">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0" s="1" t="s">
        <v>234</v>
      </c>
      <c r="D490" s="1" t="s">
        <v>111</v>
      </c>
      <c r="E490" s="1" t="s">
        <v>235</v>
      </c>
      <c r="F490" s="1" t="s">
        <v>236</v>
      </c>
      <c r="G490" s="1" t="s">
        <v>237</v>
      </c>
      <c r="H490" s="1" t="s">
        <v>238</v>
      </c>
      <c r="I490" s="1" t="s">
        <v>239</v>
      </c>
    </row>
    <row r="491" spans="1:9" x14ac:dyDescent="0.35">
      <c r="A491" s="1" t="str">
        <f t="shared" si="7"/>
        <v>15 TESTO + EE2</v>
      </c>
      <c r="B4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1" s="1" t="s">
        <v>4171</v>
      </c>
      <c r="D491" s="1" t="s">
        <v>111</v>
      </c>
      <c r="E491" s="1" t="s">
        <v>4172</v>
      </c>
      <c r="F491" s="1" t="s">
        <v>4173</v>
      </c>
      <c r="G491" s="1" t="s">
        <v>4174</v>
      </c>
      <c r="H491" s="1" t="s">
        <v>4175</v>
      </c>
      <c r="I491" s="1">
        <v>24</v>
      </c>
    </row>
    <row r="492" spans="1:9" x14ac:dyDescent="0.3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111</v>
      </c>
    </row>
    <row r="493" spans="1:9" x14ac:dyDescent="0.3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111</v>
      </c>
    </row>
    <row r="494" spans="1:9" x14ac:dyDescent="0.3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111</v>
      </c>
    </row>
    <row r="495" spans="1:9" x14ac:dyDescent="0.3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111</v>
      </c>
    </row>
    <row r="496" spans="1:9" x14ac:dyDescent="0.3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111</v>
      </c>
    </row>
    <row r="497" spans="1:7" x14ac:dyDescent="0.35">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7" s="1" t="s">
        <v>245</v>
      </c>
      <c r="D497" s="1" t="s">
        <v>109</v>
      </c>
      <c r="E497" s="1" t="s">
        <v>110</v>
      </c>
      <c r="F497" s="1" t="s">
        <v>111</v>
      </c>
      <c r="G497" s="1" t="s">
        <v>112</v>
      </c>
    </row>
    <row r="498" spans="1:7" x14ac:dyDescent="0.35">
      <c r="A498" s="1" t="str">
        <f t="shared" si="7"/>
        <v>16 TESTO +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4176</v>
      </c>
      <c r="D498" s="1" t="s">
        <v>4177</v>
      </c>
      <c r="E498" s="1" t="s">
        <v>4178</v>
      </c>
      <c r="F498" s="1" t="s">
        <v>111</v>
      </c>
      <c r="G498" s="1">
        <v>323217</v>
      </c>
    </row>
    <row r="499" spans="1:7" x14ac:dyDescent="0.35">
      <c r="A499" s="1" t="str">
        <f t="shared" si="7"/>
        <v>16 TESTO +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4179</v>
      </c>
      <c r="D499" s="1" t="s">
        <v>4180</v>
      </c>
      <c r="E499" s="1" t="s">
        <v>4181</v>
      </c>
      <c r="F499" s="1" t="s">
        <v>111</v>
      </c>
      <c r="G499" s="1">
        <v>1098108</v>
      </c>
    </row>
    <row r="500" spans="1:7" x14ac:dyDescent="0.35">
      <c r="A500" s="1" t="str">
        <f t="shared" si="7"/>
        <v>16 TESTO +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00" s="1" t="s">
        <v>4182</v>
      </c>
      <c r="D500" s="1" t="s">
        <v>4183</v>
      </c>
      <c r="E500" s="1" t="s">
        <v>4184</v>
      </c>
      <c r="F500" s="1" t="s">
        <v>111</v>
      </c>
      <c r="G500" s="1">
        <v>1008308</v>
      </c>
    </row>
    <row r="501" spans="1:7" x14ac:dyDescent="0.35">
      <c r="A501" s="1" t="str">
        <f t="shared" si="7"/>
        <v>16 TESTO +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4185</v>
      </c>
    </row>
    <row r="502" spans="1:7" x14ac:dyDescent="0.35">
      <c r="A502" s="1" t="str">
        <f t="shared" si="7"/>
        <v>16 TESTO +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4186</v>
      </c>
      <c r="D502" s="1" t="s">
        <v>3319</v>
      </c>
      <c r="E502" s="1" t="s">
        <v>4187</v>
      </c>
      <c r="F502" s="1" t="s">
        <v>111</v>
      </c>
      <c r="G502" s="1">
        <v>202332</v>
      </c>
    </row>
    <row r="503" spans="1:7" x14ac:dyDescent="0.35">
      <c r="A503" s="1" t="str">
        <f t="shared" si="7"/>
        <v>16 TESTO +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3" s="1" t="s">
        <v>4188</v>
      </c>
      <c r="D503" s="1" t="s">
        <v>3667</v>
      </c>
      <c r="E503" s="1" t="s">
        <v>4189</v>
      </c>
      <c r="F503" s="1" t="s">
        <v>111</v>
      </c>
      <c r="G503" s="1">
        <v>291587</v>
      </c>
    </row>
    <row r="504" spans="1:7" x14ac:dyDescent="0.35">
      <c r="A504" s="1" t="str">
        <f t="shared" si="7"/>
        <v>16 TESTO +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4190</v>
      </c>
      <c r="D504" s="1" t="s">
        <v>3221</v>
      </c>
      <c r="E504" s="1" t="s">
        <v>4191</v>
      </c>
      <c r="F504" s="1" t="s">
        <v>111</v>
      </c>
      <c r="G504" s="1">
        <v>480562</v>
      </c>
    </row>
    <row r="505" spans="1:7" x14ac:dyDescent="0.35">
      <c r="A505" s="1" t="str">
        <f t="shared" si="7"/>
        <v>16 TESTO +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4192</v>
      </c>
      <c r="D505" s="1" t="s">
        <v>4193</v>
      </c>
      <c r="E505" s="1" t="s">
        <v>4194</v>
      </c>
      <c r="F505" s="1" t="s">
        <v>111</v>
      </c>
      <c r="G505" s="1">
        <v>282995</v>
      </c>
    </row>
    <row r="506" spans="1:7" x14ac:dyDescent="0.35">
      <c r="A506" s="1" t="str">
        <f t="shared" si="7"/>
        <v>16 TESTO +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6" s="1" t="s">
        <v>4195</v>
      </c>
      <c r="D506" s="1" t="s">
        <v>4196</v>
      </c>
      <c r="E506" s="1" t="s">
        <v>4197</v>
      </c>
      <c r="F506" s="1" t="s">
        <v>111</v>
      </c>
      <c r="G506" s="1">
        <v>353803</v>
      </c>
    </row>
    <row r="507" spans="1:7" x14ac:dyDescent="0.35">
      <c r="A507" s="1" t="str">
        <f t="shared" si="7"/>
        <v>16 TESTO +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4198</v>
      </c>
      <c r="D507" s="1" t="s">
        <v>3868</v>
      </c>
      <c r="E507" s="1" t="s">
        <v>4199</v>
      </c>
      <c r="F507" s="1" t="s">
        <v>111</v>
      </c>
      <c r="G507" s="1">
        <v>68503</v>
      </c>
    </row>
    <row r="508" spans="1:7" x14ac:dyDescent="0.35">
      <c r="A508" s="1" t="str">
        <f t="shared" si="7"/>
        <v>16 TESTO +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4200</v>
      </c>
      <c r="D508" s="1" t="s">
        <v>4201</v>
      </c>
      <c r="E508" s="1" t="s">
        <v>4202</v>
      </c>
      <c r="F508" s="1" t="s">
        <v>111</v>
      </c>
      <c r="G508" s="1">
        <v>86667</v>
      </c>
    </row>
    <row r="509" spans="1:7" x14ac:dyDescent="0.35">
      <c r="A509" s="1" t="str">
        <f t="shared" si="7"/>
        <v>16 TESTO +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9" s="1" t="s">
        <v>4203</v>
      </c>
      <c r="D509" s="1" t="s">
        <v>3173</v>
      </c>
      <c r="E509" s="1" t="s">
        <v>4204</v>
      </c>
      <c r="F509" s="1" t="s">
        <v>111</v>
      </c>
      <c r="G509" s="1">
        <v>114969</v>
      </c>
    </row>
    <row r="510" spans="1:7" x14ac:dyDescent="0.35">
      <c r="A510" s="1" t="str">
        <f t="shared" si="7"/>
        <v>16 TESTO +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4205</v>
      </c>
      <c r="D510" s="1" t="s">
        <v>3237</v>
      </c>
      <c r="E510" s="1" t="s">
        <v>4206</v>
      </c>
      <c r="F510" s="1" t="s">
        <v>111</v>
      </c>
      <c r="G510" s="1">
        <v>43703</v>
      </c>
    </row>
    <row r="511" spans="1:7" x14ac:dyDescent="0.35">
      <c r="A511" s="1" t="str">
        <f t="shared" si="7"/>
        <v>16 TESTO +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4207</v>
      </c>
      <c r="D511" s="1" t="s">
        <v>3399</v>
      </c>
      <c r="E511" s="1" t="s">
        <v>4208</v>
      </c>
      <c r="F511" s="1" t="s">
        <v>111</v>
      </c>
      <c r="G511" s="1">
        <v>25909</v>
      </c>
    </row>
    <row r="512" spans="1:7" x14ac:dyDescent="0.35">
      <c r="A512" s="1" t="str">
        <f t="shared" si="7"/>
        <v>16 TESTO +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2" s="1" t="s">
        <v>4209</v>
      </c>
      <c r="D512" s="1" t="s">
        <v>4210</v>
      </c>
      <c r="E512" s="1" t="s">
        <v>4211</v>
      </c>
      <c r="F512" s="1" t="s">
        <v>111</v>
      </c>
      <c r="G512" s="1">
        <v>24212</v>
      </c>
    </row>
    <row r="513" spans="1:9" x14ac:dyDescent="0.35">
      <c r="A513" s="1" t="str">
        <f t="shared" si="7"/>
        <v>16 TESTO +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4212</v>
      </c>
      <c r="D513" s="1" t="s">
        <v>4213</v>
      </c>
      <c r="E513" s="1" t="s">
        <v>4214</v>
      </c>
      <c r="F513" s="1" t="s">
        <v>111</v>
      </c>
      <c r="G513" s="1">
        <v>240618</v>
      </c>
    </row>
    <row r="514" spans="1:9" x14ac:dyDescent="0.35">
      <c r="A514" s="1" t="str">
        <f t="shared" ref="A514:A577" si="8">IFERROR(LEFT(RIGHT(C514,LEN(C514)-SEARCH("@",C514)),SEARCH("/",RIGHT(C514,LEN(C514)-SEARCH("@",C514)-1))),"")</f>
        <v>16 TESTO +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4215</v>
      </c>
      <c r="D514" s="1" t="s">
        <v>4216</v>
      </c>
      <c r="E514" s="1" t="s">
        <v>4217</v>
      </c>
      <c r="F514" s="1" t="s">
        <v>111</v>
      </c>
      <c r="G514" s="1">
        <v>589353</v>
      </c>
    </row>
    <row r="515" spans="1:9" x14ac:dyDescent="0.35">
      <c r="A515" s="1" t="str">
        <f t="shared" si="8"/>
        <v>16 TESTO +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5" s="1" t="s">
        <v>4218</v>
      </c>
      <c r="D515" s="1" t="s">
        <v>4219</v>
      </c>
      <c r="E515" s="1" t="s">
        <v>4220</v>
      </c>
      <c r="F515" s="1" t="s">
        <v>111</v>
      </c>
      <c r="G515" s="1">
        <v>487328</v>
      </c>
    </row>
    <row r="516" spans="1:9" x14ac:dyDescent="0.35">
      <c r="A516" s="1" t="str">
        <f t="shared" si="8"/>
        <v>16 TESTO +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4221</v>
      </c>
      <c r="D516" s="1" t="s">
        <v>4222</v>
      </c>
      <c r="E516" s="1" t="s">
        <v>4223</v>
      </c>
      <c r="F516" s="1" t="s">
        <v>111</v>
      </c>
      <c r="G516" s="1">
        <v>117231</v>
      </c>
    </row>
    <row r="517" spans="1:9" x14ac:dyDescent="0.35">
      <c r="A517" s="1" t="str">
        <f t="shared" si="8"/>
        <v>16 TESTO +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4224</v>
      </c>
      <c r="D517" s="1" t="s">
        <v>4225</v>
      </c>
      <c r="E517" s="1" t="s">
        <v>4226</v>
      </c>
      <c r="F517" s="1" t="s">
        <v>111</v>
      </c>
      <c r="G517" s="1">
        <v>211512</v>
      </c>
    </row>
    <row r="518" spans="1:9" x14ac:dyDescent="0.35">
      <c r="A518" s="1" t="str">
        <f t="shared" si="8"/>
        <v>16 TESTO +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8" s="1" t="s">
        <v>4227</v>
      </c>
      <c r="D518" s="1" t="s">
        <v>4228</v>
      </c>
      <c r="E518" s="1" t="s">
        <v>4229</v>
      </c>
      <c r="F518" s="1" t="s">
        <v>111</v>
      </c>
      <c r="G518" s="1">
        <v>114447</v>
      </c>
    </row>
    <row r="519" spans="1:9" x14ac:dyDescent="0.35">
      <c r="A519" s="1" t="str">
        <f t="shared" si="8"/>
        <v>16 TESTO +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4230</v>
      </c>
      <c r="D519" s="1" t="s">
        <v>3918</v>
      </c>
      <c r="E519" s="1" t="s">
        <v>4231</v>
      </c>
      <c r="F519" s="1" t="s">
        <v>111</v>
      </c>
      <c r="G519" s="1">
        <v>55342</v>
      </c>
    </row>
    <row r="520" spans="1:9" x14ac:dyDescent="0.35">
      <c r="A520" s="1" t="str">
        <f t="shared" si="8"/>
        <v>16 TESTO +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4232</v>
      </c>
      <c r="D520" s="1" t="s">
        <v>4233</v>
      </c>
      <c r="E520" s="1" t="s">
        <v>4234</v>
      </c>
      <c r="F520" s="1" t="s">
        <v>111</v>
      </c>
      <c r="G520" s="1">
        <v>46205</v>
      </c>
    </row>
    <row r="521" spans="1:9" x14ac:dyDescent="0.35">
      <c r="A521" s="1" t="str">
        <f t="shared" si="8"/>
        <v>16 TESTO + FAD</v>
      </c>
      <c r="B5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1" s="1" t="s">
        <v>4235</v>
      </c>
      <c r="D521" s="1" t="s">
        <v>3731</v>
      </c>
      <c r="E521" s="1" t="s">
        <v>4236</v>
      </c>
      <c r="F521" s="1" t="s">
        <v>111</v>
      </c>
      <c r="G521" s="1">
        <v>42898</v>
      </c>
    </row>
    <row r="522" spans="1:9" x14ac:dyDescent="0.3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111</v>
      </c>
    </row>
    <row r="523" spans="1:9" x14ac:dyDescent="0.35">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3" s="1" t="s">
        <v>234</v>
      </c>
      <c r="D523" s="1" t="s">
        <v>111</v>
      </c>
      <c r="E523" s="1" t="s">
        <v>235</v>
      </c>
      <c r="F523" s="1" t="s">
        <v>236</v>
      </c>
      <c r="G523" s="1" t="s">
        <v>237</v>
      </c>
      <c r="H523" s="1" t="s">
        <v>238</v>
      </c>
      <c r="I523" s="1" t="s">
        <v>239</v>
      </c>
    </row>
    <row r="524" spans="1:9" x14ac:dyDescent="0.35">
      <c r="A524" s="1" t="str">
        <f t="shared" si="8"/>
        <v>16 TESTO + FAD</v>
      </c>
      <c r="B5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4" s="1" t="s">
        <v>4237</v>
      </c>
      <c r="D524" s="1" t="s">
        <v>111</v>
      </c>
      <c r="E524" s="1" t="s">
        <v>4238</v>
      </c>
      <c r="F524" s="1" t="s">
        <v>4239</v>
      </c>
      <c r="G524" s="1" t="s">
        <v>4240</v>
      </c>
      <c r="H524" s="1" t="s">
        <v>4241</v>
      </c>
      <c r="I524" s="1">
        <v>24</v>
      </c>
    </row>
    <row r="525" spans="1:9" x14ac:dyDescent="0.3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111</v>
      </c>
    </row>
    <row r="526" spans="1:9" x14ac:dyDescent="0.3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111</v>
      </c>
    </row>
    <row r="527" spans="1:9" x14ac:dyDescent="0.3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111</v>
      </c>
    </row>
    <row r="528" spans="1:9" x14ac:dyDescent="0.3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111</v>
      </c>
    </row>
    <row r="529" spans="1:7" x14ac:dyDescent="0.3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111</v>
      </c>
    </row>
    <row r="530" spans="1:7" x14ac:dyDescent="0.35">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30" s="1" t="s">
        <v>245</v>
      </c>
      <c r="D530" s="1" t="s">
        <v>109</v>
      </c>
      <c r="E530" s="1" t="s">
        <v>110</v>
      </c>
      <c r="F530" s="1" t="s">
        <v>111</v>
      </c>
      <c r="G530" s="1" t="s">
        <v>112</v>
      </c>
    </row>
    <row r="531" spans="1:7" x14ac:dyDescent="0.35">
      <c r="A531" s="1" t="str">
        <f t="shared" si="8"/>
        <v>17 Saccharin 0.01 + Testo</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4242</v>
      </c>
      <c r="D531" s="1" t="s">
        <v>3221</v>
      </c>
      <c r="E531" s="1" t="s">
        <v>4243</v>
      </c>
      <c r="F531" s="1" t="s">
        <v>111</v>
      </c>
      <c r="G531" s="1">
        <v>434684</v>
      </c>
    </row>
    <row r="532" spans="1:7" x14ac:dyDescent="0.35">
      <c r="A532" s="1" t="str">
        <f t="shared" si="8"/>
        <v>17 Saccharin 0.01 + Testo</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4244</v>
      </c>
      <c r="D532" s="1" t="s">
        <v>3667</v>
      </c>
      <c r="E532" s="1" t="s">
        <v>4245</v>
      </c>
      <c r="F532" s="1" t="s">
        <v>111</v>
      </c>
      <c r="G532" s="1">
        <v>278144</v>
      </c>
    </row>
    <row r="533" spans="1:7" x14ac:dyDescent="0.35">
      <c r="A533" s="1" t="str">
        <f t="shared" si="8"/>
        <v>17 Saccharin 0.01 + Testo</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3" s="1" t="s">
        <v>4246</v>
      </c>
    </row>
    <row r="534" spans="1:7" x14ac:dyDescent="0.35">
      <c r="A534" s="1" t="str">
        <f t="shared" si="8"/>
        <v>17 Saccharin 0.01 + Testo</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4247</v>
      </c>
      <c r="D534" s="1" t="s">
        <v>4248</v>
      </c>
      <c r="E534" s="1" t="s">
        <v>4249</v>
      </c>
      <c r="F534" s="1" t="s">
        <v>111</v>
      </c>
      <c r="G534" s="1">
        <v>1533748</v>
      </c>
    </row>
    <row r="535" spans="1:7" x14ac:dyDescent="0.35">
      <c r="A535" s="1" t="str">
        <f t="shared" si="8"/>
        <v>17 Saccharin 0.01 + Testo</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4250</v>
      </c>
      <c r="D535" s="1" t="s">
        <v>4251</v>
      </c>
      <c r="E535" s="1" t="s">
        <v>4252</v>
      </c>
      <c r="F535" s="1" t="s">
        <v>111</v>
      </c>
      <c r="G535" s="1">
        <v>1875848</v>
      </c>
    </row>
    <row r="536" spans="1:7" x14ac:dyDescent="0.35">
      <c r="A536" s="1" t="str">
        <f t="shared" si="8"/>
        <v>17 Saccharin 0.01 + Testo</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6" s="1" t="s">
        <v>4253</v>
      </c>
    </row>
    <row r="537" spans="1:7" x14ac:dyDescent="0.35">
      <c r="A537" s="1" t="str">
        <f t="shared" si="8"/>
        <v>17 Saccharin 0.01 + Testo</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4254</v>
      </c>
      <c r="D537" s="1" t="s">
        <v>4255</v>
      </c>
      <c r="E537" s="1" t="s">
        <v>4256</v>
      </c>
      <c r="F537" s="1" t="s">
        <v>111</v>
      </c>
      <c r="G537" s="1">
        <v>993276</v>
      </c>
    </row>
    <row r="538" spans="1:7" x14ac:dyDescent="0.35">
      <c r="A538" s="1" t="str">
        <f t="shared" si="8"/>
        <v>17 Saccharin 0.01 + Testo</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4257</v>
      </c>
      <c r="D538" s="1" t="s">
        <v>4258</v>
      </c>
      <c r="E538" s="1" t="s">
        <v>4259</v>
      </c>
      <c r="F538" s="1" t="s">
        <v>111</v>
      </c>
      <c r="G538" s="1">
        <v>1014269</v>
      </c>
    </row>
    <row r="539" spans="1:7" x14ac:dyDescent="0.35">
      <c r="A539" s="1" t="str">
        <f t="shared" si="8"/>
        <v>17 Saccharin 0.01 + Testo</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9" s="1" t="s">
        <v>4260</v>
      </c>
      <c r="D539" s="1" t="s">
        <v>4261</v>
      </c>
      <c r="E539" s="1" t="s">
        <v>4262</v>
      </c>
      <c r="F539" s="1" t="s">
        <v>111</v>
      </c>
      <c r="G539" s="1">
        <v>1225672</v>
      </c>
    </row>
    <row r="540" spans="1:7" x14ac:dyDescent="0.35">
      <c r="A540" s="1" t="str">
        <f t="shared" si="8"/>
        <v>17 Saccharin 0.01 + Testo</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4263</v>
      </c>
      <c r="D540" s="1" t="s">
        <v>4264</v>
      </c>
      <c r="E540" s="1" t="s">
        <v>4265</v>
      </c>
      <c r="F540" s="1" t="s">
        <v>111</v>
      </c>
      <c r="G540" s="1">
        <v>2101652</v>
      </c>
    </row>
    <row r="541" spans="1:7" x14ac:dyDescent="0.35">
      <c r="A541" s="1" t="str">
        <f t="shared" si="8"/>
        <v>17 Saccharin 0.01 + Testo</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4266</v>
      </c>
      <c r="D541" s="1" t="s">
        <v>4267</v>
      </c>
      <c r="E541" s="1" t="s">
        <v>4268</v>
      </c>
      <c r="F541" s="1" t="s">
        <v>111</v>
      </c>
      <c r="G541" s="1">
        <v>2206375</v>
      </c>
    </row>
    <row r="542" spans="1:7" x14ac:dyDescent="0.35">
      <c r="A542" s="1" t="str">
        <f t="shared" si="8"/>
        <v>17 Saccharin 0.01 + Testo</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2" s="1" t="s">
        <v>4269</v>
      </c>
      <c r="D542" s="1" t="s">
        <v>4270</v>
      </c>
      <c r="E542" s="1" t="s">
        <v>4271</v>
      </c>
      <c r="F542" s="1" t="s">
        <v>111</v>
      </c>
      <c r="G542" s="1">
        <v>2080681</v>
      </c>
    </row>
    <row r="543" spans="1:7" x14ac:dyDescent="0.35">
      <c r="A543" s="1" t="str">
        <f t="shared" si="8"/>
        <v>17 Saccharin 0.01 + Testo</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4272</v>
      </c>
      <c r="D543" s="1" t="s">
        <v>4273</v>
      </c>
      <c r="E543" s="1" t="s">
        <v>4274</v>
      </c>
      <c r="F543" s="1" t="s">
        <v>111</v>
      </c>
      <c r="G543" s="1">
        <v>3186990</v>
      </c>
    </row>
    <row r="544" spans="1:7" x14ac:dyDescent="0.35">
      <c r="A544" s="1" t="str">
        <f t="shared" si="8"/>
        <v>17 Saccharin 0.01 + Testo</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4275</v>
      </c>
      <c r="D544" s="1" t="s">
        <v>4276</v>
      </c>
      <c r="E544" s="1" t="s">
        <v>4277</v>
      </c>
      <c r="F544" s="1" t="s">
        <v>111</v>
      </c>
      <c r="G544" s="1">
        <v>2811586</v>
      </c>
    </row>
    <row r="545" spans="1:9" x14ac:dyDescent="0.35">
      <c r="A545" s="1" t="str">
        <f t="shared" si="8"/>
        <v>17 Saccharin 0.01 + Testo</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5" s="1" t="s">
        <v>4278</v>
      </c>
      <c r="D545" s="1" t="s">
        <v>4279</v>
      </c>
      <c r="E545" s="1" t="s">
        <v>4280</v>
      </c>
      <c r="F545" s="1" t="s">
        <v>111</v>
      </c>
      <c r="G545" s="1">
        <v>3030168</v>
      </c>
    </row>
    <row r="546" spans="1:9" x14ac:dyDescent="0.35">
      <c r="A546" s="1" t="str">
        <f t="shared" si="8"/>
        <v>17 Saccharin 0.01 + Testo</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4281</v>
      </c>
      <c r="D546" s="1" t="s">
        <v>4282</v>
      </c>
      <c r="E546" s="1" t="s">
        <v>4283</v>
      </c>
      <c r="F546" s="1" t="s">
        <v>111</v>
      </c>
      <c r="G546" s="1">
        <v>1691833</v>
      </c>
    </row>
    <row r="547" spans="1:9" x14ac:dyDescent="0.35">
      <c r="A547" s="1" t="str">
        <f t="shared" si="8"/>
        <v>17 Saccharin 0.01 + Testo</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4284</v>
      </c>
      <c r="D547" s="1" t="s">
        <v>4285</v>
      </c>
      <c r="E547" s="1" t="s">
        <v>4286</v>
      </c>
      <c r="F547" s="1" t="s">
        <v>111</v>
      </c>
      <c r="G547" s="1">
        <v>1369529</v>
      </c>
    </row>
    <row r="548" spans="1:9" x14ac:dyDescent="0.35">
      <c r="A548" s="1" t="str">
        <f t="shared" si="8"/>
        <v>17 Saccharin 0.01 + Testo</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8" s="1" t="s">
        <v>4287</v>
      </c>
      <c r="D548" s="1" t="s">
        <v>3405</v>
      </c>
      <c r="E548" s="1" t="s">
        <v>4288</v>
      </c>
      <c r="F548" s="1" t="s">
        <v>111</v>
      </c>
      <c r="G548" s="1">
        <v>1217819</v>
      </c>
    </row>
    <row r="549" spans="1:9" x14ac:dyDescent="0.35">
      <c r="A549" s="1" t="str">
        <f t="shared" si="8"/>
        <v>17 Saccharin 0.01 + Testo</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4289</v>
      </c>
      <c r="D549" s="1" t="s">
        <v>4290</v>
      </c>
      <c r="E549" s="1" t="s">
        <v>4291</v>
      </c>
      <c r="F549" s="1" t="s">
        <v>111</v>
      </c>
      <c r="G549" s="1">
        <v>3050921</v>
      </c>
    </row>
    <row r="550" spans="1:9" x14ac:dyDescent="0.35">
      <c r="A550" s="1" t="str">
        <f t="shared" si="8"/>
        <v>17 Saccharin 0.01 + Testo</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4292</v>
      </c>
      <c r="D550" s="1" t="s">
        <v>4293</v>
      </c>
      <c r="E550" s="1" t="s">
        <v>4294</v>
      </c>
      <c r="F550" s="1" t="s">
        <v>111</v>
      </c>
      <c r="G550" s="1">
        <v>3047810</v>
      </c>
    </row>
    <row r="551" spans="1:9" x14ac:dyDescent="0.35">
      <c r="A551" s="1" t="str">
        <f t="shared" si="8"/>
        <v>17 Saccharin 0.01 + Testo</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1" s="1" t="s">
        <v>4295</v>
      </c>
      <c r="D551" s="1" t="s">
        <v>4296</v>
      </c>
      <c r="E551" s="1" t="s">
        <v>4297</v>
      </c>
      <c r="F551" s="1" t="s">
        <v>111</v>
      </c>
      <c r="G551" s="1">
        <v>2253689</v>
      </c>
    </row>
    <row r="552" spans="1:9" x14ac:dyDescent="0.35">
      <c r="A552" s="1" t="str">
        <f t="shared" si="8"/>
        <v>17 Saccharin 0.01 + Testo</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4298</v>
      </c>
      <c r="D552" s="1" t="s">
        <v>4299</v>
      </c>
      <c r="E552" s="1" t="s">
        <v>4300</v>
      </c>
      <c r="F552" s="1" t="s">
        <v>111</v>
      </c>
      <c r="G552" s="1">
        <v>2905649</v>
      </c>
    </row>
    <row r="553" spans="1:9" x14ac:dyDescent="0.35">
      <c r="A553" s="1" t="str">
        <f t="shared" si="8"/>
        <v>17 Saccharin 0.01 + Testo</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4301</v>
      </c>
      <c r="D553" s="1" t="s">
        <v>4302</v>
      </c>
      <c r="E553" s="1" t="s">
        <v>4303</v>
      </c>
      <c r="F553" s="1" t="s">
        <v>111</v>
      </c>
      <c r="G553" s="1">
        <v>3222993</v>
      </c>
    </row>
    <row r="554" spans="1:9" x14ac:dyDescent="0.35">
      <c r="A554" s="1" t="str">
        <f t="shared" si="8"/>
        <v>17 Saccharin 0.01 + Testo</v>
      </c>
      <c r="B5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4" s="1" t="s">
        <v>4304</v>
      </c>
      <c r="D554" s="1" t="s">
        <v>4305</v>
      </c>
      <c r="E554" s="1" t="s">
        <v>4306</v>
      </c>
      <c r="F554" s="1" t="s">
        <v>111</v>
      </c>
      <c r="G554" s="1">
        <v>3130083</v>
      </c>
    </row>
    <row r="555" spans="1:9" x14ac:dyDescent="0.3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111</v>
      </c>
    </row>
    <row r="556" spans="1:9" x14ac:dyDescent="0.35">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6" s="1" t="s">
        <v>234</v>
      </c>
      <c r="D556" s="1" t="s">
        <v>111</v>
      </c>
      <c r="E556" s="1" t="s">
        <v>235</v>
      </c>
      <c r="F556" s="1" t="s">
        <v>236</v>
      </c>
      <c r="G556" s="1" t="s">
        <v>237</v>
      </c>
      <c r="H556" s="1" t="s">
        <v>238</v>
      </c>
      <c r="I556" s="1" t="s">
        <v>239</v>
      </c>
    </row>
    <row r="557" spans="1:9" x14ac:dyDescent="0.35">
      <c r="A557" s="1" t="str">
        <f t="shared" si="8"/>
        <v>17 Saccharin 0.01 + Testo</v>
      </c>
      <c r="B5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7" s="1" t="s">
        <v>4307</v>
      </c>
      <c r="D557" s="1" t="s">
        <v>111</v>
      </c>
      <c r="E557" s="1" t="s">
        <v>4308</v>
      </c>
      <c r="F557" s="1" t="s">
        <v>4309</v>
      </c>
      <c r="G557" s="1" t="s">
        <v>4310</v>
      </c>
      <c r="H557" s="1" t="s">
        <v>4311</v>
      </c>
      <c r="I557" s="1">
        <v>24</v>
      </c>
    </row>
    <row r="558" spans="1:9" x14ac:dyDescent="0.3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111</v>
      </c>
    </row>
    <row r="559" spans="1:9" x14ac:dyDescent="0.3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111</v>
      </c>
    </row>
    <row r="560" spans="1:9" x14ac:dyDescent="0.3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111</v>
      </c>
    </row>
    <row r="561" spans="1:7" x14ac:dyDescent="0.3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111</v>
      </c>
    </row>
    <row r="562" spans="1:7" x14ac:dyDescent="0.3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111</v>
      </c>
    </row>
    <row r="563" spans="1:7" x14ac:dyDescent="0.35">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3" s="1" t="s">
        <v>245</v>
      </c>
      <c r="D563" s="1" t="s">
        <v>109</v>
      </c>
      <c r="E563" s="1" t="s">
        <v>110</v>
      </c>
      <c r="F563" s="1" t="s">
        <v>111</v>
      </c>
      <c r="G563" s="1" t="s">
        <v>112</v>
      </c>
    </row>
    <row r="564" spans="1:7" x14ac:dyDescent="0.35">
      <c r="A564" s="1" t="str">
        <f t="shared" si="8"/>
        <v>18 Saccharin 0.1 + Testo</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4312</v>
      </c>
      <c r="D564" s="1" t="s">
        <v>4313</v>
      </c>
      <c r="E564" s="1" t="s">
        <v>4314</v>
      </c>
      <c r="F564" s="1" t="s">
        <v>111</v>
      </c>
      <c r="G564" s="1">
        <v>1190953</v>
      </c>
    </row>
    <row r="565" spans="1:7" x14ac:dyDescent="0.35">
      <c r="A565" s="1" t="str">
        <f t="shared" si="8"/>
        <v>18 Saccharin 0.1 + Testo</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4315</v>
      </c>
      <c r="D565" s="1" t="s">
        <v>4316</v>
      </c>
      <c r="E565" s="1" t="s">
        <v>4317</v>
      </c>
      <c r="F565" s="1" t="s">
        <v>111</v>
      </c>
      <c r="G565" s="1">
        <v>1374642</v>
      </c>
    </row>
    <row r="566" spans="1:7" x14ac:dyDescent="0.35">
      <c r="A566" s="1" t="str">
        <f t="shared" si="8"/>
        <v>18 Saccharin 0.1 + Testo</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6" s="1" t="s">
        <v>4318</v>
      </c>
      <c r="D566" s="1" t="s">
        <v>4319</v>
      </c>
      <c r="E566" s="1" t="s">
        <v>4320</v>
      </c>
      <c r="F566" s="1" t="s">
        <v>111</v>
      </c>
      <c r="G566" s="1">
        <v>1411123</v>
      </c>
    </row>
    <row r="567" spans="1:7" x14ac:dyDescent="0.35">
      <c r="A567" s="1" t="str">
        <f t="shared" si="8"/>
        <v>18 Saccharin 0.1 + Testo</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4321</v>
      </c>
      <c r="D567" s="1" t="s">
        <v>4322</v>
      </c>
      <c r="E567" s="1" t="s">
        <v>4323</v>
      </c>
      <c r="F567" s="1" t="s">
        <v>111</v>
      </c>
      <c r="G567" s="1">
        <v>4055944</v>
      </c>
    </row>
    <row r="568" spans="1:7" x14ac:dyDescent="0.35">
      <c r="A568" s="1" t="str">
        <f t="shared" si="8"/>
        <v>18 Saccharin 0.1 + Testo</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4324</v>
      </c>
      <c r="D568" s="1" t="s">
        <v>4325</v>
      </c>
      <c r="E568" s="1" t="s">
        <v>4326</v>
      </c>
      <c r="F568" s="1" t="s">
        <v>111</v>
      </c>
      <c r="G568" s="1">
        <v>4119944</v>
      </c>
    </row>
    <row r="569" spans="1:7" x14ac:dyDescent="0.35">
      <c r="A569" s="1" t="str">
        <f t="shared" si="8"/>
        <v>18 Saccharin 0.1 + Testo</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9" s="1" t="s">
        <v>4327</v>
      </c>
      <c r="D569" s="1" t="s">
        <v>4328</v>
      </c>
      <c r="E569" s="1" t="s">
        <v>4329</v>
      </c>
      <c r="F569" s="1" t="s">
        <v>111</v>
      </c>
      <c r="G569" s="1">
        <v>3982569</v>
      </c>
    </row>
    <row r="570" spans="1:7" x14ac:dyDescent="0.35">
      <c r="A570" s="1" t="str">
        <f t="shared" si="8"/>
        <v>18 Saccharin 0.1 + Testo</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4330</v>
      </c>
      <c r="D570" s="1" t="s">
        <v>4331</v>
      </c>
      <c r="E570" s="1" t="s">
        <v>4332</v>
      </c>
      <c r="F570" s="1" t="s">
        <v>111</v>
      </c>
      <c r="G570" s="1">
        <v>1404053</v>
      </c>
    </row>
    <row r="571" spans="1:7" x14ac:dyDescent="0.35">
      <c r="A571" s="1" t="str">
        <f t="shared" si="8"/>
        <v>18 Saccharin 0.1 + Testo</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4333</v>
      </c>
      <c r="D571" s="1" t="s">
        <v>4334</v>
      </c>
      <c r="E571" s="1" t="s">
        <v>4335</v>
      </c>
      <c r="F571" s="1" t="s">
        <v>111</v>
      </c>
      <c r="G571" s="1">
        <v>1241030</v>
      </c>
    </row>
    <row r="572" spans="1:7" x14ac:dyDescent="0.35">
      <c r="A572" s="1" t="str">
        <f t="shared" si="8"/>
        <v>18 Saccharin 0.1 + Testo</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2" s="1" t="s">
        <v>4336</v>
      </c>
      <c r="D572" s="1" t="s">
        <v>4337</v>
      </c>
      <c r="E572" s="1" t="s">
        <v>4338</v>
      </c>
      <c r="F572" s="1" t="s">
        <v>111</v>
      </c>
      <c r="G572" s="1">
        <v>1457436</v>
      </c>
    </row>
    <row r="573" spans="1:7" x14ac:dyDescent="0.35">
      <c r="A573" s="1" t="str">
        <f t="shared" si="8"/>
        <v>18 Saccharin 0.1 + Testo</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4339</v>
      </c>
      <c r="D573" s="1" t="s">
        <v>4340</v>
      </c>
      <c r="E573" s="1" t="s">
        <v>4341</v>
      </c>
      <c r="F573" s="1" t="s">
        <v>111</v>
      </c>
      <c r="G573" s="1">
        <v>3071630</v>
      </c>
    </row>
    <row r="574" spans="1:7" x14ac:dyDescent="0.35">
      <c r="A574" s="1" t="str">
        <f t="shared" si="8"/>
        <v>18 Saccharin 0.1 + Testo</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4342</v>
      </c>
      <c r="D574" s="1" t="s">
        <v>4343</v>
      </c>
      <c r="E574" s="1" t="s">
        <v>4344</v>
      </c>
      <c r="F574" s="1" t="s">
        <v>111</v>
      </c>
      <c r="G574" s="1">
        <v>2598943</v>
      </c>
    </row>
    <row r="575" spans="1:7" x14ac:dyDescent="0.35">
      <c r="A575" s="1" t="str">
        <f t="shared" si="8"/>
        <v>18 Saccharin 0.1 + Testo</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5" s="1" t="s">
        <v>4345</v>
      </c>
      <c r="D575" s="1" t="s">
        <v>4346</v>
      </c>
      <c r="E575" s="1" t="s">
        <v>3753</v>
      </c>
      <c r="F575" s="1" t="s">
        <v>111</v>
      </c>
      <c r="G575" s="1">
        <v>2572882</v>
      </c>
    </row>
    <row r="576" spans="1:7" x14ac:dyDescent="0.35">
      <c r="A576" s="1" t="str">
        <f t="shared" si="8"/>
        <v>18 Saccharin 0.1 + Testo</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4347</v>
      </c>
      <c r="D576" s="1" t="s">
        <v>4348</v>
      </c>
      <c r="E576" s="1" t="s">
        <v>4349</v>
      </c>
      <c r="F576" s="1" t="s">
        <v>111</v>
      </c>
      <c r="G576" s="1">
        <v>2658091</v>
      </c>
    </row>
    <row r="577" spans="1:9" x14ac:dyDescent="0.35">
      <c r="A577" s="1" t="str">
        <f t="shared" si="8"/>
        <v>18 Saccharin 0.1 + Testo</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4350</v>
      </c>
      <c r="D577" s="1" t="s">
        <v>4351</v>
      </c>
      <c r="E577" s="1" t="s">
        <v>4352</v>
      </c>
      <c r="F577" s="1" t="s">
        <v>111</v>
      </c>
      <c r="G577" s="1">
        <v>2239636</v>
      </c>
    </row>
    <row r="578" spans="1:9" x14ac:dyDescent="0.35">
      <c r="A578" s="1" t="str">
        <f t="shared" ref="A578:A641" si="9">IFERROR(LEFT(RIGHT(C578,LEN(C578)-SEARCH("@",C578)),SEARCH("/",RIGHT(C578,LEN(C578)-SEARCH("@",C578)-1))),"")</f>
        <v>18 Saccharin 0.1 + Testo</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8" s="1" t="s">
        <v>4353</v>
      </c>
      <c r="D578" s="1" t="s">
        <v>4005</v>
      </c>
      <c r="E578" s="1" t="s">
        <v>4354</v>
      </c>
      <c r="F578" s="1" t="s">
        <v>111</v>
      </c>
      <c r="G578" s="1">
        <v>1828229</v>
      </c>
    </row>
    <row r="579" spans="1:9" x14ac:dyDescent="0.35">
      <c r="A579" s="1" t="str">
        <f t="shared" si="9"/>
        <v>18 Saccharin 0.1 + Testo</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4355</v>
      </c>
      <c r="D579" s="1" t="s">
        <v>4356</v>
      </c>
      <c r="E579" s="1" t="s">
        <v>4357</v>
      </c>
      <c r="F579" s="1" t="s">
        <v>111</v>
      </c>
      <c r="G579" s="1">
        <v>914898</v>
      </c>
    </row>
    <row r="580" spans="1:9" x14ac:dyDescent="0.35">
      <c r="A580" s="1" t="str">
        <f t="shared" si="9"/>
        <v>18 Saccharin 0.1 + Testo</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4358</v>
      </c>
      <c r="D580" s="1" t="s">
        <v>4359</v>
      </c>
      <c r="E580" s="1" t="s">
        <v>4360</v>
      </c>
      <c r="F580" s="1" t="s">
        <v>111</v>
      </c>
      <c r="G580" s="1">
        <v>1368050</v>
      </c>
    </row>
    <row r="581" spans="1:9" x14ac:dyDescent="0.35">
      <c r="A581" s="1" t="str">
        <f t="shared" si="9"/>
        <v>18 Saccharin 0.1 + Testo</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1" s="1" t="s">
        <v>4361</v>
      </c>
      <c r="D581" s="1" t="s">
        <v>4362</v>
      </c>
      <c r="E581" s="1" t="s">
        <v>4363</v>
      </c>
      <c r="F581" s="1" t="s">
        <v>111</v>
      </c>
      <c r="G581" s="1">
        <v>1556546</v>
      </c>
    </row>
    <row r="582" spans="1:9" x14ac:dyDescent="0.35">
      <c r="A582" s="1" t="str">
        <f t="shared" si="9"/>
        <v>18 Saccharin 0.1 + Testo</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4364</v>
      </c>
      <c r="D582" s="1" t="s">
        <v>4365</v>
      </c>
      <c r="E582" s="1" t="s">
        <v>4366</v>
      </c>
      <c r="F582" s="1" t="s">
        <v>111</v>
      </c>
      <c r="G582" s="1">
        <v>1290346</v>
      </c>
    </row>
    <row r="583" spans="1:9" x14ac:dyDescent="0.35">
      <c r="A583" s="1" t="str">
        <f t="shared" si="9"/>
        <v>18 Saccharin 0.1 + Testo</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4367</v>
      </c>
      <c r="D583" s="1" t="s">
        <v>4368</v>
      </c>
      <c r="E583" s="1" t="s">
        <v>4369</v>
      </c>
      <c r="F583" s="1" t="s">
        <v>111</v>
      </c>
      <c r="G583" s="1">
        <v>1021709</v>
      </c>
    </row>
    <row r="584" spans="1:9" x14ac:dyDescent="0.35">
      <c r="A584" s="1" t="str">
        <f t="shared" si="9"/>
        <v>18 Saccharin 0.1 + Testo</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4" s="1" t="s">
        <v>4370</v>
      </c>
      <c r="D584" s="1" t="s">
        <v>4371</v>
      </c>
      <c r="E584" s="1" t="s">
        <v>4372</v>
      </c>
      <c r="F584" s="1" t="s">
        <v>111</v>
      </c>
      <c r="G584" s="1">
        <v>1150687</v>
      </c>
    </row>
    <row r="585" spans="1:9" x14ac:dyDescent="0.35">
      <c r="A585" s="1" t="str">
        <f t="shared" si="9"/>
        <v>18 Saccharin 0.1 + Testo</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4373</v>
      </c>
    </row>
    <row r="586" spans="1:9" x14ac:dyDescent="0.35">
      <c r="A586" s="1" t="str">
        <f t="shared" si="9"/>
        <v>18 Saccharin 0.1 + Testo</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4374</v>
      </c>
      <c r="D586" s="1" t="s">
        <v>4375</v>
      </c>
      <c r="E586" s="1" t="s">
        <v>4376</v>
      </c>
      <c r="F586" s="1" t="s">
        <v>111</v>
      </c>
      <c r="G586" s="1">
        <v>2751741</v>
      </c>
    </row>
    <row r="587" spans="1:9" x14ac:dyDescent="0.35">
      <c r="A587" s="1" t="str">
        <f t="shared" si="9"/>
        <v>18 Saccharin 0.1 + Testo</v>
      </c>
      <c r="B5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7" s="1" t="s">
        <v>4377</v>
      </c>
      <c r="D587" s="1" t="s">
        <v>4378</v>
      </c>
      <c r="E587" s="1" t="s">
        <v>4379</v>
      </c>
      <c r="F587" s="1" t="s">
        <v>111</v>
      </c>
      <c r="G587" s="1">
        <v>2883547</v>
      </c>
    </row>
    <row r="588" spans="1:9" x14ac:dyDescent="0.3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111</v>
      </c>
    </row>
    <row r="589" spans="1:9" x14ac:dyDescent="0.35">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9" s="1" t="s">
        <v>234</v>
      </c>
      <c r="D589" s="1" t="s">
        <v>111</v>
      </c>
      <c r="E589" s="1" t="s">
        <v>235</v>
      </c>
      <c r="F589" s="1" t="s">
        <v>236</v>
      </c>
      <c r="G589" s="1" t="s">
        <v>237</v>
      </c>
      <c r="H589" s="1" t="s">
        <v>238</v>
      </c>
      <c r="I589" s="1" t="s">
        <v>239</v>
      </c>
    </row>
    <row r="590" spans="1:9" x14ac:dyDescent="0.35">
      <c r="A590" s="1" t="str">
        <f t="shared" si="9"/>
        <v>18 Saccharin 0.1 + Testo</v>
      </c>
      <c r="B5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90" s="1" t="s">
        <v>4380</v>
      </c>
      <c r="D590" s="1" t="s">
        <v>111</v>
      </c>
      <c r="E590" s="1" t="s">
        <v>4381</v>
      </c>
      <c r="F590" s="1" t="s">
        <v>4382</v>
      </c>
      <c r="G590" s="1" t="s">
        <v>4383</v>
      </c>
      <c r="H590" s="1" t="s">
        <v>4384</v>
      </c>
      <c r="I590" s="1">
        <v>24</v>
      </c>
    </row>
    <row r="591" spans="1:9" x14ac:dyDescent="0.3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111</v>
      </c>
    </row>
    <row r="592" spans="1:9" x14ac:dyDescent="0.3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111</v>
      </c>
    </row>
    <row r="593" spans="1:7" x14ac:dyDescent="0.3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111</v>
      </c>
    </row>
    <row r="594" spans="1:7" x14ac:dyDescent="0.3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111</v>
      </c>
    </row>
    <row r="595" spans="1:7" x14ac:dyDescent="0.3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245</v>
      </c>
      <c r="D595" s="1" t="s">
        <v>109</v>
      </c>
      <c r="E595" s="1" t="s">
        <v>110</v>
      </c>
      <c r="F595" s="1" t="s">
        <v>111</v>
      </c>
      <c r="G595" s="1" t="s">
        <v>112</v>
      </c>
    </row>
    <row r="596" spans="1:7" x14ac:dyDescent="0.35">
      <c r="A596" s="1" t="str">
        <f t="shared" si="9"/>
        <v>19 Testo +  Saccharin 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1668</v>
      </c>
      <c r="D596" s="1" t="s">
        <v>1669</v>
      </c>
      <c r="E596" s="1" t="s">
        <v>1670</v>
      </c>
      <c r="F596" s="1" t="s">
        <v>111</v>
      </c>
      <c r="G596" s="1">
        <v>2046729</v>
      </c>
    </row>
    <row r="597" spans="1:7" x14ac:dyDescent="0.35">
      <c r="A597" s="1" t="str">
        <f t="shared" si="9"/>
        <v>19 Testo +  Saccharin 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1671</v>
      </c>
      <c r="D597" s="1" t="s">
        <v>1480</v>
      </c>
      <c r="E597" s="1" t="s">
        <v>1672</v>
      </c>
      <c r="F597" s="1" t="s">
        <v>111</v>
      </c>
      <c r="G597" s="1">
        <v>1313497</v>
      </c>
    </row>
    <row r="598" spans="1:7" x14ac:dyDescent="0.35">
      <c r="A598" s="1" t="str">
        <f t="shared" si="9"/>
        <v>19 Testo +  Saccharin 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1673</v>
      </c>
      <c r="D598" s="1" t="s">
        <v>1674</v>
      </c>
      <c r="E598" s="1" t="s">
        <v>1675</v>
      </c>
      <c r="F598" s="1" t="s">
        <v>111</v>
      </c>
      <c r="G598" s="1">
        <v>1210668</v>
      </c>
    </row>
    <row r="599" spans="1:7" x14ac:dyDescent="0.35">
      <c r="A599" s="1" t="str">
        <f t="shared" si="9"/>
        <v>19 Testo +  Saccharin 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1676</v>
      </c>
      <c r="D599" s="1" t="s">
        <v>1677</v>
      </c>
      <c r="E599" s="1" t="s">
        <v>1678</v>
      </c>
      <c r="F599" s="1" t="s">
        <v>111</v>
      </c>
      <c r="G599" s="1">
        <v>533263</v>
      </c>
    </row>
    <row r="600" spans="1:7" x14ac:dyDescent="0.35">
      <c r="A600" s="1" t="str">
        <f t="shared" si="9"/>
        <v>19 Testo +  Saccharin 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1679</v>
      </c>
      <c r="D600" s="1" t="s">
        <v>1236</v>
      </c>
      <c r="E600" s="1" t="s">
        <v>1680</v>
      </c>
      <c r="F600" s="1" t="s">
        <v>111</v>
      </c>
      <c r="G600" s="1">
        <v>383952</v>
      </c>
    </row>
    <row r="601" spans="1:7" x14ac:dyDescent="0.35">
      <c r="A601" s="1" t="str">
        <f t="shared" si="9"/>
        <v>19 Testo +  Saccharin 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1681</v>
      </c>
      <c r="D601" s="1" t="s">
        <v>1682</v>
      </c>
      <c r="E601" s="1" t="s">
        <v>1683</v>
      </c>
      <c r="F601" s="1" t="s">
        <v>111</v>
      </c>
      <c r="G601" s="1">
        <v>287461</v>
      </c>
    </row>
    <row r="602" spans="1:7" x14ac:dyDescent="0.35">
      <c r="A602" s="1" t="str">
        <f t="shared" si="9"/>
        <v>19 Testo +  Saccharin 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1684</v>
      </c>
      <c r="D602" s="1" t="s">
        <v>1685</v>
      </c>
      <c r="E602" s="1" t="s">
        <v>1686</v>
      </c>
      <c r="F602" s="1" t="s">
        <v>111</v>
      </c>
      <c r="G602" s="1">
        <v>1565442</v>
      </c>
    </row>
    <row r="603" spans="1:7" x14ac:dyDescent="0.35">
      <c r="A603" s="1" t="str">
        <f t="shared" si="9"/>
        <v>19 Testo +  Saccharin 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1687</v>
      </c>
      <c r="D603" s="1" t="s">
        <v>1688</v>
      </c>
      <c r="E603" s="1" t="s">
        <v>1689</v>
      </c>
      <c r="F603" s="1" t="s">
        <v>111</v>
      </c>
      <c r="G603" s="1">
        <v>1649539</v>
      </c>
    </row>
    <row r="604" spans="1:7" x14ac:dyDescent="0.35">
      <c r="A604" s="1" t="str">
        <f t="shared" si="9"/>
        <v>19 Testo +  Saccharin 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1690</v>
      </c>
    </row>
    <row r="605" spans="1:7" x14ac:dyDescent="0.35">
      <c r="A605" s="1" t="str">
        <f t="shared" si="9"/>
        <v>19 Testo +  Saccharin 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1691</v>
      </c>
      <c r="D605" s="1" t="s">
        <v>1692</v>
      </c>
      <c r="E605" s="1" t="s">
        <v>1693</v>
      </c>
      <c r="F605" s="1" t="s">
        <v>111</v>
      </c>
      <c r="G605" s="1">
        <v>2976576</v>
      </c>
    </row>
    <row r="606" spans="1:7" x14ac:dyDescent="0.35">
      <c r="A606" s="1" t="str">
        <f t="shared" si="9"/>
        <v>19 Testo +  Saccharin 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1694</v>
      </c>
      <c r="D606" s="1" t="s">
        <v>1695</v>
      </c>
      <c r="E606" s="1" t="s">
        <v>1696</v>
      </c>
      <c r="F606" s="1" t="s">
        <v>111</v>
      </c>
      <c r="G606" s="1">
        <v>2978242</v>
      </c>
    </row>
    <row r="607" spans="1:7" x14ac:dyDescent="0.35">
      <c r="A607" s="1" t="str">
        <f t="shared" si="9"/>
        <v>19 Testo +  Saccharin 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1697</v>
      </c>
      <c r="D607" s="1" t="s">
        <v>1698</v>
      </c>
      <c r="E607" s="1" t="s">
        <v>1699</v>
      </c>
      <c r="F607" s="1" t="s">
        <v>111</v>
      </c>
      <c r="G607" s="1">
        <v>2164309</v>
      </c>
    </row>
    <row r="608" spans="1:7" x14ac:dyDescent="0.35">
      <c r="A608" s="1" t="str">
        <f t="shared" si="9"/>
        <v>19 Testo +  Saccharin 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1700</v>
      </c>
      <c r="D608" s="1" t="s">
        <v>1701</v>
      </c>
      <c r="E608" s="1" t="s">
        <v>1702</v>
      </c>
      <c r="F608" s="1" t="s">
        <v>111</v>
      </c>
      <c r="G608" s="1">
        <v>3013174</v>
      </c>
    </row>
    <row r="609" spans="1:9" x14ac:dyDescent="0.35">
      <c r="A609" s="1" t="str">
        <f t="shared" si="9"/>
        <v>19 Testo +  Saccharin 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1703</v>
      </c>
      <c r="D609" s="1" t="s">
        <v>1704</v>
      </c>
      <c r="E609" s="1" t="s">
        <v>1705</v>
      </c>
      <c r="F609" s="1" t="s">
        <v>111</v>
      </c>
      <c r="G609" s="1">
        <v>2796421</v>
      </c>
    </row>
    <row r="610" spans="1:9" x14ac:dyDescent="0.35">
      <c r="A610" s="1" t="str">
        <f t="shared" si="9"/>
        <v>19 Testo +  Saccharin 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1706</v>
      </c>
      <c r="D610" s="1" t="s">
        <v>1707</v>
      </c>
      <c r="E610" s="1" t="s">
        <v>1708</v>
      </c>
      <c r="F610" s="1" t="s">
        <v>111</v>
      </c>
      <c r="G610" s="1">
        <v>2295300</v>
      </c>
    </row>
    <row r="611" spans="1:9" x14ac:dyDescent="0.35">
      <c r="A611" s="1" t="str">
        <f t="shared" si="9"/>
        <v>19 Testo +  Saccharin 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1709</v>
      </c>
    </row>
    <row r="612" spans="1:9" x14ac:dyDescent="0.35">
      <c r="A612" s="1" t="str">
        <f t="shared" si="9"/>
        <v>19 Testo +  Saccharin 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1710</v>
      </c>
      <c r="D612" s="1" t="s">
        <v>341</v>
      </c>
      <c r="E612" s="1" t="s">
        <v>1711</v>
      </c>
      <c r="F612" s="1" t="s">
        <v>111</v>
      </c>
      <c r="G612" s="1">
        <v>117039</v>
      </c>
    </row>
    <row r="613" spans="1:9" x14ac:dyDescent="0.35">
      <c r="A613" s="1" t="str">
        <f t="shared" si="9"/>
        <v>19 Testo +  Saccharin 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1712</v>
      </c>
      <c r="D613" s="1" t="s">
        <v>696</v>
      </c>
      <c r="E613" s="1" t="s">
        <v>1713</v>
      </c>
      <c r="F613" s="1" t="s">
        <v>111</v>
      </c>
      <c r="G613" s="1">
        <v>32402</v>
      </c>
    </row>
    <row r="614" spans="1:9" x14ac:dyDescent="0.35">
      <c r="A614" s="1" t="str">
        <f t="shared" si="9"/>
        <v>19 Testo +  Saccharin 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1714</v>
      </c>
      <c r="D614" s="1" t="s">
        <v>1715</v>
      </c>
      <c r="E614" s="1" t="s">
        <v>1716</v>
      </c>
      <c r="F614" s="1" t="s">
        <v>111</v>
      </c>
      <c r="G614" s="1">
        <v>580741</v>
      </c>
    </row>
    <row r="615" spans="1:9" x14ac:dyDescent="0.35">
      <c r="A615" s="1" t="str">
        <f t="shared" si="9"/>
        <v>19 Testo +  Saccharin 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1717</v>
      </c>
      <c r="D615" s="1" t="s">
        <v>1718</v>
      </c>
      <c r="E615" s="1" t="s">
        <v>1719</v>
      </c>
      <c r="F615" s="1" t="s">
        <v>111</v>
      </c>
      <c r="G615" s="1">
        <v>458878</v>
      </c>
    </row>
    <row r="616" spans="1:9" x14ac:dyDescent="0.35">
      <c r="A616" s="1" t="str">
        <f t="shared" si="9"/>
        <v>19 Testo +  Saccharin 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1720</v>
      </c>
      <c r="D616" s="1" t="s">
        <v>1721</v>
      </c>
      <c r="E616" s="1" t="s">
        <v>1722</v>
      </c>
      <c r="F616" s="1" t="s">
        <v>111</v>
      </c>
      <c r="G616" s="1">
        <v>587944</v>
      </c>
    </row>
    <row r="617" spans="1:9" x14ac:dyDescent="0.35">
      <c r="A617" s="1" t="str">
        <f t="shared" si="9"/>
        <v>19 Testo +  Saccharin 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1723</v>
      </c>
      <c r="D617" s="1" t="s">
        <v>1724</v>
      </c>
      <c r="E617" s="1" t="s">
        <v>1725</v>
      </c>
      <c r="F617" s="1" t="s">
        <v>111</v>
      </c>
      <c r="G617" s="1">
        <v>2243626</v>
      </c>
    </row>
    <row r="618" spans="1:9" x14ac:dyDescent="0.35">
      <c r="A618" s="1" t="str">
        <f t="shared" si="9"/>
        <v>19 Testo +  Saccharin 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1726</v>
      </c>
      <c r="D618" s="1" t="s">
        <v>1727</v>
      </c>
      <c r="E618" s="1" t="s">
        <v>1728</v>
      </c>
      <c r="F618" s="1" t="s">
        <v>111</v>
      </c>
      <c r="G618" s="1">
        <v>1903344</v>
      </c>
    </row>
    <row r="619" spans="1:9" x14ac:dyDescent="0.35">
      <c r="A619" s="1" t="str">
        <f t="shared" si="9"/>
        <v>19 Testo +  Saccharin 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1729</v>
      </c>
      <c r="D619" s="1" t="s">
        <v>1730</v>
      </c>
      <c r="E619" s="1" t="s">
        <v>1731</v>
      </c>
      <c r="F619" s="1" t="s">
        <v>111</v>
      </c>
      <c r="G619" s="1">
        <v>2800185</v>
      </c>
    </row>
    <row r="620" spans="1:9" x14ac:dyDescent="0.3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111</v>
      </c>
    </row>
    <row r="621" spans="1:9" x14ac:dyDescent="0.3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234</v>
      </c>
      <c r="D621" s="1" t="s">
        <v>111</v>
      </c>
      <c r="E621" s="1" t="s">
        <v>235</v>
      </c>
      <c r="F621" s="1" t="s">
        <v>236</v>
      </c>
      <c r="G621" s="1" t="s">
        <v>237</v>
      </c>
      <c r="H621" s="1" t="s">
        <v>238</v>
      </c>
      <c r="I621" s="1" t="s">
        <v>239</v>
      </c>
    </row>
    <row r="622" spans="1:9" x14ac:dyDescent="0.35">
      <c r="A622" s="1" t="str">
        <f t="shared" si="9"/>
        <v>19 Testo +  Saccharin 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1732</v>
      </c>
      <c r="D622" s="1" t="s">
        <v>111</v>
      </c>
      <c r="E622" s="1" t="s">
        <v>1733</v>
      </c>
      <c r="F622" s="1" t="s">
        <v>1734</v>
      </c>
      <c r="G622" s="1" t="s">
        <v>1735</v>
      </c>
      <c r="H622" s="1" t="s">
        <v>1736</v>
      </c>
      <c r="I622" s="1">
        <v>24</v>
      </c>
    </row>
    <row r="623" spans="1:9" x14ac:dyDescent="0.3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111</v>
      </c>
    </row>
    <row r="624" spans="1:9" x14ac:dyDescent="0.3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111</v>
      </c>
    </row>
    <row r="625" spans="1:7" x14ac:dyDescent="0.3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111</v>
      </c>
    </row>
    <row r="626" spans="1:7" x14ac:dyDescent="0.3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111</v>
      </c>
    </row>
    <row r="627" spans="1:7" x14ac:dyDescent="0.3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111</v>
      </c>
    </row>
    <row r="628" spans="1:7" x14ac:dyDescent="0.3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245</v>
      </c>
      <c r="D628" s="1" t="s">
        <v>109</v>
      </c>
      <c r="E628" s="1" t="s">
        <v>110</v>
      </c>
      <c r="F628" s="1" t="s">
        <v>111</v>
      </c>
      <c r="G628" s="1" t="s">
        <v>112</v>
      </c>
    </row>
    <row r="629" spans="1:7" x14ac:dyDescent="0.35">
      <c r="A629" s="1" t="str">
        <f t="shared" si="9"/>
        <v>20 Testo +  Saccharin 10</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1737</v>
      </c>
      <c r="D629" s="1" t="s">
        <v>1738</v>
      </c>
      <c r="E629" s="1" t="s">
        <v>1739</v>
      </c>
      <c r="F629" s="1" t="s">
        <v>111</v>
      </c>
      <c r="G629" s="1">
        <v>3576871</v>
      </c>
    </row>
    <row r="630" spans="1:7" x14ac:dyDescent="0.35">
      <c r="A630" s="1" t="str">
        <f t="shared" si="9"/>
        <v>20 Testo +  Saccharin 10</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1740</v>
      </c>
      <c r="D630" s="1" t="s">
        <v>1741</v>
      </c>
      <c r="E630" s="1" t="s">
        <v>1742</v>
      </c>
      <c r="F630" s="1" t="s">
        <v>111</v>
      </c>
      <c r="G630" s="1">
        <v>4113746</v>
      </c>
    </row>
    <row r="631" spans="1:7" x14ac:dyDescent="0.35">
      <c r="A631" s="1" t="str">
        <f t="shared" si="9"/>
        <v>20 Testo +  Saccharin 10</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1743</v>
      </c>
      <c r="D631" s="1" t="s">
        <v>1744</v>
      </c>
      <c r="E631" s="1" t="s">
        <v>1745</v>
      </c>
      <c r="F631" s="1" t="s">
        <v>111</v>
      </c>
      <c r="G631" s="1">
        <v>3554700</v>
      </c>
    </row>
    <row r="632" spans="1:7" x14ac:dyDescent="0.35">
      <c r="A632" s="1" t="str">
        <f t="shared" si="9"/>
        <v>20 Testo +  Saccharin 10</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1746</v>
      </c>
      <c r="D632" s="1" t="s">
        <v>1747</v>
      </c>
      <c r="E632" s="1" t="s">
        <v>1748</v>
      </c>
      <c r="F632" s="1" t="s">
        <v>111</v>
      </c>
      <c r="G632" s="1">
        <v>4098108</v>
      </c>
    </row>
    <row r="633" spans="1:7" x14ac:dyDescent="0.35">
      <c r="A633" s="1" t="str">
        <f t="shared" si="9"/>
        <v>20 Testo +  Saccharin 10</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1749</v>
      </c>
      <c r="D633" s="1" t="s">
        <v>1750</v>
      </c>
      <c r="E633" s="1" t="s">
        <v>1751</v>
      </c>
      <c r="F633" s="1" t="s">
        <v>111</v>
      </c>
      <c r="G633" s="1">
        <v>3346145</v>
      </c>
    </row>
    <row r="634" spans="1:7" x14ac:dyDescent="0.35">
      <c r="A634" s="1" t="str">
        <f t="shared" si="9"/>
        <v>20 Testo +  Saccharin 10</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1752</v>
      </c>
      <c r="D634" s="1" t="s">
        <v>546</v>
      </c>
      <c r="E634" s="1" t="s">
        <v>1753</v>
      </c>
      <c r="F634" s="1" t="s">
        <v>111</v>
      </c>
      <c r="G634" s="1">
        <v>3478693</v>
      </c>
    </row>
    <row r="635" spans="1:7" x14ac:dyDescent="0.35">
      <c r="A635" s="1" t="str">
        <f t="shared" si="9"/>
        <v>20 Testo +  Saccharin 10</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1754</v>
      </c>
      <c r="D635" s="1" t="s">
        <v>368</v>
      </c>
      <c r="E635" s="1" t="s">
        <v>1755</v>
      </c>
      <c r="F635" s="1" t="s">
        <v>111</v>
      </c>
      <c r="G635" s="1">
        <v>361825</v>
      </c>
    </row>
    <row r="636" spans="1:7" x14ac:dyDescent="0.35">
      <c r="A636" s="1" t="str">
        <f t="shared" si="9"/>
        <v>20 Testo +  Saccharin 10</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1756</v>
      </c>
      <c r="D636" s="1" t="s">
        <v>1757</v>
      </c>
      <c r="E636" s="1" t="s">
        <v>1758</v>
      </c>
      <c r="F636" s="1" t="s">
        <v>111</v>
      </c>
      <c r="G636" s="1">
        <v>296892</v>
      </c>
    </row>
    <row r="637" spans="1:7" x14ac:dyDescent="0.35">
      <c r="A637" s="1" t="str">
        <f t="shared" si="9"/>
        <v>20 Testo +  Saccharin 10</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1759</v>
      </c>
      <c r="D637" s="1" t="s">
        <v>1651</v>
      </c>
      <c r="E637" s="1" t="s">
        <v>1760</v>
      </c>
      <c r="F637" s="1" t="s">
        <v>111</v>
      </c>
      <c r="G637" s="1">
        <v>172996</v>
      </c>
    </row>
    <row r="638" spans="1:7" x14ac:dyDescent="0.35">
      <c r="A638" s="1" t="str">
        <f t="shared" si="9"/>
        <v>20 Testo +  Saccharin 10</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1761</v>
      </c>
      <c r="D638" s="1" t="s">
        <v>1632</v>
      </c>
      <c r="E638" s="1" t="s">
        <v>1762</v>
      </c>
      <c r="F638" s="1" t="s">
        <v>111</v>
      </c>
      <c r="G638" s="1">
        <v>1090601</v>
      </c>
    </row>
    <row r="639" spans="1:7" x14ac:dyDescent="0.35">
      <c r="A639" s="1" t="str">
        <f t="shared" si="9"/>
        <v>20 Testo +  Saccharin 10</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1763</v>
      </c>
      <c r="D639" s="1" t="s">
        <v>1764</v>
      </c>
      <c r="E639" s="1" t="s">
        <v>1765</v>
      </c>
      <c r="F639" s="1" t="s">
        <v>111</v>
      </c>
      <c r="G639" s="1">
        <v>876551</v>
      </c>
    </row>
    <row r="640" spans="1:7" x14ac:dyDescent="0.35">
      <c r="A640" s="1" t="str">
        <f t="shared" si="9"/>
        <v>20 Testo +  Saccharin 10</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1766</v>
      </c>
      <c r="D640" s="1" t="s">
        <v>1767</v>
      </c>
      <c r="E640" s="1" t="s">
        <v>1768</v>
      </c>
      <c r="F640" s="1" t="s">
        <v>111</v>
      </c>
      <c r="G640" s="1">
        <v>695747</v>
      </c>
    </row>
    <row r="641" spans="1:9" x14ac:dyDescent="0.35">
      <c r="A641" s="1" t="str">
        <f t="shared" si="9"/>
        <v>20 Testo +  Saccharin 10</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1769</v>
      </c>
    </row>
    <row r="642" spans="1:9" x14ac:dyDescent="0.35">
      <c r="A642" s="1" t="str">
        <f t="shared" ref="A642:A705" si="10">IFERROR(LEFT(RIGHT(C642,LEN(C642)-SEARCH("@",C642)),SEARCH("/",RIGHT(C642,LEN(C642)-SEARCH("@",C642)-1))),"")</f>
        <v>20 Testo +  Saccharin 10</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1770</v>
      </c>
      <c r="D642" s="1" t="s">
        <v>1771</v>
      </c>
      <c r="E642" s="1" t="s">
        <v>1772</v>
      </c>
      <c r="F642" s="1" t="s">
        <v>111</v>
      </c>
      <c r="G642" s="1">
        <v>2681588</v>
      </c>
    </row>
    <row r="643" spans="1:9" x14ac:dyDescent="0.35">
      <c r="A643" s="1" t="str">
        <f t="shared" si="10"/>
        <v>20 Testo +  Saccharin 10</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1773</v>
      </c>
      <c r="D643" s="1" t="s">
        <v>1774</v>
      </c>
      <c r="E643" s="1" t="s">
        <v>1775</v>
      </c>
      <c r="F643" s="1" t="s">
        <v>111</v>
      </c>
      <c r="G643" s="1">
        <v>2337586</v>
      </c>
    </row>
    <row r="644" spans="1:9" x14ac:dyDescent="0.35">
      <c r="A644" s="1" t="str">
        <f t="shared" si="10"/>
        <v>20 Testo +  Saccharin 10</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1776</v>
      </c>
      <c r="D644" s="1" t="s">
        <v>1777</v>
      </c>
      <c r="E644" s="1" t="s">
        <v>1778</v>
      </c>
      <c r="F644" s="1" t="s">
        <v>111</v>
      </c>
      <c r="G644" s="1">
        <v>1541909</v>
      </c>
    </row>
    <row r="645" spans="1:9" x14ac:dyDescent="0.35">
      <c r="A645" s="1" t="str">
        <f t="shared" si="10"/>
        <v>20 Testo +  Saccharin 10</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1779</v>
      </c>
      <c r="D645" s="1" t="s">
        <v>1780</v>
      </c>
      <c r="E645" s="1" t="s">
        <v>1781</v>
      </c>
      <c r="F645" s="1" t="s">
        <v>111</v>
      </c>
      <c r="G645" s="1">
        <v>1488721</v>
      </c>
    </row>
    <row r="646" spans="1:9" x14ac:dyDescent="0.35">
      <c r="A646" s="1" t="str">
        <f t="shared" si="10"/>
        <v>20 Testo +  Saccharin 10</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1782</v>
      </c>
      <c r="D646" s="1" t="s">
        <v>1783</v>
      </c>
      <c r="E646" s="1" t="s">
        <v>1784</v>
      </c>
      <c r="F646" s="1" t="s">
        <v>111</v>
      </c>
      <c r="G646" s="1">
        <v>1563863</v>
      </c>
    </row>
    <row r="647" spans="1:9" x14ac:dyDescent="0.35">
      <c r="A647" s="1" t="str">
        <f t="shared" si="10"/>
        <v>20 Testo +  Saccharin 10</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1785</v>
      </c>
      <c r="D647" s="1" t="s">
        <v>1786</v>
      </c>
      <c r="E647" s="1" t="s">
        <v>1787</v>
      </c>
      <c r="F647" s="1" t="s">
        <v>111</v>
      </c>
      <c r="G647" s="1">
        <v>3345150</v>
      </c>
    </row>
    <row r="648" spans="1:9" x14ac:dyDescent="0.35">
      <c r="A648" s="1" t="str">
        <f t="shared" si="10"/>
        <v>20 Testo +  Saccharin 10</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1788</v>
      </c>
      <c r="D648" s="1" t="s">
        <v>635</v>
      </c>
      <c r="E648" s="1" t="s">
        <v>1789</v>
      </c>
      <c r="F648" s="1" t="s">
        <v>111</v>
      </c>
      <c r="G648" s="1">
        <v>3488275</v>
      </c>
    </row>
    <row r="649" spans="1:9" x14ac:dyDescent="0.35">
      <c r="A649" s="1" t="str">
        <f t="shared" si="10"/>
        <v>20 Testo +  Saccharin 10</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1790</v>
      </c>
      <c r="D649" s="1" t="s">
        <v>1791</v>
      </c>
      <c r="E649" s="1" t="s">
        <v>1792</v>
      </c>
      <c r="F649" s="1" t="s">
        <v>111</v>
      </c>
      <c r="G649" s="1">
        <v>3038935</v>
      </c>
    </row>
    <row r="650" spans="1:9" x14ac:dyDescent="0.35">
      <c r="A650" s="1" t="str">
        <f t="shared" si="10"/>
        <v>20 Testo +  Saccharin 10</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1793</v>
      </c>
      <c r="D650" s="1" t="s">
        <v>1794</v>
      </c>
      <c r="E650" s="1" t="s">
        <v>1795</v>
      </c>
      <c r="F650" s="1" t="s">
        <v>111</v>
      </c>
      <c r="G650" s="1">
        <v>2966324</v>
      </c>
    </row>
    <row r="651" spans="1:9" x14ac:dyDescent="0.35">
      <c r="A651" s="1" t="str">
        <f t="shared" si="10"/>
        <v>20 Testo +  Saccharin 10</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1796</v>
      </c>
      <c r="D651" s="1" t="s">
        <v>1797</v>
      </c>
      <c r="E651" s="1" t="s">
        <v>1798</v>
      </c>
      <c r="F651" s="1" t="s">
        <v>111</v>
      </c>
      <c r="G651" s="1">
        <v>2902667</v>
      </c>
    </row>
    <row r="652" spans="1:9" x14ac:dyDescent="0.35">
      <c r="A652" s="1" t="str">
        <f t="shared" si="10"/>
        <v>20 Testo +  Saccharin 10</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1799</v>
      </c>
      <c r="D652" s="1" t="s">
        <v>1800</v>
      </c>
      <c r="E652" s="1" t="s">
        <v>1801</v>
      </c>
      <c r="F652" s="1" t="s">
        <v>111</v>
      </c>
      <c r="G652" s="1">
        <v>2607484</v>
      </c>
    </row>
    <row r="653" spans="1:9" x14ac:dyDescent="0.3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111</v>
      </c>
    </row>
    <row r="654" spans="1:9" x14ac:dyDescent="0.3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234</v>
      </c>
      <c r="D654" s="1" t="s">
        <v>111</v>
      </c>
      <c r="E654" s="1" t="s">
        <v>235</v>
      </c>
      <c r="F654" s="1" t="s">
        <v>236</v>
      </c>
      <c r="G654" s="1" t="s">
        <v>237</v>
      </c>
      <c r="H654" s="1" t="s">
        <v>238</v>
      </c>
      <c r="I654" s="1" t="s">
        <v>239</v>
      </c>
    </row>
    <row r="655" spans="1:9" x14ac:dyDescent="0.35">
      <c r="A655" s="1" t="str">
        <f t="shared" si="10"/>
        <v>20 Testo +  Saccharin 10</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1802</v>
      </c>
      <c r="D655" s="1" t="s">
        <v>111</v>
      </c>
      <c r="E655" s="1" t="s">
        <v>1803</v>
      </c>
      <c r="F655" s="1" t="s">
        <v>1804</v>
      </c>
      <c r="G655" s="1" t="s">
        <v>1805</v>
      </c>
      <c r="H655" s="1" t="s">
        <v>1806</v>
      </c>
      <c r="I655" s="1">
        <v>24</v>
      </c>
    </row>
    <row r="656" spans="1:9" x14ac:dyDescent="0.3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111</v>
      </c>
    </row>
    <row r="657" spans="1:7" x14ac:dyDescent="0.3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111</v>
      </c>
    </row>
    <row r="658" spans="1:7" x14ac:dyDescent="0.3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111</v>
      </c>
    </row>
    <row r="659" spans="1:7" x14ac:dyDescent="0.3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111</v>
      </c>
    </row>
    <row r="660" spans="1:7" x14ac:dyDescent="0.3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111</v>
      </c>
    </row>
    <row r="661" spans="1:7" x14ac:dyDescent="0.3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245</v>
      </c>
      <c r="D661" s="1" t="s">
        <v>109</v>
      </c>
      <c r="E661" s="1" t="s">
        <v>110</v>
      </c>
      <c r="F661" s="1" t="s">
        <v>111</v>
      </c>
      <c r="G661" s="1" t="s">
        <v>112</v>
      </c>
    </row>
    <row r="662" spans="1:7" x14ac:dyDescent="0.35">
      <c r="A662" s="1" t="str">
        <f t="shared" si="10"/>
        <v>21 Testo +   Saccharin 100</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1807</v>
      </c>
      <c r="D662" s="1" t="s">
        <v>1808</v>
      </c>
      <c r="E662" s="1" t="s">
        <v>1809</v>
      </c>
      <c r="F662" s="1" t="s">
        <v>111</v>
      </c>
      <c r="G662" s="1">
        <v>884252</v>
      </c>
    </row>
    <row r="663" spans="1:7" x14ac:dyDescent="0.35">
      <c r="A663" s="1" t="str">
        <f t="shared" si="10"/>
        <v>21 Testo +   Saccharin 100</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1810</v>
      </c>
      <c r="D663" s="1" t="s">
        <v>1811</v>
      </c>
      <c r="E663" s="1" t="s">
        <v>1812</v>
      </c>
      <c r="F663" s="1" t="s">
        <v>111</v>
      </c>
      <c r="G663" s="1">
        <v>874821</v>
      </c>
    </row>
    <row r="664" spans="1:7" x14ac:dyDescent="0.35">
      <c r="A664" s="1" t="str">
        <f t="shared" si="10"/>
        <v>21 Testo +   Saccharin 100</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1813</v>
      </c>
      <c r="D664" s="1" t="s">
        <v>1814</v>
      </c>
      <c r="E664" s="1" t="s">
        <v>1815</v>
      </c>
      <c r="F664" s="1" t="s">
        <v>111</v>
      </c>
      <c r="G664" s="1">
        <v>501576</v>
      </c>
    </row>
    <row r="665" spans="1:7" x14ac:dyDescent="0.35">
      <c r="A665" s="1" t="str">
        <f t="shared" si="10"/>
        <v>21 Testo +   Saccharin 100</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1816</v>
      </c>
      <c r="D665" s="1" t="s">
        <v>1817</v>
      </c>
      <c r="E665" s="1" t="s">
        <v>1818</v>
      </c>
      <c r="F665" s="1" t="s">
        <v>111</v>
      </c>
      <c r="G665" s="1">
        <v>3151086</v>
      </c>
    </row>
    <row r="666" spans="1:7" x14ac:dyDescent="0.35">
      <c r="A666" s="1" t="str">
        <f t="shared" si="10"/>
        <v>21 Testo +   Saccharin 100</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1819</v>
      </c>
      <c r="D666" s="1" t="s">
        <v>1820</v>
      </c>
      <c r="E666" s="1" t="s">
        <v>1821</v>
      </c>
      <c r="F666" s="1" t="s">
        <v>111</v>
      </c>
      <c r="G666" s="1">
        <v>3053946</v>
      </c>
    </row>
    <row r="667" spans="1:7" x14ac:dyDescent="0.35">
      <c r="A667" s="1" t="str">
        <f t="shared" si="10"/>
        <v>21 Testo +   Saccharin 100</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1822</v>
      </c>
      <c r="D667" s="1" t="s">
        <v>1823</v>
      </c>
      <c r="E667" s="1" t="s">
        <v>1824</v>
      </c>
      <c r="F667" s="1" t="s">
        <v>111</v>
      </c>
      <c r="G667" s="1">
        <v>2518412</v>
      </c>
    </row>
    <row r="668" spans="1:7" x14ac:dyDescent="0.35">
      <c r="A668" s="1" t="str">
        <f t="shared" si="10"/>
        <v>21 Testo +   Saccharin 100</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1825</v>
      </c>
      <c r="D668" s="1" t="s">
        <v>1826</v>
      </c>
      <c r="E668" s="1" t="s">
        <v>1827</v>
      </c>
      <c r="F668" s="1" t="s">
        <v>111</v>
      </c>
      <c r="G668" s="1">
        <v>732215</v>
      </c>
    </row>
    <row r="669" spans="1:7" x14ac:dyDescent="0.35">
      <c r="A669" s="1" t="str">
        <f t="shared" si="10"/>
        <v>21 Testo +   Saccharin 100</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1828</v>
      </c>
      <c r="D669" s="1" t="s">
        <v>1811</v>
      </c>
      <c r="E669" s="1" t="s">
        <v>1829</v>
      </c>
      <c r="F669" s="1" t="s">
        <v>111</v>
      </c>
      <c r="G669" s="1">
        <v>845707</v>
      </c>
    </row>
    <row r="670" spans="1:7" x14ac:dyDescent="0.35">
      <c r="A670" s="1" t="str">
        <f t="shared" si="10"/>
        <v>21 Testo +   Saccharin 100</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1830</v>
      </c>
      <c r="D670" s="1" t="s">
        <v>1319</v>
      </c>
      <c r="E670" s="1" t="s">
        <v>1831</v>
      </c>
      <c r="F670" s="1" t="s">
        <v>111</v>
      </c>
      <c r="G670" s="1">
        <v>44536</v>
      </c>
    </row>
    <row r="671" spans="1:7" x14ac:dyDescent="0.35">
      <c r="A671" s="1" t="str">
        <f t="shared" si="10"/>
        <v>21 Testo +   Saccharin 100</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1832</v>
      </c>
      <c r="D671" s="1" t="s">
        <v>1833</v>
      </c>
      <c r="E671" s="1" t="s">
        <v>1834</v>
      </c>
      <c r="F671" s="1" t="s">
        <v>111</v>
      </c>
      <c r="G671" s="1">
        <v>833746</v>
      </c>
    </row>
    <row r="672" spans="1:7" x14ac:dyDescent="0.35">
      <c r="A672" s="1" t="str">
        <f t="shared" si="10"/>
        <v>21 Testo +   Saccharin 100</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1835</v>
      </c>
      <c r="D672" s="1" t="s">
        <v>1836</v>
      </c>
      <c r="E672" s="1" t="s">
        <v>1837</v>
      </c>
      <c r="F672" s="1" t="s">
        <v>111</v>
      </c>
      <c r="G672" s="1">
        <v>502203</v>
      </c>
    </row>
    <row r="673" spans="1:9" x14ac:dyDescent="0.35">
      <c r="A673" s="1" t="str">
        <f t="shared" si="10"/>
        <v>21 Testo +   Saccharin 100</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1838</v>
      </c>
      <c r="D673" s="1" t="s">
        <v>1839</v>
      </c>
      <c r="E673" s="1" t="s">
        <v>1840</v>
      </c>
      <c r="F673" s="1" t="s">
        <v>111</v>
      </c>
      <c r="G673" s="1">
        <v>1197301</v>
      </c>
    </row>
    <row r="674" spans="1:9" x14ac:dyDescent="0.35">
      <c r="A674" s="1" t="str">
        <f t="shared" si="10"/>
        <v>21 Testo +   Saccharin 100</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1841</v>
      </c>
      <c r="D674" s="1" t="s">
        <v>1842</v>
      </c>
      <c r="E674" s="1" t="s">
        <v>1843</v>
      </c>
      <c r="F674" s="1" t="s">
        <v>111</v>
      </c>
      <c r="G674" s="1">
        <v>341860</v>
      </c>
    </row>
    <row r="675" spans="1:9" x14ac:dyDescent="0.35">
      <c r="A675" s="1" t="str">
        <f t="shared" si="10"/>
        <v>21 Testo +   Saccharin 100</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1844</v>
      </c>
      <c r="D675" s="1" t="s">
        <v>1845</v>
      </c>
      <c r="E675" s="1" t="s">
        <v>1846</v>
      </c>
      <c r="F675" s="1" t="s">
        <v>111</v>
      </c>
      <c r="G675" s="1">
        <v>115677</v>
      </c>
    </row>
    <row r="676" spans="1:9" x14ac:dyDescent="0.35">
      <c r="A676" s="1" t="str">
        <f t="shared" si="10"/>
        <v>21 Testo +   Saccharin 100</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1847</v>
      </c>
      <c r="D676" s="1" t="s">
        <v>211</v>
      </c>
      <c r="E676" s="1" t="s">
        <v>1848</v>
      </c>
      <c r="F676" s="1" t="s">
        <v>111</v>
      </c>
      <c r="G676" s="1">
        <v>40145</v>
      </c>
    </row>
    <row r="677" spans="1:9" x14ac:dyDescent="0.35">
      <c r="A677" s="1" t="str">
        <f t="shared" si="10"/>
        <v>21 Testo +   Saccharin 100</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1849</v>
      </c>
      <c r="D677" s="1" t="s">
        <v>1850</v>
      </c>
      <c r="E677" s="1" t="s">
        <v>1851</v>
      </c>
      <c r="F677" s="1" t="s">
        <v>111</v>
      </c>
      <c r="G677" s="1">
        <v>3098223</v>
      </c>
    </row>
    <row r="678" spans="1:9" x14ac:dyDescent="0.35">
      <c r="A678" s="1" t="str">
        <f t="shared" si="10"/>
        <v>21 Testo +   Saccharin 100</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1852</v>
      </c>
      <c r="D678" s="1" t="s">
        <v>1853</v>
      </c>
      <c r="E678" s="1" t="s">
        <v>1854</v>
      </c>
      <c r="F678" s="1" t="s">
        <v>111</v>
      </c>
      <c r="G678" s="1">
        <v>3101035</v>
      </c>
    </row>
    <row r="679" spans="1:9" x14ac:dyDescent="0.35">
      <c r="A679" s="1" t="str">
        <f t="shared" si="10"/>
        <v>21 Testo +   Saccharin 100</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1855</v>
      </c>
      <c r="D679" s="1" t="s">
        <v>1856</v>
      </c>
      <c r="E679" s="1" t="s">
        <v>1857</v>
      </c>
      <c r="F679" s="1" t="s">
        <v>111</v>
      </c>
      <c r="G679" s="1">
        <v>2649251</v>
      </c>
    </row>
    <row r="680" spans="1:9" x14ac:dyDescent="0.35">
      <c r="A680" s="1" t="str">
        <f t="shared" si="10"/>
        <v>21 Testo +   Saccharin 100</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1858</v>
      </c>
      <c r="D680" s="1" t="s">
        <v>1859</v>
      </c>
      <c r="E680" s="1" t="s">
        <v>1860</v>
      </c>
      <c r="F680" s="1" t="s">
        <v>111</v>
      </c>
      <c r="G680" s="1">
        <v>4458008</v>
      </c>
    </row>
    <row r="681" spans="1:9" x14ac:dyDescent="0.35">
      <c r="A681" s="1" t="str">
        <f t="shared" si="10"/>
        <v>21 Testo +   Saccharin 100</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1861</v>
      </c>
      <c r="D681" s="1" t="s">
        <v>1862</v>
      </c>
      <c r="E681" s="1" t="s">
        <v>1863</v>
      </c>
      <c r="F681" s="1" t="s">
        <v>111</v>
      </c>
      <c r="G681" s="1">
        <v>4286656</v>
      </c>
    </row>
    <row r="682" spans="1:9" x14ac:dyDescent="0.35">
      <c r="A682" s="1" t="str">
        <f t="shared" si="10"/>
        <v>21 Testo +   Saccharin 100</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1864</v>
      </c>
      <c r="D682" s="1" t="s">
        <v>1865</v>
      </c>
      <c r="E682" s="1" t="s">
        <v>1866</v>
      </c>
      <c r="F682" s="1" t="s">
        <v>111</v>
      </c>
      <c r="G682" s="1">
        <v>3477006</v>
      </c>
    </row>
    <row r="683" spans="1:9" x14ac:dyDescent="0.35">
      <c r="A683" s="1" t="str">
        <f t="shared" si="10"/>
        <v>21 Testo +   Saccharin 100</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1867</v>
      </c>
    </row>
    <row r="684" spans="1:9" x14ac:dyDescent="0.35">
      <c r="A684" s="1" t="str">
        <f t="shared" si="10"/>
        <v>21 Testo +   Saccharin 100</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1868</v>
      </c>
      <c r="D684" s="1" t="s">
        <v>262</v>
      </c>
      <c r="E684" s="1" t="s">
        <v>1869</v>
      </c>
      <c r="F684" s="1" t="s">
        <v>111</v>
      </c>
      <c r="G684" s="1">
        <v>542305</v>
      </c>
    </row>
    <row r="685" spans="1:9" x14ac:dyDescent="0.35">
      <c r="A685" s="1" t="str">
        <f t="shared" si="10"/>
        <v>21 Testo +   Saccharin 100</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1870</v>
      </c>
      <c r="D685" s="1" t="s">
        <v>1871</v>
      </c>
      <c r="E685" s="1" t="s">
        <v>1872</v>
      </c>
      <c r="F685" s="1" t="s">
        <v>111</v>
      </c>
      <c r="G685" s="1">
        <v>367795</v>
      </c>
    </row>
    <row r="686" spans="1:9" x14ac:dyDescent="0.3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111</v>
      </c>
    </row>
    <row r="687" spans="1:9" x14ac:dyDescent="0.3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234</v>
      </c>
      <c r="D687" s="1" t="s">
        <v>111</v>
      </c>
      <c r="E687" s="1" t="s">
        <v>235</v>
      </c>
      <c r="F687" s="1" t="s">
        <v>236</v>
      </c>
      <c r="G687" s="1" t="s">
        <v>237</v>
      </c>
      <c r="H687" s="1" t="s">
        <v>238</v>
      </c>
      <c r="I687" s="1" t="s">
        <v>239</v>
      </c>
    </row>
    <row r="688" spans="1:9" x14ac:dyDescent="0.35">
      <c r="A688" s="1" t="str">
        <f t="shared" si="10"/>
        <v>21 Testo +   Saccharin 100</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1873</v>
      </c>
      <c r="D688" s="1" t="s">
        <v>111</v>
      </c>
      <c r="E688" s="1" t="s">
        <v>1874</v>
      </c>
      <c r="F688" s="1" t="s">
        <v>1875</v>
      </c>
      <c r="G688" s="1" t="s">
        <v>1876</v>
      </c>
      <c r="H688" s="1" t="s">
        <v>1877</v>
      </c>
      <c r="I688" s="1">
        <v>24</v>
      </c>
    </row>
    <row r="689" spans="1:4" x14ac:dyDescent="0.3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111</v>
      </c>
    </row>
    <row r="690" spans="1:4" x14ac:dyDescent="0.3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111</v>
      </c>
    </row>
    <row r="691" spans="1:4" x14ac:dyDescent="0.3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111</v>
      </c>
    </row>
    <row r="692" spans="1:4" x14ac:dyDescent="0.3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111</v>
      </c>
    </row>
    <row r="693" spans="1:4" x14ac:dyDescent="0.3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 t="s">
        <v>111</v>
      </c>
    </row>
    <row r="694" spans="1:4" x14ac:dyDescent="0.3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4" s="1" t="s">
        <v>111</v>
      </c>
    </row>
    <row r="695" spans="1:4" x14ac:dyDescent="0.3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5" s="1" t="s">
        <v>1579</v>
      </c>
    </row>
    <row r="696" spans="1:4" x14ac:dyDescent="0.3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6" s="1">
        <v>504</v>
      </c>
    </row>
    <row r="697" spans="1:4" x14ac:dyDescent="0.3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4" x14ac:dyDescent="0.3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4" x14ac:dyDescent="0.3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4" x14ac:dyDescent="0.3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4" x14ac:dyDescent="0.3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4" x14ac:dyDescent="0.3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4" x14ac:dyDescent="0.3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4" x14ac:dyDescent="0.3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A52" zoomScale="70" zoomScaleNormal="70" zoomScaleSheetLayoutView="40" zoomScalePageLayoutView="30" workbookViewId="0">
      <selection activeCell="B68" sqref="B68:V68"/>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0" t="s">
        <v>43</v>
      </c>
      <c r="B1" s="211"/>
      <c r="C1" s="211"/>
      <c r="D1" s="211"/>
      <c r="E1" s="211"/>
      <c r="F1" s="211"/>
      <c r="G1" s="211"/>
      <c r="H1" s="211"/>
      <c r="I1" s="211"/>
      <c r="J1" s="211"/>
      <c r="K1" s="211"/>
      <c r="L1" s="211"/>
      <c r="M1" s="211"/>
      <c r="N1" s="211"/>
      <c r="O1" s="211"/>
      <c r="P1" s="211"/>
      <c r="Q1" s="211"/>
      <c r="R1" s="211"/>
      <c r="S1" s="211"/>
      <c r="T1" s="211"/>
      <c r="U1" s="211"/>
      <c r="V1" s="211"/>
    </row>
    <row r="2" spans="1:22" customFormat="1" ht="15" thickBot="1" x14ac:dyDescent="0.4"/>
    <row r="3" spans="1:22" ht="15" thickBot="1" x14ac:dyDescent="0.4">
      <c r="A3" s="51" t="s">
        <v>18</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Saccharin-0,01mg/L</v>
      </c>
      <c r="J4" s="35" t="str">
        <f>'Page de garde'!A15</f>
        <v>Saccharin-0,1mg/L</v>
      </c>
      <c r="K4" s="35" t="str">
        <f>'Page de garde'!A16</f>
        <v>Saccharin-1mg/L</v>
      </c>
      <c r="L4" s="35" t="str">
        <f>'Page de garde'!A17</f>
        <v>Saccharin-10mg/L</v>
      </c>
      <c r="M4" s="35" t="str">
        <f>'Page de garde'!A18</f>
        <v>Saccharin-100mg/L</v>
      </c>
      <c r="N4" s="3"/>
      <c r="O4" s="36" t="str">
        <f>'Page de garde'!A35</f>
        <v>Testo -30µg/L</v>
      </c>
      <c r="P4" s="36" t="str">
        <f>'Page de garde'!A36</f>
        <v>Testo 30µg/L + EE2 -64ng/L</v>
      </c>
      <c r="Q4" s="36" t="str">
        <f>'Page de garde'!A37</f>
        <v>Testo 30µg/L + FAD-10mg/L</v>
      </c>
      <c r="R4" s="36" t="str">
        <f>'Page de garde'!A38</f>
        <v>Saccharin-0,01mg/L + Testostérone</v>
      </c>
      <c r="S4" s="36" t="str">
        <f>'Page de garde'!A39</f>
        <v>Saccharin-0,1mg/L + Testostérone</v>
      </c>
      <c r="T4" s="36" t="str">
        <f>'Page de garde'!A40</f>
        <v>Saccharin-1mg/L + Testostérone</v>
      </c>
      <c r="U4" s="36" t="str">
        <f>'Page de garde'!A41</f>
        <v>Saccharin-10mg/L + Testostérone</v>
      </c>
      <c r="V4" s="36" t="str">
        <f>'Page de garde'!A42</f>
        <v>Saccharin-100mg/L + Testostérone</v>
      </c>
    </row>
    <row r="5" spans="1:22" x14ac:dyDescent="0.35">
      <c r="A5" s="220" t="s">
        <v>33</v>
      </c>
      <c r="B5" s="194">
        <v>100778</v>
      </c>
      <c r="C5" s="194">
        <v>241923.5</v>
      </c>
      <c r="D5" s="194">
        <v>66530.333333333328</v>
      </c>
      <c r="E5" s="194">
        <v>213143.5</v>
      </c>
      <c r="F5" s="194">
        <v>2111245.3333333335</v>
      </c>
      <c r="G5" s="194">
        <v>1948886.5</v>
      </c>
      <c r="H5" s="194">
        <v>5139404.666666667</v>
      </c>
      <c r="I5" s="194">
        <v>207748.33333333334</v>
      </c>
      <c r="J5" s="194">
        <v>82345</v>
      </c>
      <c r="K5" s="194">
        <v>232090.5</v>
      </c>
      <c r="L5" s="194">
        <v>70467.666666666672</v>
      </c>
      <c r="M5" s="194">
        <v>116237.66666666667</v>
      </c>
      <c r="N5" s="3"/>
      <c r="O5" s="194">
        <v>2349115.3333333335</v>
      </c>
      <c r="P5" s="194">
        <v>2882242</v>
      </c>
      <c r="Q5" s="194">
        <v>809877.66666666663</v>
      </c>
      <c r="R5" s="194">
        <v>356414</v>
      </c>
      <c r="S5" s="194">
        <v>1325572.6666666667</v>
      </c>
      <c r="T5" s="194">
        <v>1523631.3333333333</v>
      </c>
      <c r="U5" s="194">
        <v>3748439</v>
      </c>
      <c r="V5" s="194">
        <v>753549.66666666663</v>
      </c>
    </row>
    <row r="6" spans="1:22" x14ac:dyDescent="0.35">
      <c r="A6" s="220"/>
      <c r="B6" s="194">
        <v>25937.666666666668</v>
      </c>
      <c r="C6" s="194">
        <v>281993.66666666669</v>
      </c>
      <c r="D6" s="194">
        <v>29882.666666666668</v>
      </c>
      <c r="E6" s="194">
        <v>58430.333333333336</v>
      </c>
      <c r="F6" s="194">
        <v>4250890.5</v>
      </c>
      <c r="G6" s="194">
        <v>3429116.6666666665</v>
      </c>
      <c r="H6" s="194">
        <v>6527780</v>
      </c>
      <c r="I6" s="194">
        <v>234527</v>
      </c>
      <c r="J6" s="194">
        <v>92279.666666666672</v>
      </c>
      <c r="K6" s="194">
        <v>406197</v>
      </c>
      <c r="L6" s="194">
        <v>66436.333333333328</v>
      </c>
      <c r="M6" s="194">
        <v>92529.5</v>
      </c>
      <c r="N6" s="3"/>
      <c r="O6" s="194">
        <v>2667133.6666666665</v>
      </c>
      <c r="P6" s="194"/>
      <c r="Q6" s="194">
        <v>246959.5</v>
      </c>
      <c r="R6" s="194">
        <v>1704798</v>
      </c>
      <c r="S6" s="194">
        <v>4052819</v>
      </c>
      <c r="T6" s="194">
        <v>401558.66666666669</v>
      </c>
      <c r="U6" s="194">
        <v>3640982</v>
      </c>
      <c r="V6" s="194">
        <v>2907814.6666666665</v>
      </c>
    </row>
    <row r="7" spans="1:22" x14ac:dyDescent="0.35">
      <c r="A7" s="220"/>
      <c r="B7" s="194">
        <v>75478.333333333328</v>
      </c>
      <c r="C7" s="194">
        <v>331048.66666666669</v>
      </c>
      <c r="D7" s="194">
        <v>111973.66666666667</v>
      </c>
      <c r="E7" s="194">
        <v>201381.66666666666</v>
      </c>
      <c r="F7" s="194">
        <v>4561653.666666667</v>
      </c>
      <c r="G7" s="194">
        <v>4201687</v>
      </c>
      <c r="H7" s="194">
        <v>5403944.666666667</v>
      </c>
      <c r="I7" s="194">
        <v>317430.66666666669</v>
      </c>
      <c r="J7" s="194">
        <v>142349.33333333334</v>
      </c>
      <c r="K7" s="194">
        <v>127553</v>
      </c>
      <c r="L7" s="194"/>
      <c r="M7" s="194">
        <v>51208.666666666664</v>
      </c>
      <c r="N7" s="3"/>
      <c r="O7" s="194">
        <v>1668063.3333333333</v>
      </c>
      <c r="P7" s="194">
        <v>748177</v>
      </c>
      <c r="Q7" s="194">
        <v>372453.33333333331</v>
      </c>
      <c r="R7" s="194">
        <v>1077739</v>
      </c>
      <c r="S7" s="194">
        <v>1367506.3333333333</v>
      </c>
      <c r="T7" s="194">
        <v>1607490.5</v>
      </c>
      <c r="U7" s="194">
        <v>277237.66666666669</v>
      </c>
      <c r="V7" s="194">
        <v>540819.33333333337</v>
      </c>
    </row>
    <row r="8" spans="1:22" x14ac:dyDescent="0.35">
      <c r="A8" s="220"/>
      <c r="B8" s="194">
        <v>169164.33333333334</v>
      </c>
      <c r="C8" s="194">
        <v>246796.33333333334</v>
      </c>
      <c r="D8" s="194">
        <v>182666.33333333334</v>
      </c>
      <c r="E8" s="194">
        <v>482926</v>
      </c>
      <c r="F8" s="194">
        <v>1993220.5</v>
      </c>
      <c r="G8" s="194">
        <v>2226424.3333333335</v>
      </c>
      <c r="H8" s="194">
        <v>4576598.5</v>
      </c>
      <c r="I8" s="194">
        <v>771823.33333333337</v>
      </c>
      <c r="J8" s="194">
        <v>95738</v>
      </c>
      <c r="K8" s="194">
        <v>70569.333333333328</v>
      </c>
      <c r="L8" s="194">
        <v>63441.333333333336</v>
      </c>
      <c r="M8" s="194">
        <v>101557.5</v>
      </c>
      <c r="N8" s="3"/>
      <c r="O8" s="194">
        <v>1901988.6666666667</v>
      </c>
      <c r="P8" s="194">
        <v>1481002.6666666667</v>
      </c>
      <c r="Q8" s="194">
        <v>90046.333333333328</v>
      </c>
      <c r="R8" s="194">
        <v>2129569.3333333335</v>
      </c>
      <c r="S8" s="194">
        <v>2747818.3333333335</v>
      </c>
      <c r="T8" s="194">
        <v>2706375.6666666665</v>
      </c>
      <c r="U8" s="194">
        <v>887633</v>
      </c>
      <c r="V8" s="194">
        <v>844416.66666666663</v>
      </c>
    </row>
    <row r="9" spans="1:22" x14ac:dyDescent="0.35">
      <c r="A9" s="220"/>
      <c r="B9" s="194">
        <v>368849.33333333331</v>
      </c>
      <c r="C9" s="194">
        <v>923787.66666666663</v>
      </c>
      <c r="D9" s="194">
        <v>255766</v>
      </c>
      <c r="E9" s="194">
        <v>162870.33333333334</v>
      </c>
      <c r="F9" s="194">
        <v>2789904.3333333335</v>
      </c>
      <c r="G9" s="194">
        <v>3163540</v>
      </c>
      <c r="H9" s="194">
        <v>8773427</v>
      </c>
      <c r="I9" s="194">
        <v>1367604.5</v>
      </c>
      <c r="J9" s="194">
        <v>454399.33333333331</v>
      </c>
      <c r="K9" s="194">
        <v>145213.33333333334</v>
      </c>
      <c r="L9" s="194">
        <v>149810.66666666666</v>
      </c>
      <c r="M9" s="194">
        <v>54254</v>
      </c>
      <c r="N9" s="3"/>
      <c r="O9" s="194">
        <v>1949201.6666666667</v>
      </c>
      <c r="P9" s="194">
        <v>3123223</v>
      </c>
      <c r="Q9" s="194">
        <v>31274.666666666668</v>
      </c>
      <c r="R9" s="194">
        <v>3009581.3333333335</v>
      </c>
      <c r="S9" s="194">
        <v>2241985.3333333335</v>
      </c>
      <c r="T9" s="194">
        <v>2701631.6666666665</v>
      </c>
      <c r="U9" s="194">
        <v>2509587</v>
      </c>
      <c r="V9" s="194">
        <v>165894</v>
      </c>
    </row>
    <row r="10" spans="1:22" x14ac:dyDescent="0.35">
      <c r="A10" s="220"/>
      <c r="B10" s="194">
        <v>26677.333333333332</v>
      </c>
      <c r="C10" s="194">
        <v>274329.33333333331</v>
      </c>
      <c r="D10" s="194"/>
      <c r="E10" s="194">
        <v>993153.33333333337</v>
      </c>
      <c r="F10" s="194">
        <v>2726470.6666666665</v>
      </c>
      <c r="G10" s="194">
        <v>3929997</v>
      </c>
      <c r="H10" s="194">
        <v>6291715.333333333</v>
      </c>
      <c r="I10" s="194">
        <v>167794.33333333334</v>
      </c>
      <c r="J10" s="194">
        <v>300825.33333333331</v>
      </c>
      <c r="K10" s="194">
        <v>64434.666666666664</v>
      </c>
      <c r="L10" s="194">
        <v>182666</v>
      </c>
      <c r="M10" s="194">
        <v>123278.66666666667</v>
      </c>
      <c r="N10" s="3"/>
      <c r="O10" s="194">
        <v>394907</v>
      </c>
      <c r="P10" s="194">
        <v>5152572.666666667</v>
      </c>
      <c r="Q10" s="194">
        <v>439099.66666666669</v>
      </c>
      <c r="R10" s="194">
        <v>1426393.6666666667</v>
      </c>
      <c r="S10" s="194">
        <v>1279831.3333333333</v>
      </c>
      <c r="T10" s="194">
        <v>74720.5</v>
      </c>
      <c r="U10" s="194">
        <v>1531497.6666666667</v>
      </c>
      <c r="V10" s="194">
        <v>2949503</v>
      </c>
    </row>
    <row r="11" spans="1:22" x14ac:dyDescent="0.35">
      <c r="A11" s="220"/>
      <c r="B11" s="194">
        <v>318271.66666666669</v>
      </c>
      <c r="C11" s="194">
        <v>698041.66666666663</v>
      </c>
      <c r="D11" s="194">
        <v>131523.66666666666</v>
      </c>
      <c r="E11" s="194">
        <v>270928.33333333331</v>
      </c>
      <c r="F11" s="194">
        <v>1694102.3333333333</v>
      </c>
      <c r="G11" s="194">
        <v>3123505.6666666665</v>
      </c>
      <c r="H11" s="194">
        <v>6190843.333333333</v>
      </c>
      <c r="I11" s="194">
        <v>68364.666666666672</v>
      </c>
      <c r="J11" s="194">
        <v>254323</v>
      </c>
      <c r="K11" s="194">
        <v>82497.666666666672</v>
      </c>
      <c r="L11" s="194">
        <v>134453</v>
      </c>
      <c r="M11" s="194">
        <v>33914.333333333336</v>
      </c>
      <c r="N11" s="3"/>
      <c r="O11" s="194">
        <v>2356040.6666666665</v>
      </c>
      <c r="P11" s="194">
        <v>4842929.666666667</v>
      </c>
      <c r="Q11" s="194">
        <v>147730</v>
      </c>
      <c r="R11" s="194">
        <v>2784140</v>
      </c>
      <c r="S11" s="194">
        <v>1154247.3333333333</v>
      </c>
      <c r="T11" s="194">
        <v>542521</v>
      </c>
      <c r="U11" s="194">
        <v>3290786.6666666665</v>
      </c>
      <c r="V11" s="194">
        <v>4073890</v>
      </c>
    </row>
    <row r="12" spans="1:22" x14ac:dyDescent="0.35">
      <c r="A12" s="220"/>
      <c r="B12" s="194">
        <v>71316</v>
      </c>
      <c r="C12" s="194">
        <v>68227</v>
      </c>
      <c r="D12" s="194">
        <v>503120.66666666669</v>
      </c>
      <c r="E12" s="194">
        <v>233614</v>
      </c>
      <c r="F12" s="194">
        <v>2149191.3333333335</v>
      </c>
      <c r="G12" s="194">
        <v>1503822.3333333333</v>
      </c>
      <c r="H12" s="194">
        <v>6765874.666666667</v>
      </c>
      <c r="I12" s="194">
        <v>251676.33333333334</v>
      </c>
      <c r="J12" s="194">
        <v>95760</v>
      </c>
      <c r="K12" s="194">
        <v>72128.333333333328</v>
      </c>
      <c r="L12" s="194">
        <v>196849.66666666666</v>
      </c>
      <c r="M12" s="194">
        <v>296068.33333333331</v>
      </c>
      <c r="N12" s="3"/>
      <c r="O12" s="194">
        <v>2716558</v>
      </c>
      <c r="P12" s="194">
        <v>1088935</v>
      </c>
      <c r="Q12" s="194">
        <v>48148.333333333336</v>
      </c>
      <c r="R12" s="194">
        <v>3086241.6666666665</v>
      </c>
      <c r="S12" s="194">
        <v>2817644</v>
      </c>
      <c r="T12" s="194">
        <v>2315718.3333333335</v>
      </c>
      <c r="U12" s="194">
        <v>2825491.6666666665</v>
      </c>
      <c r="V12" s="194">
        <v>455050</v>
      </c>
    </row>
    <row r="13" spans="1:22" ht="16.5" x14ac:dyDescent="0.35">
      <c r="A13" s="220"/>
      <c r="B13" s="14"/>
      <c r="C13" s="13"/>
      <c r="D13" s="32"/>
      <c r="E13" s="32"/>
      <c r="F13" s="32"/>
      <c r="G13" s="32"/>
      <c r="H13" s="32"/>
      <c r="I13" s="32"/>
      <c r="J13" s="32"/>
      <c r="K13" s="13"/>
      <c r="L13" s="13"/>
      <c r="M13" s="13"/>
      <c r="N13" s="3"/>
      <c r="O13" s="194">
        <v>3312016.3333333335</v>
      </c>
      <c r="P13" s="13"/>
      <c r="Q13" s="13"/>
      <c r="R13" s="32"/>
      <c r="S13" s="32"/>
      <c r="T13" s="32"/>
      <c r="U13" s="32"/>
      <c r="V13" s="32"/>
    </row>
    <row r="14" spans="1:22" ht="16.5" x14ac:dyDescent="0.35">
      <c r="A14" s="220"/>
      <c r="B14" s="14"/>
      <c r="C14" s="32"/>
      <c r="D14" s="32"/>
      <c r="E14" s="32"/>
      <c r="F14" s="32"/>
      <c r="G14" s="32"/>
      <c r="H14" s="32"/>
      <c r="I14" s="32"/>
      <c r="J14" s="32"/>
      <c r="K14" s="13"/>
      <c r="L14" s="13"/>
      <c r="M14" s="13"/>
      <c r="N14" s="3"/>
      <c r="O14" s="194">
        <v>3589253.3333333335</v>
      </c>
      <c r="P14" s="13"/>
      <c r="Q14" s="13"/>
      <c r="R14" s="32"/>
      <c r="S14" s="32"/>
      <c r="T14" s="32"/>
      <c r="U14" s="32"/>
      <c r="V14" s="32"/>
    </row>
    <row r="15" spans="1:22" ht="16.5" x14ac:dyDescent="0.35">
      <c r="A15" s="220"/>
      <c r="B15" s="14"/>
      <c r="C15" s="32"/>
      <c r="D15" s="32"/>
      <c r="E15" s="32"/>
      <c r="F15" s="32"/>
      <c r="G15" s="32"/>
      <c r="H15" s="32"/>
      <c r="I15" s="32"/>
      <c r="J15" s="32"/>
      <c r="K15" s="13"/>
      <c r="L15" s="13"/>
      <c r="M15" s="13"/>
      <c r="N15" s="3"/>
      <c r="O15" s="194">
        <v>1654590.6666666667</v>
      </c>
      <c r="P15" s="13"/>
      <c r="Q15" s="13"/>
      <c r="R15" s="32"/>
      <c r="S15" s="32"/>
      <c r="T15" s="32"/>
      <c r="U15" s="32"/>
      <c r="V15" s="32"/>
    </row>
    <row r="16" spans="1:22" ht="16.5" x14ac:dyDescent="0.35">
      <c r="A16" s="220"/>
      <c r="B16" s="14"/>
      <c r="C16" s="32"/>
      <c r="D16" s="32"/>
      <c r="E16" s="32"/>
      <c r="F16" s="32"/>
      <c r="G16" s="32"/>
      <c r="H16" s="32"/>
      <c r="I16" s="32"/>
      <c r="J16" s="32"/>
      <c r="K16" s="13"/>
      <c r="L16" s="13"/>
      <c r="M16" s="13"/>
      <c r="N16" s="3"/>
      <c r="O16" s="194">
        <v>1418595</v>
      </c>
      <c r="P16" s="13"/>
      <c r="Q16" s="13"/>
      <c r="R16" s="32"/>
      <c r="S16" s="32"/>
      <c r="T16" s="32"/>
      <c r="U16" s="32"/>
      <c r="V16" s="32"/>
    </row>
    <row r="17" spans="1:22" ht="16.5" x14ac:dyDescent="0.35">
      <c r="A17" s="220"/>
      <c r="B17" s="14"/>
      <c r="C17" s="32"/>
      <c r="D17" s="32"/>
      <c r="E17" s="32"/>
      <c r="F17" s="32"/>
      <c r="G17" s="32"/>
      <c r="H17" s="32"/>
      <c r="I17" s="32"/>
      <c r="J17" s="32"/>
      <c r="K17" s="13"/>
      <c r="L17" s="13"/>
      <c r="M17" s="13"/>
      <c r="N17" s="3"/>
      <c r="O17" s="194">
        <v>1153869.6666666667</v>
      </c>
      <c r="P17" s="13"/>
      <c r="Q17" s="13"/>
      <c r="R17" s="32"/>
      <c r="S17" s="32"/>
      <c r="T17" s="32"/>
      <c r="U17" s="32"/>
      <c r="V17" s="32"/>
    </row>
    <row r="18" spans="1:22" ht="16.5" x14ac:dyDescent="0.35">
      <c r="A18" s="220"/>
      <c r="B18" s="14"/>
      <c r="C18" s="32"/>
      <c r="D18" s="32"/>
      <c r="E18" s="32"/>
      <c r="F18" s="32"/>
      <c r="G18" s="32"/>
      <c r="H18" s="32"/>
      <c r="I18" s="32"/>
      <c r="J18" s="32"/>
      <c r="K18" s="13"/>
      <c r="L18" s="13"/>
      <c r="M18" s="13"/>
      <c r="N18" s="3"/>
      <c r="O18" s="194">
        <v>2281737</v>
      </c>
      <c r="P18" s="13"/>
      <c r="Q18" s="13"/>
      <c r="R18" s="32"/>
      <c r="S18" s="32"/>
      <c r="T18" s="32"/>
      <c r="U18" s="32"/>
      <c r="V18" s="32"/>
    </row>
    <row r="19" spans="1:22" ht="16.5" x14ac:dyDescent="0.35">
      <c r="A19" s="220"/>
      <c r="B19" s="14"/>
      <c r="C19" s="32"/>
      <c r="D19" s="32"/>
      <c r="E19" s="32"/>
      <c r="F19" s="32"/>
      <c r="G19" s="32"/>
      <c r="H19" s="32"/>
      <c r="I19" s="32"/>
      <c r="J19" s="32"/>
      <c r="K19" s="13"/>
      <c r="L19" s="13"/>
      <c r="M19" s="13"/>
      <c r="N19" s="3"/>
      <c r="O19" s="194">
        <v>2938736.6666666665</v>
      </c>
      <c r="P19" s="13"/>
      <c r="Q19" s="13"/>
      <c r="R19" s="32"/>
      <c r="S19" s="32"/>
      <c r="T19" s="32"/>
      <c r="U19" s="32"/>
      <c r="V19" s="32"/>
    </row>
    <row r="20" spans="1:22" ht="16.5" x14ac:dyDescent="0.35">
      <c r="A20" s="220"/>
      <c r="B20" s="14"/>
      <c r="C20" s="32"/>
      <c r="D20" s="32"/>
      <c r="E20" s="32"/>
      <c r="F20" s="32"/>
      <c r="G20" s="32"/>
      <c r="H20" s="32"/>
      <c r="I20" s="32"/>
      <c r="J20" s="32"/>
      <c r="K20" s="13"/>
      <c r="L20" s="13"/>
      <c r="M20" s="13"/>
      <c r="N20" s="3"/>
      <c r="O20" s="194"/>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Saccharin-0,01mg/L</v>
      </c>
      <c r="J22" s="3" t="str">
        <f t="shared" si="0"/>
        <v>Saccharin-0,1mg/L</v>
      </c>
      <c r="K22" s="3" t="str">
        <f t="shared" si="0"/>
        <v>Saccharin-1mg/L</v>
      </c>
      <c r="L22" s="3" t="str">
        <f t="shared" si="0"/>
        <v>Saccharin-10mg/L</v>
      </c>
      <c r="M22" s="3" t="str">
        <f t="shared" si="0"/>
        <v>Saccharin-100mg/L</v>
      </c>
      <c r="N22" s="3" t="s">
        <v>41</v>
      </c>
      <c r="O22" s="3" t="str">
        <f t="shared" si="0"/>
        <v>Testo -30µg/L</v>
      </c>
      <c r="P22" s="3" t="str">
        <f t="shared" si="0"/>
        <v>Testo 30µg/L + EE2 -64ng/L</v>
      </c>
      <c r="Q22" s="3" t="str">
        <f t="shared" si="0"/>
        <v>Testo 30µg/L + FAD-10mg/L</v>
      </c>
      <c r="R22" s="3" t="str">
        <f t="shared" si="0"/>
        <v>Saccharin-0,01mg/L + Testostérone</v>
      </c>
      <c r="S22" s="3" t="str">
        <f t="shared" si="0"/>
        <v>Saccharin-0,1mg/L + Testostérone</v>
      </c>
      <c r="T22" s="3" t="str">
        <f t="shared" si="0"/>
        <v>Saccharin-1mg/L + Testostérone</v>
      </c>
      <c r="U22" s="3" t="str">
        <f t="shared" si="0"/>
        <v>Saccharin-10mg/L + Testostérone</v>
      </c>
      <c r="V22" s="3" t="str">
        <f t="shared" si="0"/>
        <v>Saccharin-100mg/L + Testostérone</v>
      </c>
    </row>
    <row r="23" spans="1:22" x14ac:dyDescent="0.35">
      <c r="A23" s="5" t="s">
        <v>0</v>
      </c>
      <c r="B23" s="5">
        <f t="shared" ref="B23:J23" si="1">AVERAGE(B5:B20)</f>
        <v>144559.08333333334</v>
      </c>
      <c r="C23" s="5">
        <f t="shared" si="1"/>
        <v>383268.47916666669</v>
      </c>
      <c r="D23" s="5">
        <f t="shared" si="1"/>
        <v>183066.19047619047</v>
      </c>
      <c r="E23" s="5">
        <f t="shared" si="1"/>
        <v>327055.9375</v>
      </c>
      <c r="F23" s="5">
        <f t="shared" si="1"/>
        <v>2784584.833333333</v>
      </c>
      <c r="G23" s="5">
        <f t="shared" si="1"/>
        <v>2940872.4375</v>
      </c>
      <c r="H23" s="5">
        <f t="shared" si="1"/>
        <v>6208698.520833334</v>
      </c>
      <c r="I23" s="5">
        <f t="shared" si="1"/>
        <v>423371.14583333337</v>
      </c>
      <c r="J23" s="5">
        <f t="shared" si="1"/>
        <v>189752.45833333331</v>
      </c>
      <c r="K23" s="5"/>
      <c r="L23" s="5">
        <f>AVERAGE(L5:L20)</f>
        <v>123446.38095238095</v>
      </c>
      <c r="M23" s="5"/>
      <c r="N23" s="5" t="s">
        <v>0</v>
      </c>
      <c r="O23" s="5">
        <f>AVERAGE(O5:O20)</f>
        <v>2156787.1333333333</v>
      </c>
      <c r="P23" s="5">
        <f>AVERAGE(P5:P20)</f>
        <v>2759868.8571428573</v>
      </c>
      <c r="Q23" s="5">
        <f>AVERAGE(Q5:Q20)</f>
        <v>273198.6875</v>
      </c>
      <c r="R23" s="5">
        <f>AVERAGE(R5:R20)</f>
        <v>1946859.625</v>
      </c>
      <c r="S23" s="5">
        <f>AVERAGE(S5:S20)</f>
        <v>2123428.041666667</v>
      </c>
      <c r="T23" s="5">
        <f t="shared" ref="T23:V23" si="2">AVERAGE(T5:T20)</f>
        <v>1484205.9583333333</v>
      </c>
      <c r="U23" s="5">
        <f t="shared" si="2"/>
        <v>2338956.8333333335</v>
      </c>
      <c r="V23" s="5">
        <f t="shared" si="2"/>
        <v>1586367.1666666665</v>
      </c>
    </row>
    <row r="24" spans="1:22" x14ac:dyDescent="0.35">
      <c r="A24" s="3" t="s">
        <v>1</v>
      </c>
      <c r="B24" s="3">
        <f t="shared" ref="B24:J24" si="3">STDEV(B5:B20)</f>
        <v>131533.93163015883</v>
      </c>
      <c r="C24" s="3">
        <f t="shared" si="3"/>
        <v>281310.3443589388</v>
      </c>
      <c r="D24" s="3">
        <f t="shared" si="3"/>
        <v>159413.96142803773</v>
      </c>
      <c r="E24" s="3">
        <f t="shared" si="3"/>
        <v>294654.6681769084</v>
      </c>
      <c r="F24" s="3">
        <f t="shared" si="3"/>
        <v>1067972.1821505567</v>
      </c>
      <c r="G24" s="3">
        <f t="shared" si="3"/>
        <v>959830.64904205885</v>
      </c>
      <c r="H24" s="3">
        <f t="shared" si="3"/>
        <v>1279066.0436940789</v>
      </c>
      <c r="I24" s="3">
        <f t="shared" si="3"/>
        <v>435431.2253196736</v>
      </c>
      <c r="J24" s="3">
        <f t="shared" si="3"/>
        <v>134961.46060428681</v>
      </c>
      <c r="K24" s="3"/>
      <c r="L24" s="3">
        <f>STDEV(L5:L20)</f>
        <v>56816.550250990083</v>
      </c>
      <c r="M24" s="3"/>
      <c r="N24" s="3" t="s">
        <v>1</v>
      </c>
      <c r="O24" s="3">
        <f>STDEV(O5:O20)</f>
        <v>841687.05917474721</v>
      </c>
      <c r="P24" s="3">
        <f>STDEV(P5:P20)</f>
        <v>1764728.4064737461</v>
      </c>
      <c r="Q24" s="3">
        <f>STDEV(Q5:Q20)</f>
        <v>263099.52255874278</v>
      </c>
      <c r="R24" s="3">
        <f>STDEV(R5:R20)</f>
        <v>983895.80757011345</v>
      </c>
      <c r="S24" s="3">
        <f>STDEV(S5:S20)</f>
        <v>1032843.6346113518</v>
      </c>
      <c r="T24" s="3">
        <f t="shared" ref="T24:V24" si="4">STDEV(T5:T20)</f>
        <v>1050818.4154418502</v>
      </c>
      <c r="U24" s="3">
        <f t="shared" si="4"/>
        <v>1301797.5176911317</v>
      </c>
      <c r="V24" s="3">
        <f t="shared" si="4"/>
        <v>1484539.4184771616</v>
      </c>
    </row>
    <row r="25" spans="1:22" ht="15" thickBot="1" x14ac:dyDescent="0.4"/>
    <row r="26" spans="1:22" ht="15" thickBot="1" x14ac:dyDescent="0.4">
      <c r="B26" s="218" t="s">
        <v>6</v>
      </c>
      <c r="C26" s="219"/>
      <c r="D26" s="219"/>
      <c r="E26" s="219"/>
      <c r="F26" s="219"/>
      <c r="G26" s="219"/>
      <c r="H26" s="219"/>
      <c r="I26" s="219"/>
      <c r="J26" s="219"/>
      <c r="K26" s="219"/>
      <c r="L26" s="219"/>
      <c r="M26" s="219"/>
      <c r="O26" s="218" t="s">
        <v>3</v>
      </c>
      <c r="P26" s="219"/>
      <c r="Q26" s="219"/>
      <c r="R26" s="219"/>
      <c r="S26" s="219"/>
      <c r="T26" s="219"/>
      <c r="U26" s="219"/>
      <c r="V26" s="21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Saccharin-0,01mg/L</v>
      </c>
      <c r="J27" s="35" t="str">
        <f t="shared" si="5"/>
        <v>Saccharin-0,1mg/L</v>
      </c>
      <c r="K27" s="35" t="str">
        <f t="shared" si="5"/>
        <v>Saccharin-1mg/L</v>
      </c>
      <c r="L27" s="35" t="str">
        <f t="shared" si="5"/>
        <v>Saccharin-10mg/L</v>
      </c>
      <c r="M27" s="35" t="str">
        <f t="shared" si="5"/>
        <v>Saccharin-100mg/L</v>
      </c>
      <c r="N27" s="3"/>
      <c r="O27" s="36" t="str">
        <f>O4</f>
        <v>Testo -30µg/L</v>
      </c>
      <c r="P27" s="36" t="str">
        <f t="shared" ref="P27:R27" si="6">P4</f>
        <v>Testo 30µg/L + EE2 -64ng/L</v>
      </c>
      <c r="Q27" s="36" t="str">
        <f t="shared" si="6"/>
        <v>Testo 30µg/L + FAD-10mg/L</v>
      </c>
      <c r="R27" s="36" t="str">
        <f t="shared" si="6"/>
        <v>Saccharin-0,01mg/L + Testostérone</v>
      </c>
      <c r="S27" s="36" t="str">
        <f t="shared" ref="S27:V27" si="7">S4</f>
        <v>Saccharin-0,1mg/L + Testostérone</v>
      </c>
      <c r="T27" s="36" t="str">
        <f t="shared" si="7"/>
        <v>Saccharin-1mg/L + Testostérone</v>
      </c>
      <c r="U27" s="36" t="str">
        <f t="shared" si="7"/>
        <v>Saccharin-10mg/L + Testostérone</v>
      </c>
      <c r="V27" s="36" t="str">
        <f t="shared" si="7"/>
        <v>Saccharin-100mg/L + Testostérone</v>
      </c>
    </row>
    <row r="28" spans="1:22" x14ac:dyDescent="0.35">
      <c r="A28" s="221" t="s">
        <v>34</v>
      </c>
      <c r="B28" s="11">
        <f t="shared" ref="B28:M28" si="8">IF(B5="","",(B5/$O$23))</f>
        <v>4.6725983497614212E-2</v>
      </c>
      <c r="C28" s="11">
        <f t="shared" si="8"/>
        <v>0.11216846403664563</v>
      </c>
      <c r="D28" s="11">
        <f t="shared" si="8"/>
        <v>3.0846963200540853E-2</v>
      </c>
      <c r="E28" s="11">
        <f t="shared" si="8"/>
        <v>9.8824541701797372E-2</v>
      </c>
      <c r="F28" s="11">
        <f t="shared" si="8"/>
        <v>0.97888442521927765</v>
      </c>
      <c r="G28" s="11">
        <f t="shared" si="8"/>
        <v>0.90360632715198874</v>
      </c>
      <c r="H28" s="11">
        <f t="shared" si="8"/>
        <v>2.3828984266628446</v>
      </c>
      <c r="I28" s="11">
        <f t="shared" si="8"/>
        <v>9.632305855434907E-2</v>
      </c>
      <c r="J28" s="11">
        <f t="shared" si="8"/>
        <v>3.8179474797188299E-2</v>
      </c>
      <c r="K28" s="11">
        <f t="shared" si="8"/>
        <v>0.1076093678476754</v>
      </c>
      <c r="L28" s="11">
        <f t="shared" si="8"/>
        <v>3.2672518106948406E-2</v>
      </c>
      <c r="M28" s="11">
        <f t="shared" si="8"/>
        <v>5.389389841500971E-2</v>
      </c>
      <c r="N28" s="6"/>
      <c r="O28" s="11">
        <f t="shared" ref="O28:S37" si="9">IF(O5="","",(O5/$O$23))</f>
        <v>1.0891734733704366</v>
      </c>
      <c r="P28" s="11">
        <f t="shared" si="9"/>
        <v>1.3363590478887315</v>
      </c>
      <c r="Q28" s="11">
        <f t="shared" si="9"/>
        <v>0.37550190009479223</v>
      </c>
      <c r="R28" s="11">
        <f t="shared" si="9"/>
        <v>0.16525228405325243</v>
      </c>
      <c r="S28" s="11">
        <f t="shared" si="9"/>
        <v>0.61460523673376266</v>
      </c>
      <c r="T28" s="11">
        <f t="shared" ref="T28:V43" si="10">IF(T5="","",(T5/$O$23))</f>
        <v>0.70643565597433244</v>
      </c>
      <c r="U28" s="11">
        <f t="shared" si="10"/>
        <v>1.7379735543056374</v>
      </c>
      <c r="V28" s="11">
        <f t="shared" si="10"/>
        <v>0.34938527544999265</v>
      </c>
    </row>
    <row r="29" spans="1:22" x14ac:dyDescent="0.35">
      <c r="A29" s="221"/>
      <c r="B29" s="11">
        <f t="shared" ref="B29:M29" si="11">IF(B6="","",(B6/$O$23))</f>
        <v>1.202606704472489E-2</v>
      </c>
      <c r="C29" s="11">
        <f t="shared" si="11"/>
        <v>0.13074710169975978</v>
      </c>
      <c r="D29" s="11">
        <f t="shared" si="11"/>
        <v>1.3855176621200789E-2</v>
      </c>
      <c r="E29" s="11">
        <f t="shared" si="11"/>
        <v>2.7091376997890722E-2</v>
      </c>
      <c r="F29" s="11">
        <f t="shared" si="11"/>
        <v>1.970936507503275</v>
      </c>
      <c r="G29" s="11">
        <f t="shared" si="11"/>
        <v>1.5899189185939444</v>
      </c>
      <c r="H29" s="11">
        <f t="shared" si="11"/>
        <v>3.0266222841895662</v>
      </c>
      <c r="I29" s="11">
        <f t="shared" si="11"/>
        <v>0.10873905745048491</v>
      </c>
      <c r="J29" s="11">
        <f t="shared" si="11"/>
        <v>4.2785709002282318E-2</v>
      </c>
      <c r="K29" s="11">
        <f t="shared" si="11"/>
        <v>0.18833430231578718</v>
      </c>
      <c r="L29" s="11">
        <f t="shared" si="11"/>
        <v>3.0803379854485405E-2</v>
      </c>
      <c r="M29" s="11">
        <f t="shared" si="11"/>
        <v>4.2901544881248831E-2</v>
      </c>
      <c r="N29" s="6"/>
      <c r="O29" s="11">
        <f t="shared" si="9"/>
        <v>1.2366235060687645</v>
      </c>
      <c r="P29" s="11" t="str">
        <f t="shared" si="9"/>
        <v/>
      </c>
      <c r="Q29" s="11">
        <f t="shared" si="9"/>
        <v>0.11450341861893526</v>
      </c>
      <c r="R29" s="11">
        <f t="shared" si="9"/>
        <v>0.79043405519821508</v>
      </c>
      <c r="S29" s="11">
        <f t="shared" si="9"/>
        <v>1.8791001380541124</v>
      </c>
      <c r="T29" s="11">
        <f t="shared" si="10"/>
        <v>0.18618372692443425</v>
      </c>
      <c r="U29" s="11">
        <f t="shared" si="10"/>
        <v>1.6881508349749985</v>
      </c>
      <c r="V29" s="11">
        <f t="shared" si="10"/>
        <v>1.3482158817280283</v>
      </c>
    </row>
    <row r="30" spans="1:22" x14ac:dyDescent="0.35">
      <c r="A30" s="221"/>
      <c r="B30" s="11">
        <f t="shared" ref="B30:M30" si="12">IF(B7="","",(B7/$O$23))</f>
        <v>3.4995726822925219E-2</v>
      </c>
      <c r="C30" s="11">
        <f t="shared" si="12"/>
        <v>0.15349158085667364</v>
      </c>
      <c r="D30" s="11">
        <f t="shared" si="12"/>
        <v>5.1916883653515863E-2</v>
      </c>
      <c r="E30" s="11">
        <f t="shared" si="12"/>
        <v>9.3371136888891551E-2</v>
      </c>
      <c r="F30" s="11">
        <f t="shared" si="12"/>
        <v>2.1150226631853983</v>
      </c>
      <c r="G30" s="11">
        <f t="shared" si="12"/>
        <v>1.9481231759326458</v>
      </c>
      <c r="H30" s="11">
        <f t="shared" si="12"/>
        <v>2.5055530901256926</v>
      </c>
      <c r="I30" s="11">
        <f t="shared" si="12"/>
        <v>0.1471775595100453</v>
      </c>
      <c r="J30" s="11">
        <f t="shared" si="12"/>
        <v>6.6000641015198938E-2</v>
      </c>
      <c r="K30" s="11">
        <f t="shared" si="12"/>
        <v>5.9140282334152153E-2</v>
      </c>
      <c r="L30" s="11" t="str">
        <f t="shared" si="12"/>
        <v/>
      </c>
      <c r="M30" s="11">
        <f t="shared" si="12"/>
        <v>2.3743032344375692E-2</v>
      </c>
      <c r="N30" s="6"/>
      <c r="O30" s="11">
        <f t="shared" si="9"/>
        <v>0.77340193084114284</v>
      </c>
      <c r="P30" s="11">
        <f t="shared" si="9"/>
        <v>0.34689422448644058</v>
      </c>
      <c r="Q30" s="11">
        <f t="shared" si="9"/>
        <v>0.17268896293798983</v>
      </c>
      <c r="R30" s="11">
        <f t="shared" si="9"/>
        <v>0.49969650845159902</v>
      </c>
      <c r="S30" s="11">
        <f t="shared" si="9"/>
        <v>0.63404789104979509</v>
      </c>
      <c r="T30" s="11">
        <f t="shared" si="10"/>
        <v>0.7453171781100203</v>
      </c>
      <c r="U30" s="11">
        <f t="shared" si="10"/>
        <v>0.12854196985040126</v>
      </c>
      <c r="V30" s="11">
        <f t="shared" si="10"/>
        <v>0.25075229955470496</v>
      </c>
    </row>
    <row r="31" spans="1:22" x14ac:dyDescent="0.35">
      <c r="A31" s="221"/>
      <c r="B31" s="11">
        <f t="shared" ref="B31:M31" si="13">IF(B8="","",(B8/$O$23))</f>
        <v>7.8433485956441326E-2</v>
      </c>
      <c r="C31" s="11">
        <f t="shared" si="13"/>
        <v>0.11442776596682838</v>
      </c>
      <c r="D31" s="11">
        <f t="shared" si="13"/>
        <v>8.4693723599426771E-2</v>
      </c>
      <c r="E31" s="11">
        <f t="shared" si="13"/>
        <v>0.22390990401247141</v>
      </c>
      <c r="F31" s="11">
        <f t="shared" si="13"/>
        <v>0.92416190230116047</v>
      </c>
      <c r="G31" s="11">
        <f t="shared" si="13"/>
        <v>1.0322874700631097</v>
      </c>
      <c r="H31" s="11">
        <f t="shared" si="13"/>
        <v>2.12195187428016</v>
      </c>
      <c r="I31" s="11">
        <f t="shared" si="13"/>
        <v>0.35785790883334589</v>
      </c>
      <c r="J31" s="11">
        <f t="shared" si="13"/>
        <v>4.4389174304854132E-2</v>
      </c>
      <c r="K31" s="11">
        <f t="shared" si="13"/>
        <v>3.2719656123072198E-2</v>
      </c>
      <c r="L31" s="11">
        <f t="shared" si="13"/>
        <v>2.9414740264740082E-2</v>
      </c>
      <c r="M31" s="11">
        <f t="shared" si="13"/>
        <v>4.7087400713042085E-2</v>
      </c>
      <c r="N31" s="6"/>
      <c r="O31" s="11">
        <f t="shared" si="9"/>
        <v>0.88186202396669844</v>
      </c>
      <c r="P31" s="11">
        <f t="shared" si="9"/>
        <v>0.68667076308906028</v>
      </c>
      <c r="Q31" s="11">
        <f t="shared" si="9"/>
        <v>4.175021815628413E-2</v>
      </c>
      <c r="R31" s="11">
        <f t="shared" si="9"/>
        <v>0.98738039578438397</v>
      </c>
      <c r="S31" s="11">
        <f t="shared" si="9"/>
        <v>1.274033162969846</v>
      </c>
      <c r="T31" s="11">
        <f t="shared" si="10"/>
        <v>1.2548181620890604</v>
      </c>
      <c r="U31" s="11">
        <f t="shared" si="10"/>
        <v>0.411553363928018</v>
      </c>
      <c r="V31" s="11">
        <f t="shared" si="10"/>
        <v>0.39151599785446295</v>
      </c>
    </row>
    <row r="32" spans="1:22" x14ac:dyDescent="0.35">
      <c r="A32" s="221"/>
      <c r="B32" s="11">
        <f t="shared" ref="B32:M32" si="14">IF(B9="","",(B9/$O$23))</f>
        <v>0.17101795890411933</v>
      </c>
      <c r="C32" s="11">
        <f t="shared" si="14"/>
        <v>0.42831656976687577</v>
      </c>
      <c r="D32" s="11">
        <f t="shared" si="14"/>
        <v>0.11858657539592765</v>
      </c>
      <c r="E32" s="11">
        <f t="shared" si="14"/>
        <v>7.5515256381196882E-2</v>
      </c>
      <c r="F32" s="11">
        <f t="shared" si="14"/>
        <v>1.2935464470346278</v>
      </c>
      <c r="G32" s="11">
        <f t="shared" si="14"/>
        <v>1.4667836019175065</v>
      </c>
      <c r="H32" s="11">
        <f t="shared" si="14"/>
        <v>4.0678223939701423</v>
      </c>
      <c r="I32" s="11">
        <f t="shared" si="14"/>
        <v>0.63409340628175737</v>
      </c>
      <c r="J32" s="11">
        <f t="shared" si="14"/>
        <v>0.21068344034075129</v>
      </c>
      <c r="K32" s="11">
        <f t="shared" si="14"/>
        <v>6.7328542112037204E-2</v>
      </c>
      <c r="L32" s="11">
        <f t="shared" si="14"/>
        <v>6.9460107746068089E-2</v>
      </c>
      <c r="M32" s="11">
        <f t="shared" si="14"/>
        <v>2.5155009115874115E-2</v>
      </c>
      <c r="N32" s="6"/>
      <c r="O32" s="11">
        <f t="shared" si="9"/>
        <v>0.90375245500197254</v>
      </c>
      <c r="P32" s="11">
        <f t="shared" si="9"/>
        <v>1.4480905193332787</v>
      </c>
      <c r="Q32" s="11">
        <f t="shared" si="9"/>
        <v>1.4500581064915478E-2</v>
      </c>
      <c r="R32" s="11">
        <f t="shared" si="9"/>
        <v>1.3954002631135876</v>
      </c>
      <c r="S32" s="11">
        <f t="shared" si="9"/>
        <v>1.0395023684457565</v>
      </c>
      <c r="T32" s="11">
        <f t="shared" si="10"/>
        <v>1.2526185940711132</v>
      </c>
      <c r="U32" s="11">
        <f t="shared" si="10"/>
        <v>1.1635765816728567</v>
      </c>
      <c r="V32" s="11">
        <f t="shared" si="10"/>
        <v>7.6917187345980395E-2</v>
      </c>
    </row>
    <row r="33" spans="1:22" x14ac:dyDescent="0.35">
      <c r="A33" s="221"/>
      <c r="B33" s="11">
        <f t="shared" ref="B33:M33" si="15">IF(B10="","",(B10/$O$23))</f>
        <v>1.2369015430884587E-2</v>
      </c>
      <c r="C33" s="11">
        <f t="shared" si="15"/>
        <v>0.12719351348751554</v>
      </c>
      <c r="D33" s="11" t="str">
        <f t="shared" si="15"/>
        <v/>
      </c>
      <c r="E33" s="11">
        <f t="shared" si="15"/>
        <v>0.46047814268921672</v>
      </c>
      <c r="F33" s="11">
        <f t="shared" si="15"/>
        <v>1.2641352614399559</v>
      </c>
      <c r="G33" s="11">
        <f t="shared" si="15"/>
        <v>1.8221533962538785</v>
      </c>
      <c r="H33" s="11">
        <f t="shared" si="15"/>
        <v>2.9171702835640678</v>
      </c>
      <c r="I33" s="11">
        <f t="shared" si="15"/>
        <v>7.7798281870314082E-2</v>
      </c>
      <c r="J33" s="11">
        <f t="shared" si="15"/>
        <v>0.13947845324373997</v>
      </c>
      <c r="K33" s="11">
        <f t="shared" si="15"/>
        <v>2.9875301864900467E-2</v>
      </c>
      <c r="L33" s="11">
        <f t="shared" si="15"/>
        <v>8.4693569048554226E-2</v>
      </c>
      <c r="M33" s="11">
        <f t="shared" si="15"/>
        <v>5.7158476495609664E-2</v>
      </c>
      <c r="N33" s="6"/>
      <c r="O33" s="11">
        <f t="shared" si="9"/>
        <v>0.18309966426295757</v>
      </c>
      <c r="P33" s="11">
        <f t="shared" si="9"/>
        <v>2.3890038043315482</v>
      </c>
      <c r="Q33" s="11">
        <f t="shared" si="9"/>
        <v>0.20358970984217359</v>
      </c>
      <c r="R33" s="11">
        <f t="shared" si="9"/>
        <v>0.66135115729393423</v>
      </c>
      <c r="S33" s="11">
        <f t="shared" si="9"/>
        <v>0.59339714780073949</v>
      </c>
      <c r="T33" s="11">
        <f t="shared" si="10"/>
        <v>3.4644355414212256E-2</v>
      </c>
      <c r="U33" s="11">
        <f t="shared" si="10"/>
        <v>0.71008290201533419</v>
      </c>
      <c r="V33" s="11">
        <f t="shared" si="10"/>
        <v>1.3675447866018735</v>
      </c>
    </row>
    <row r="34" spans="1:22" x14ac:dyDescent="0.35">
      <c r="A34" s="221"/>
      <c r="B34" s="11">
        <f t="shared" ref="B34:M34" si="16">IF(B11="","",(B11/$O$23))</f>
        <v>0.14756749136145628</v>
      </c>
      <c r="C34" s="11">
        <f t="shared" si="16"/>
        <v>0.32364884595163418</v>
      </c>
      <c r="D34" s="11">
        <f t="shared" si="16"/>
        <v>6.0981292327813401E-2</v>
      </c>
      <c r="E34" s="11">
        <f t="shared" si="16"/>
        <v>0.1256166309350201</v>
      </c>
      <c r="F34" s="11">
        <f t="shared" si="16"/>
        <v>0.78547498135111893</v>
      </c>
      <c r="G34" s="11">
        <f t="shared" si="16"/>
        <v>1.44822157847319</v>
      </c>
      <c r="H34" s="11">
        <f t="shared" si="16"/>
        <v>2.8704007167203982</v>
      </c>
      <c r="I34" s="11">
        <f t="shared" si="16"/>
        <v>3.1697456652112203E-2</v>
      </c>
      <c r="J34" s="11">
        <f t="shared" si="16"/>
        <v>0.1179175246687148</v>
      </c>
      <c r="K34" s="11">
        <f t="shared" si="16"/>
        <v>3.825025909681027E-2</v>
      </c>
      <c r="L34" s="11">
        <f t="shared" si="16"/>
        <v>6.2339485395668935E-2</v>
      </c>
      <c r="M34" s="11">
        <f t="shared" si="16"/>
        <v>1.5724469424536317E-2</v>
      </c>
      <c r="N34" s="6"/>
      <c r="O34" s="11">
        <f t="shared" si="9"/>
        <v>1.0923844222982659</v>
      </c>
      <c r="P34" s="11">
        <f t="shared" si="9"/>
        <v>2.2454370168565858</v>
      </c>
      <c r="Q34" s="11">
        <f t="shared" si="9"/>
        <v>6.8495401199691872E-2</v>
      </c>
      <c r="R34" s="11">
        <f t="shared" si="9"/>
        <v>1.2908737987958447</v>
      </c>
      <c r="S34" s="11">
        <f t="shared" si="9"/>
        <v>0.53516979747066362</v>
      </c>
      <c r="T34" s="11">
        <f t="shared" si="10"/>
        <v>0.25154128175900653</v>
      </c>
      <c r="U34" s="11">
        <f t="shared" si="10"/>
        <v>1.525781851999797</v>
      </c>
      <c r="V34" s="11">
        <f t="shared" si="10"/>
        <v>1.8888697623597965</v>
      </c>
    </row>
    <row r="35" spans="1:22" x14ac:dyDescent="0.35">
      <c r="A35" s="221"/>
      <c r="B35" s="11">
        <f t="shared" ref="B35:M35" si="17">IF(B12="","",(B12/$O$23))</f>
        <v>3.3065850077555171E-2</v>
      </c>
      <c r="C35" s="11">
        <f t="shared" si="17"/>
        <v>3.1633627141754397E-2</v>
      </c>
      <c r="D35" s="11">
        <f t="shared" si="17"/>
        <v>0.23327321407425558</v>
      </c>
      <c r="E35" s="11">
        <f t="shared" si="17"/>
        <v>0.10831574261060596</v>
      </c>
      <c r="F35" s="11">
        <f t="shared" si="17"/>
        <v>0.99647818744714944</v>
      </c>
      <c r="G35" s="11">
        <f t="shared" si="17"/>
        <v>0.69725116127207354</v>
      </c>
      <c r="H35" s="11">
        <f t="shared" si="17"/>
        <v>3.1370154996288155</v>
      </c>
      <c r="I35" s="11">
        <f t="shared" si="17"/>
        <v>0.11669039074077069</v>
      </c>
      <c r="J35" s="11">
        <f t="shared" si="17"/>
        <v>4.4399374662441579E-2</v>
      </c>
      <c r="K35" s="11">
        <f t="shared" si="17"/>
        <v>3.3442490553927944E-2</v>
      </c>
      <c r="L35" s="11">
        <f t="shared" si="17"/>
        <v>9.126986322587792E-2</v>
      </c>
      <c r="M35" s="11">
        <f t="shared" si="17"/>
        <v>0.13727285774176384</v>
      </c>
      <c r="N35" s="6"/>
      <c r="O35" s="11">
        <f t="shared" si="9"/>
        <v>1.2595392275924495</v>
      </c>
      <c r="P35" s="11">
        <f t="shared" si="9"/>
        <v>0.50488756315837324</v>
      </c>
      <c r="Q35" s="11">
        <f t="shared" si="9"/>
        <v>2.2324100783613108E-2</v>
      </c>
      <c r="R35" s="11">
        <f t="shared" si="9"/>
        <v>1.4309440273305289</v>
      </c>
      <c r="S35" s="11">
        <f t="shared" si="9"/>
        <v>1.3064080160962879</v>
      </c>
      <c r="T35" s="11">
        <f t="shared" si="10"/>
        <v>1.0736888669000777</v>
      </c>
      <c r="U35" s="11">
        <f t="shared" si="10"/>
        <v>1.3100466072884274</v>
      </c>
      <c r="V35" s="11">
        <f t="shared" si="10"/>
        <v>0.21098512364394359</v>
      </c>
    </row>
    <row r="36" spans="1:22" x14ac:dyDescent="0.35">
      <c r="A36" s="221"/>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1.5356250425208089</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5">
      <c r="A37" s="221"/>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1.6641667032694651</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5">
      <c r="A38" s="221"/>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0.76715529367494073</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5">
      <c r="A39" s="221"/>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0.65773528508005752</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5">
      <c r="A40" s="221"/>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0.53499469133207922</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5">
      <c r="A41" s="221"/>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1.0579333327501614</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5">
      <c r="A42" s="221"/>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1.3625529479697995</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5">
      <c r="A43" s="221"/>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t="str">
        <f t="shared" si="21"/>
        <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Saccharin-0,01mg/L</v>
      </c>
      <c r="J45" s="7" t="str">
        <f t="shared" si="27"/>
        <v>Saccharin-0,1mg/L</v>
      </c>
      <c r="K45" s="7" t="str">
        <f t="shared" ref="K45:M45" si="28">K4</f>
        <v>Saccharin-1mg/L</v>
      </c>
      <c r="L45" s="7" t="str">
        <f t="shared" si="28"/>
        <v>Saccharin-10mg/L</v>
      </c>
      <c r="M45" s="7" t="str">
        <f t="shared" si="28"/>
        <v>Saccharin-100mg/L</v>
      </c>
      <c r="N45" s="7"/>
      <c r="O45" s="7" t="str">
        <f t="shared" si="27"/>
        <v>Testo -30µg/L</v>
      </c>
      <c r="P45" s="7" t="str">
        <f t="shared" si="27"/>
        <v>Testo 30µg/L + EE2 -64ng/L</v>
      </c>
      <c r="Q45" s="7" t="str">
        <f t="shared" si="27"/>
        <v>Testo 30µg/L + FAD-10mg/L</v>
      </c>
      <c r="R45" s="7" t="str">
        <f t="shared" si="27"/>
        <v>Saccharin-0,01mg/L + Testostérone</v>
      </c>
      <c r="S45" s="7" t="str">
        <f t="shared" ref="S45:V45" si="29">S4</f>
        <v>Saccharin-0,1mg/L + Testostérone</v>
      </c>
      <c r="T45" s="7" t="str">
        <f t="shared" si="29"/>
        <v>Saccharin-1mg/L + Testostérone</v>
      </c>
      <c r="U45" s="7" t="str">
        <f t="shared" si="29"/>
        <v>Saccharin-10mg/L + Testostérone</v>
      </c>
      <c r="V45" s="7" t="str">
        <f t="shared" si="29"/>
        <v>Saccharin-100mg/L + Testostérone</v>
      </c>
    </row>
    <row r="46" spans="1:22" x14ac:dyDescent="0.35">
      <c r="A46" s="8" t="s">
        <v>0</v>
      </c>
      <c r="B46" s="10">
        <f t="shared" ref="B46:H46" si="30">AVERAGE(B28:B43)</f>
        <v>6.7025197386965121E-2</v>
      </c>
      <c r="C46" s="10">
        <f t="shared" si="30"/>
        <v>0.17770343361346091</v>
      </c>
      <c r="D46" s="10">
        <f t="shared" si="30"/>
        <v>8.4879118410382981E-2</v>
      </c>
      <c r="E46" s="10">
        <f t="shared" si="30"/>
        <v>0.15164034152713635</v>
      </c>
      <c r="F46" s="10">
        <f t="shared" si="30"/>
        <v>1.2910800469352453</v>
      </c>
      <c r="G46" s="10">
        <f t="shared" si="30"/>
        <v>1.3635432037072919</v>
      </c>
      <c r="H46" s="10">
        <f t="shared" si="30"/>
        <v>2.8786793211427111</v>
      </c>
      <c r="I46" s="10">
        <f>AVERAGE(I28:I43)</f>
        <v>0.19629713998664741</v>
      </c>
      <c r="J46" s="9">
        <f>AVERAGE(J28:J43)</f>
        <v>8.7979224004396422E-2</v>
      </c>
      <c r="K46" s="9">
        <f t="shared" ref="K46:M46" si="31">AVERAGE(K28:K43)</f>
        <v>6.9587525281045337E-2</v>
      </c>
      <c r="L46" s="9">
        <f t="shared" si="31"/>
        <v>5.7236237663191865E-2</v>
      </c>
      <c r="M46" s="9">
        <f t="shared" si="31"/>
        <v>5.0367086141432531E-2</v>
      </c>
      <c r="N46" s="8" t="s">
        <v>0</v>
      </c>
      <c r="O46" s="10">
        <f t="shared" ref="O46:R46" si="32">AVERAGE(O28:O43)</f>
        <v>1.0000000000000002</v>
      </c>
      <c r="P46" s="10">
        <f t="shared" si="32"/>
        <v>1.2796204198777168</v>
      </c>
      <c r="Q46" s="10">
        <f t="shared" si="32"/>
        <v>0.12666928658729942</v>
      </c>
      <c r="R46" s="10">
        <f t="shared" si="32"/>
        <v>0.90266656125266831</v>
      </c>
      <c r="S46" s="10">
        <f t="shared" ref="S46:V46" si="33">AVERAGE(S28:S43)</f>
        <v>0.9845329698276204</v>
      </c>
      <c r="T46" s="10">
        <f t="shared" si="33"/>
        <v>0.68815597765528214</v>
      </c>
      <c r="U46" s="10">
        <f t="shared" si="33"/>
        <v>1.0844634582544339</v>
      </c>
      <c r="V46" s="10">
        <f t="shared" si="33"/>
        <v>0.73552328931734789</v>
      </c>
    </row>
    <row r="47" spans="1:22" x14ac:dyDescent="0.35">
      <c r="A47" s="8" t="s">
        <v>1</v>
      </c>
      <c r="B47" s="8">
        <f t="shared" ref="B47:J47" si="34">STDEV(B28:B43)</f>
        <v>6.0986051705006254E-2</v>
      </c>
      <c r="C47" s="8">
        <f t="shared" si="34"/>
        <v>0.13043027752310965</v>
      </c>
      <c r="D47" s="8">
        <f t="shared" si="34"/>
        <v>7.3912700499869019E-2</v>
      </c>
      <c r="E47" s="8">
        <f t="shared" si="34"/>
        <v>0.13661740819156176</v>
      </c>
      <c r="F47" s="8">
        <f t="shared" si="34"/>
        <v>0.49516809778997412</v>
      </c>
      <c r="G47" s="8">
        <f t="shared" si="34"/>
        <v>0.44502799289173878</v>
      </c>
      <c r="H47" s="8">
        <f t="shared" si="34"/>
        <v>0.59304231925626971</v>
      </c>
      <c r="I47" s="8">
        <f t="shared" si="34"/>
        <v>0.20188882740908742</v>
      </c>
      <c r="J47" s="8">
        <f t="shared" si="34"/>
        <v>6.2575234485798617E-2</v>
      </c>
      <c r="K47" s="8">
        <f t="shared" ref="K47:M47" si="35">STDEV(K28:K43)</f>
        <v>5.4622723830548926E-2</v>
      </c>
      <c r="L47" s="8">
        <f t="shared" si="35"/>
        <v>2.6343142247505721E-2</v>
      </c>
      <c r="M47" s="8">
        <f t="shared" si="35"/>
        <v>3.8214180482318651E-2</v>
      </c>
      <c r="N47" s="8" t="s">
        <v>1</v>
      </c>
      <c r="O47" s="8">
        <f t="shared" ref="O47:R47" si="36">STDEV(O28:O43)</f>
        <v>0.39025040819578322</v>
      </c>
      <c r="P47" s="8">
        <f t="shared" si="36"/>
        <v>0.81822094503426634</v>
      </c>
      <c r="Q47" s="8">
        <f t="shared" si="36"/>
        <v>0.12198678232659899</v>
      </c>
      <c r="R47" s="8">
        <f t="shared" si="36"/>
        <v>0.45618586663649718</v>
      </c>
      <c r="S47" s="8">
        <f t="shared" ref="S47:V47" si="37">STDEV(S28:S43)</f>
        <v>0.47888065477054464</v>
      </c>
      <c r="T47" s="8">
        <f t="shared" si="37"/>
        <v>0.48721470895359087</v>
      </c>
      <c r="U47" s="8">
        <f t="shared" si="37"/>
        <v>0.60358182667716143</v>
      </c>
      <c r="V47" s="8">
        <f t="shared" si="37"/>
        <v>0.68831058732383688</v>
      </c>
    </row>
    <row r="48" spans="1:22" x14ac:dyDescent="0.35">
      <c r="A48" s="8" t="s">
        <v>2</v>
      </c>
      <c r="B48" s="8">
        <f t="shared" ref="B48:J48" si="38" xml:space="preserve"> B47/SQRT(COUNT(B28:B43))</f>
        <v>2.1561825359201665E-2</v>
      </c>
      <c r="C48" s="8">
        <f t="shared" si="38"/>
        <v>4.6114066854317078E-2</v>
      </c>
      <c r="D48" s="8">
        <f t="shared" si="38"/>
        <v>2.7936374893121837E-2</v>
      </c>
      <c r="E48" s="8">
        <f t="shared" si="38"/>
        <v>4.8301547880191954E-2</v>
      </c>
      <c r="F48" s="8">
        <f t="shared" si="38"/>
        <v>0.17506835988726707</v>
      </c>
      <c r="G48" s="8">
        <f t="shared" si="38"/>
        <v>0.15734115579579358</v>
      </c>
      <c r="H48" s="8">
        <f t="shared" si="38"/>
        <v>0.20967212273835287</v>
      </c>
      <c r="I48" s="8">
        <f t="shared" si="38"/>
        <v>7.1378479453383117E-2</v>
      </c>
      <c r="J48" s="8">
        <f t="shared" si="38"/>
        <v>2.2123686319623252E-2</v>
      </c>
      <c r="K48" s="8">
        <f t="shared" ref="K48:M48" si="39" xml:space="preserve"> K47/SQRT(COUNT(K28:K43))</f>
        <v>1.9312049213730587E-2</v>
      </c>
      <c r="L48" s="8">
        <f t="shared" si="39"/>
        <v>9.9567718769856088E-3</v>
      </c>
      <c r="M48" s="8">
        <f t="shared" si="39"/>
        <v>1.3510753078267063E-2</v>
      </c>
      <c r="N48" s="8" t="s">
        <v>2</v>
      </c>
      <c r="O48" s="8">
        <f t="shared" ref="O48:R48" si="40" xml:space="preserve"> O47/SQRT(COUNT(O28:O43))</f>
        <v>0.10076222211952765</v>
      </c>
      <c r="P48" s="8">
        <f t="shared" si="40"/>
        <v>0.30925844829498833</v>
      </c>
      <c r="Q48" s="8">
        <f t="shared" si="40"/>
        <v>4.3128840499132716E-2</v>
      </c>
      <c r="R48" s="8">
        <f t="shared" si="40"/>
        <v>0.16128605989006456</v>
      </c>
      <c r="S48" s="8">
        <f t="shared" ref="S48:V48" si="41" xml:space="preserve"> S47/SQRT(COUNT(S28:S43))</f>
        <v>0.16930987918365303</v>
      </c>
      <c r="T48" s="8">
        <f t="shared" si="41"/>
        <v>0.17225641229745708</v>
      </c>
      <c r="U48" s="8">
        <f t="shared" si="41"/>
        <v>0.21339840132219209</v>
      </c>
      <c r="V48" s="8">
        <f t="shared" si="41"/>
        <v>0.24335454192959016</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44</v>
      </c>
      <c r="B50" s="213"/>
      <c r="C50" s="213"/>
      <c r="D50" s="213"/>
      <c r="E50" s="213"/>
      <c r="F50" s="213"/>
      <c r="G50" s="213"/>
      <c r="H50" s="213"/>
      <c r="I50" s="213"/>
      <c r="J50" s="213"/>
      <c r="K50" s="213"/>
      <c r="L50" s="213"/>
      <c r="M50" s="213"/>
      <c r="N50" s="213"/>
      <c r="O50" s="213"/>
      <c r="P50" s="213"/>
      <c r="Q50" s="213"/>
      <c r="R50" s="213"/>
      <c r="S50" s="213"/>
      <c r="T50" s="213"/>
      <c r="U50" s="213"/>
      <c r="V50" s="213"/>
    </row>
    <row r="51" spans="1:22" customFormat="1" ht="15" thickBot="1" x14ac:dyDescent="0.4"/>
    <row r="52" spans="1:22" x14ac:dyDescent="0.3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Saccharin-0,01mg/L</v>
      </c>
      <c r="J52" s="46" t="str">
        <f>J4</f>
        <v>Saccharin-0,1mg/L</v>
      </c>
      <c r="K52" s="46" t="str">
        <f t="shared" ref="K52:M52" si="43">K4</f>
        <v>Saccharin-1mg/L</v>
      </c>
      <c r="L52" s="46" t="str">
        <f t="shared" si="43"/>
        <v>Saccharin-10mg/L</v>
      </c>
      <c r="M52" s="46" t="str">
        <f t="shared" si="43"/>
        <v>Saccharin-100mg/L</v>
      </c>
      <c r="N52" s="47"/>
      <c r="O52" s="46" t="str">
        <f>O27</f>
        <v>Testo -30µg/L</v>
      </c>
      <c r="P52" s="46" t="str">
        <f>P27</f>
        <v>Testo 30µg/L + EE2 -64ng/L</v>
      </c>
      <c r="Q52" s="46" t="str">
        <f>Q27</f>
        <v>Testo 30µg/L + FAD-10mg/L</v>
      </c>
      <c r="R52" s="46" t="str">
        <f>R27</f>
        <v>Saccharin-0,01mg/L + Testostérone</v>
      </c>
      <c r="S52" s="46" t="str">
        <f t="shared" ref="S52:V52" si="44">S27</f>
        <v>Saccharin-0,1mg/L + Testostérone</v>
      </c>
      <c r="T52" s="46" t="str">
        <f t="shared" si="44"/>
        <v>Saccharin-1mg/L + Testostérone</v>
      </c>
      <c r="U52" s="46" t="str">
        <f t="shared" si="44"/>
        <v>Saccharin-10mg/L + Testostérone</v>
      </c>
      <c r="V52" s="46" t="str">
        <f t="shared" si="44"/>
        <v>Saccharin-100mg/L + Testostérone</v>
      </c>
    </row>
    <row r="53" spans="1:22" s="3" customFormat="1" x14ac:dyDescent="0.35">
      <c r="A53" s="61" t="s">
        <v>32</v>
      </c>
      <c r="B53" s="141">
        <f t="shared" ref="B53" si="45">B46</f>
        <v>6.7025197386965121E-2</v>
      </c>
      <c r="C53" s="141">
        <f t="shared" ref="C53:V53" si="46">C46</f>
        <v>0.17770343361346091</v>
      </c>
      <c r="D53" s="141">
        <f t="shared" si="46"/>
        <v>8.4879118410382981E-2</v>
      </c>
      <c r="E53" s="141">
        <f t="shared" si="46"/>
        <v>0.15164034152713635</v>
      </c>
      <c r="F53" s="141">
        <f t="shared" si="46"/>
        <v>1.2910800469352453</v>
      </c>
      <c r="G53" s="141">
        <f t="shared" si="46"/>
        <v>1.3635432037072919</v>
      </c>
      <c r="H53" s="141">
        <f t="shared" si="46"/>
        <v>2.8786793211427111</v>
      </c>
      <c r="I53" s="141">
        <f t="shared" si="46"/>
        <v>0.19629713998664741</v>
      </c>
      <c r="J53" s="141">
        <f t="shared" si="46"/>
        <v>8.7979224004396422E-2</v>
      </c>
      <c r="K53" s="141">
        <f t="shared" si="46"/>
        <v>6.9587525281045337E-2</v>
      </c>
      <c r="L53" s="141">
        <f t="shared" si="46"/>
        <v>5.7236237663191865E-2</v>
      </c>
      <c r="M53" s="141">
        <f t="shared" si="46"/>
        <v>5.0367086141432531E-2</v>
      </c>
      <c r="N53" s="141"/>
      <c r="O53" s="141">
        <f t="shared" si="46"/>
        <v>1.0000000000000002</v>
      </c>
      <c r="P53" s="141">
        <f t="shared" si="46"/>
        <v>1.2796204198777168</v>
      </c>
      <c r="Q53" s="141">
        <f t="shared" si="46"/>
        <v>0.12666928658729942</v>
      </c>
      <c r="R53" s="141">
        <f t="shared" si="46"/>
        <v>0.90266656125266831</v>
      </c>
      <c r="S53" s="141">
        <f t="shared" si="46"/>
        <v>0.9845329698276204</v>
      </c>
      <c r="T53" s="141">
        <f t="shared" si="46"/>
        <v>0.68815597765528214</v>
      </c>
      <c r="U53" s="141">
        <f t="shared" si="46"/>
        <v>1.0844634582544339</v>
      </c>
      <c r="V53" s="141">
        <f t="shared" si="46"/>
        <v>0.73552328931734789</v>
      </c>
    </row>
    <row r="54" spans="1:22" s="3" customFormat="1" x14ac:dyDescent="0.35">
      <c r="A54" s="61" t="s">
        <v>2</v>
      </c>
      <c r="B54" s="141">
        <f t="shared" ref="B54" si="47">B48</f>
        <v>2.1561825359201665E-2</v>
      </c>
      <c r="C54" s="141">
        <f t="shared" ref="C54:V54" si="48">C48</f>
        <v>4.6114066854317078E-2</v>
      </c>
      <c r="D54" s="141">
        <f t="shared" si="48"/>
        <v>2.7936374893121837E-2</v>
      </c>
      <c r="E54" s="141">
        <f t="shared" si="48"/>
        <v>4.8301547880191954E-2</v>
      </c>
      <c r="F54" s="141">
        <f t="shared" si="48"/>
        <v>0.17506835988726707</v>
      </c>
      <c r="G54" s="141">
        <f t="shared" si="48"/>
        <v>0.15734115579579358</v>
      </c>
      <c r="H54" s="141">
        <f t="shared" si="48"/>
        <v>0.20967212273835287</v>
      </c>
      <c r="I54" s="141">
        <f t="shared" si="48"/>
        <v>7.1378479453383117E-2</v>
      </c>
      <c r="J54" s="141">
        <f t="shared" si="48"/>
        <v>2.2123686319623252E-2</v>
      </c>
      <c r="K54" s="141">
        <f t="shared" si="48"/>
        <v>1.9312049213730587E-2</v>
      </c>
      <c r="L54" s="141">
        <f t="shared" si="48"/>
        <v>9.9567718769856088E-3</v>
      </c>
      <c r="M54" s="141">
        <f t="shared" si="48"/>
        <v>1.3510753078267063E-2</v>
      </c>
      <c r="N54" s="141"/>
      <c r="O54" s="141">
        <f t="shared" si="48"/>
        <v>0.10076222211952765</v>
      </c>
      <c r="P54" s="141">
        <f t="shared" si="48"/>
        <v>0.30925844829498833</v>
      </c>
      <c r="Q54" s="141">
        <f t="shared" si="48"/>
        <v>4.3128840499132716E-2</v>
      </c>
      <c r="R54" s="141">
        <f t="shared" si="48"/>
        <v>0.16128605989006456</v>
      </c>
      <c r="S54" s="141">
        <f t="shared" si="48"/>
        <v>0.16930987918365303</v>
      </c>
      <c r="T54" s="141">
        <f t="shared" si="48"/>
        <v>0.17225641229745708</v>
      </c>
      <c r="U54" s="141">
        <f t="shared" si="48"/>
        <v>0.21339840132219209</v>
      </c>
      <c r="V54" s="141">
        <f t="shared" si="48"/>
        <v>0.24335454192959016</v>
      </c>
    </row>
    <row r="55" spans="1:22" s="3" customFormat="1" x14ac:dyDescent="0.35">
      <c r="A55" s="61" t="s">
        <v>79</v>
      </c>
      <c r="B55" s="141">
        <f>(B53*100/$B53)-100</f>
        <v>0</v>
      </c>
      <c r="C55" s="141">
        <f t="shared" ref="C55:V55" si="49">(C53*100/$B53)-100</f>
        <v>165.12929546108313</v>
      </c>
      <c r="D55" s="141">
        <f t="shared" si="49"/>
        <v>26.63762542964183</v>
      </c>
      <c r="E55" s="141">
        <f t="shared" si="49"/>
        <v>126.24378209832315</v>
      </c>
      <c r="F55" s="141">
        <f t="shared" si="49"/>
        <v>1826.2607157742304</v>
      </c>
      <c r="G55" s="141">
        <f t="shared" si="49"/>
        <v>1934.3740218099979</v>
      </c>
      <c r="H55" s="141">
        <f t="shared" si="49"/>
        <v>4194.9210645704852</v>
      </c>
      <c r="I55" s="141">
        <f t="shared" si="49"/>
        <v>192.8706630333964</v>
      </c>
      <c r="J55" s="141">
        <f t="shared" si="49"/>
        <v>31.262909225697229</v>
      </c>
      <c r="K55" s="141">
        <f t="shared" si="49"/>
        <v>3.8229322612611014</v>
      </c>
      <c r="L55" s="141">
        <f t="shared" si="49"/>
        <v>-14.604895032620945</v>
      </c>
      <c r="M55" s="141">
        <f t="shared" si="49"/>
        <v>-24.853505688850419</v>
      </c>
      <c r="N55" s="141"/>
      <c r="O55" s="141">
        <f t="shared" si="49"/>
        <v>1391.9762104191543</v>
      </c>
      <c r="P55" s="141">
        <f t="shared" si="49"/>
        <v>1809.1632248241226</v>
      </c>
      <c r="Q55" s="141">
        <f t="shared" si="49"/>
        <v>88.987562179016749</v>
      </c>
      <c r="R55" s="141">
        <f t="shared" si="49"/>
        <v>1246.7570353298452</v>
      </c>
      <c r="S55" s="141">
        <f t="shared" si="49"/>
        <v>1368.8997693561282</v>
      </c>
      <c r="T55" s="141">
        <f t="shared" si="49"/>
        <v>926.71234771941567</v>
      </c>
      <c r="U55" s="141">
        <f t="shared" si="49"/>
        <v>1517.9936807845006</v>
      </c>
      <c r="V55" s="141">
        <f t="shared" si="49"/>
        <v>997.3832498707277</v>
      </c>
    </row>
    <row r="56" spans="1:22" s="3" customFormat="1" x14ac:dyDescent="0.35">
      <c r="A56" s="61" t="s">
        <v>81</v>
      </c>
      <c r="B56" s="141">
        <f>[1]!SWTEST(B28:B43)</f>
        <v>6.9238808994022127E-2</v>
      </c>
      <c r="C56" s="141">
        <f>[1]!SWTEST(C28:C43)</f>
        <v>5.616681692301162E-2</v>
      </c>
      <c r="D56" s="141">
        <f>[1]!SWTEST(D28:D43)</f>
        <v>0.15254585846424296</v>
      </c>
      <c r="E56" s="141">
        <f>[1]!SWTEST(E28:E43)</f>
        <v>1.0837316066847347E-2</v>
      </c>
      <c r="F56" s="141">
        <f>[1]!SWTEST(F28:F43)</f>
        <v>8.8999431788746364E-2</v>
      </c>
      <c r="G56" s="141">
        <f>[1]!SWTEST(G28:G43)</f>
        <v>0.68565469840173454</v>
      </c>
      <c r="H56" s="141">
        <f>[1]!SWTEST(H28:H43)</f>
        <v>0.47947888049542708</v>
      </c>
      <c r="I56" s="141">
        <f>[1]!SWTEST(I28:I43)</f>
        <v>8.0603086093351539E-3</v>
      </c>
      <c r="J56" s="141">
        <f>[1]!SWTEST(J28:J43)</f>
        <v>3.7103382153586884E-2</v>
      </c>
      <c r="K56" s="141">
        <f>[1]!SWTEST(K28:K43)</f>
        <v>1.3004844423249784E-2</v>
      </c>
      <c r="L56" s="141">
        <f>[1]!SWTEST(L28:L43)</f>
        <v>0.1727449422800843</v>
      </c>
      <c r="M56" s="141">
        <f>[1]!SWTEST(M28:M43)</f>
        <v>1.8108526565025151E-2</v>
      </c>
      <c r="N56" s="141"/>
      <c r="O56" s="141">
        <f>[1]!SWTEST(O28:O43)</f>
        <v>0.99774717683315972</v>
      </c>
      <c r="P56" s="141">
        <f>[1]!SWTEST(P28:P43)</f>
        <v>0.36657286173652948</v>
      </c>
      <c r="Q56" s="141">
        <f>[1]!SWTEST(Q28:Q43)</f>
        <v>0.15574708624183975</v>
      </c>
      <c r="R56" s="141">
        <f>[1]!SWTEST(R28:R43)</f>
        <v>0.61596249366643496</v>
      </c>
      <c r="S56" s="141">
        <f>[1]!SWTEST(S28:S43)</f>
        <v>0.12881098804975044</v>
      </c>
      <c r="T56" s="141">
        <f>[1]!SWTEST(T28:T43)</f>
        <v>0.27904683483511317</v>
      </c>
      <c r="U56" s="141">
        <f>[1]!SWTEST(U28:U43)</f>
        <v>0.40121175106864404</v>
      </c>
      <c r="V56" s="141">
        <f>[1]!SWTEST(V28:V43)</f>
        <v>5.6076221886362076E-2</v>
      </c>
    </row>
    <row r="57" spans="1:22" s="3" customFormat="1" x14ac:dyDescent="0.35">
      <c r="A57" s="61" t="s">
        <v>85</v>
      </c>
      <c r="B57" s="141" t="str">
        <f>IF(B56&gt;0.05,"Oui","Non")</f>
        <v>Oui</v>
      </c>
      <c r="C57" s="141" t="str">
        <f t="shared" ref="C57:V57" si="50">IF(C56&gt;0.05,"Oui","Non")</f>
        <v>Oui</v>
      </c>
      <c r="D57" s="141" t="str">
        <f t="shared" si="50"/>
        <v>Oui</v>
      </c>
      <c r="E57" s="141" t="str">
        <f t="shared" si="50"/>
        <v>Non</v>
      </c>
      <c r="F57" s="141" t="str">
        <f t="shared" si="50"/>
        <v>Oui</v>
      </c>
      <c r="G57" s="141" t="str">
        <f t="shared" si="50"/>
        <v>Oui</v>
      </c>
      <c r="H57" s="141" t="str">
        <f t="shared" si="50"/>
        <v>Oui</v>
      </c>
      <c r="I57" s="141" t="str">
        <f t="shared" si="50"/>
        <v>Non</v>
      </c>
      <c r="J57" s="141" t="str">
        <f t="shared" si="50"/>
        <v>Non</v>
      </c>
      <c r="K57" s="141" t="str">
        <f t="shared" si="50"/>
        <v>Non</v>
      </c>
      <c r="L57" s="141" t="str">
        <f t="shared" si="50"/>
        <v>Oui</v>
      </c>
      <c r="M57" s="141" t="str">
        <f t="shared" si="50"/>
        <v>Non</v>
      </c>
      <c r="N57" s="141"/>
      <c r="O57" s="141" t="str">
        <f t="shared" si="50"/>
        <v>Oui</v>
      </c>
      <c r="P57" s="141" t="str">
        <f t="shared" si="50"/>
        <v>Oui</v>
      </c>
      <c r="Q57" s="141" t="str">
        <f t="shared" si="50"/>
        <v>Oui</v>
      </c>
      <c r="R57" s="141" t="str">
        <f t="shared" si="50"/>
        <v>Oui</v>
      </c>
      <c r="S57" s="141" t="str">
        <f t="shared" si="50"/>
        <v>Oui</v>
      </c>
      <c r="T57" s="141" t="str">
        <f t="shared" si="50"/>
        <v>Oui</v>
      </c>
      <c r="U57" s="141" t="str">
        <f t="shared" si="50"/>
        <v>Oui</v>
      </c>
      <c r="V57" s="141" t="str">
        <f t="shared" si="50"/>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51">IF($B57="Non",IF(C57="Non","MW",IF(C57="Oui","MW","")),IF($B57="Oui",IF(C57="Oui","T-Test Welch",IF(C57="Non","MW",""))))</f>
        <v>T-Test Welch</v>
      </c>
      <c r="D59" s="150" t="str">
        <f t="shared" si="51"/>
        <v>T-Test Welch</v>
      </c>
      <c r="E59" s="150" t="str">
        <f t="shared" si="51"/>
        <v>MW</v>
      </c>
      <c r="F59" s="150" t="str">
        <f t="shared" si="51"/>
        <v>T-Test Welch</v>
      </c>
      <c r="G59" s="150" t="str">
        <f t="shared" si="51"/>
        <v>T-Test Welch</v>
      </c>
      <c r="H59" s="150" t="str">
        <f t="shared" si="51"/>
        <v>T-Test Welch</v>
      </c>
      <c r="I59" s="150" t="str">
        <f t="shared" si="51"/>
        <v>MW</v>
      </c>
      <c r="J59" s="150" t="str">
        <f t="shared" si="51"/>
        <v>MW</v>
      </c>
      <c r="K59" s="150" t="str">
        <f t="shared" si="51"/>
        <v>MW</v>
      </c>
      <c r="L59" s="150" t="str">
        <f t="shared" si="51"/>
        <v>T-Test Welch</v>
      </c>
      <c r="M59" s="150" t="str">
        <f t="shared" si="51"/>
        <v>MW</v>
      </c>
      <c r="N59" s="150"/>
      <c r="O59" s="150" t="str">
        <f t="shared" si="51"/>
        <v>T-Test Welch</v>
      </c>
      <c r="P59" s="150" t="str">
        <f t="shared" ref="P59:V59" si="52">IF($O57="Non",IF(P57="Non","MW",IF(P57="Oui","MW","")),IF($O57="Oui",IF(P57="Oui","T-Test Welch",IF(P57="Non","MW",""))))</f>
        <v>T-Test Welch</v>
      </c>
      <c r="Q59" s="150" t="str">
        <f t="shared" si="52"/>
        <v>T-Test Welch</v>
      </c>
      <c r="R59" s="150" t="str">
        <f t="shared" si="52"/>
        <v>T-Test Welch</v>
      </c>
      <c r="S59" s="150" t="str">
        <f t="shared" si="52"/>
        <v>T-Test Welch</v>
      </c>
      <c r="T59" s="150" t="str">
        <f t="shared" si="52"/>
        <v>T-Test Welch</v>
      </c>
      <c r="U59" s="150" t="str">
        <f t="shared" si="52"/>
        <v>T-Test Welch</v>
      </c>
      <c r="V59" s="150" t="str">
        <f t="shared" si="52"/>
        <v>T-Test Welch</v>
      </c>
    </row>
    <row r="60" spans="1:22" s="3" customFormat="1" x14ac:dyDescent="0.35">
      <c r="A60" s="61" t="s">
        <v>83</v>
      </c>
      <c r="B60" s="151"/>
      <c r="C60" s="151">
        <f>IF(C59="MW",[1]!MTEST($B28:$B43,C28:C43,2), IF(C59="T-Test Welch",_xlfn.T.TEST($B28:$B43,C28:C43,2,3),""))</f>
        <v>5.4992106890673666E-2</v>
      </c>
      <c r="D60" s="151">
        <f>IF(D59="MW",[1]!MTEST($B28:$B43,D28:D43,2), IF(D59="T-Test Welch",_xlfn.T.TEST($B28:$B43,D28:D43,2,3),""))</f>
        <v>0.62229359336859136</v>
      </c>
      <c r="E60" s="151">
        <f>IF(E59="MW",[1]!MTEST($B28:$B43,E28:E43,2), IF(E59="T-Test Welch",_xlfn.T.TEST($B28:$B43,E28:E43,2,3),""))</f>
        <v>0.11518373151505124</v>
      </c>
      <c r="F60" s="151">
        <f>IF(F59="MW",[1]!MTEST($B28:$B43,F28:F43,2), IF(F59="T-Test Welch",_xlfn.T.TEST($B28:$B43,F28:F43,2,3),""))</f>
        <v>1.9464338115565493E-4</v>
      </c>
      <c r="G60" s="151">
        <f>IF(G59="MW",[1]!MTEST($B28:$B43,G28:G43,2), IF(G59="T-Test Welch",_xlfn.T.TEST($B28:$B43,G28:G43,2,3),""))</f>
        <v>6.5300035035322721E-5</v>
      </c>
      <c r="H60" s="151">
        <f>IF(H59="MW",[1]!MTEST($B28:$B43,H28:H43,2), IF(H59="T-Test Welch",_xlfn.T.TEST($B28:$B43,H28:H43,2,3),""))</f>
        <v>2.6037192551113093E-6</v>
      </c>
      <c r="I60" s="151">
        <f>IF(I59="MW",[1]!MTEST($B28:$B43,I28:I43,2), IF(I59="T-Test Welch",_xlfn.T.TEST($B28:$B43,I28:I43,2,3),""))</f>
        <v>0.11518373151505124</v>
      </c>
      <c r="J60" s="151">
        <f>IF(J59="MW",[1]!MTEST($B28:$B43,J28:J43,2), IF(J59="T-Test Welch",_xlfn.T.TEST($B28:$B43,J28:J43,2,3),""))</f>
        <v>0.34456236532569795</v>
      </c>
      <c r="K60" s="151">
        <f>IF(K59="MW",[1]!MTEST($B28:$B43,K28:K43,2), IF(K59="T-Test Welch",_xlfn.T.TEST($B28:$B43,K28:K43,2,3),""))</f>
        <v>0.75271380626305229</v>
      </c>
      <c r="L60" s="151">
        <f>IF(L59="MW",[1]!MTEST($B28:$B43,L28:L43,2), IF(L59="T-Test Welch",_xlfn.T.TEST($B28:$B43,L28:L43,2,3),""))</f>
        <v>0.68909843218482092</v>
      </c>
      <c r="M60" s="151">
        <f>IF(M59="MW",[1]!MTEST($B28:$B43,M28:M43,2), IF(M59="T-Test Welch",_xlfn.T.TEST($B28:$B43,M28:M43,2,3),""))</f>
        <v>0.91635914027348853</v>
      </c>
      <c r="N60" s="151"/>
      <c r="O60" s="151">
        <f>IF(O59="MW",[1]!MTEST($B28:$B43,O28:O43,2), IF(O59="T-Test Welch",_xlfn.T.TEST($B28:$B43,O28:O43,2,3),""))</f>
        <v>1.5912352928686052E-7</v>
      </c>
      <c r="P60" s="151">
        <f>IF(P59="MW",[1]!MTEST($O28:$O43,P28:P43,2), IF(P59="T-Test Welch",_xlfn.T.TEST($O28:$O43,P28:P43,2,3),""))</f>
        <v>0.41727635720044787</v>
      </c>
      <c r="Q60" s="151">
        <f>IF(Q59="MW",[1]!MTEST($O28:$O43,Q28:Q43,2), IF(Q59="T-Test Welch",_xlfn.T.TEST($O28:$O43,Q28:Q43,2,3),""))</f>
        <v>2.2543531164352105E-7</v>
      </c>
      <c r="R60" s="151">
        <f>IF(R59="MW",[1]!MTEST($O28:$O43,R28:R43,2), IF(R59="T-Test Welch",_xlfn.T.TEST($O28:$O43,R28:R43,2,3),""))</f>
        <v>0.61765292332450006</v>
      </c>
      <c r="S60" s="151">
        <f>IF(S59="MW",[1]!MTEST($O28:$O43,S28:S43,2), IF(S59="T-Test Welch",_xlfn.T.TEST($O28:$O43,S28:S43,2,3),""))</f>
        <v>0.93871354345174973</v>
      </c>
      <c r="T60" s="151">
        <f>IF(T59="MW",[1]!MTEST($O28:$O43,T28:T43,2), IF(T59="T-Test Welch",_xlfn.T.TEST($O28:$O43,T28:T43,2,3),""))</f>
        <v>0.14430012081183513</v>
      </c>
      <c r="U60" s="151">
        <f>IF(U59="MW",[1]!MTEST($O28:$O43,U28:U43,2), IF(U59="T-Test Welch",_xlfn.T.TEST($O28:$O43,U28:U43,2,3),""))</f>
        <v>0.72769628987095725</v>
      </c>
      <c r="V60" s="151">
        <f>IF(V59="MW",[1]!MTEST($O28:$O43,V28:V43,2), IF(V59="T-Test Welch",_xlfn.T.TEST($O28:$O43,V28:V43,2,3),""))</f>
        <v>0.34029301008414281</v>
      </c>
    </row>
    <row r="61" spans="1:22" s="3" customFormat="1" ht="15" thickBot="1" x14ac:dyDescent="0.4">
      <c r="A61" s="62" t="s">
        <v>84</v>
      </c>
      <c r="B61" s="142"/>
      <c r="C61" s="142" t="str">
        <f t="shared" ref="C61:O61" si="53">IF(C60&gt;0.05,"NS",IF(C60&gt;0.01,"*",IF(C60&gt;0.001,"**","***")))</f>
        <v>NS</v>
      </c>
      <c r="D61" s="142" t="str">
        <f t="shared" si="53"/>
        <v>NS</v>
      </c>
      <c r="E61" s="142" t="str">
        <f t="shared" si="53"/>
        <v>NS</v>
      </c>
      <c r="F61" s="142" t="str">
        <f t="shared" si="53"/>
        <v>***</v>
      </c>
      <c r="G61" s="142" t="str">
        <f t="shared" si="53"/>
        <v>***</v>
      </c>
      <c r="H61" s="142" t="s">
        <v>1881</v>
      </c>
      <c r="I61" s="142" t="str">
        <f t="shared" si="53"/>
        <v>NS</v>
      </c>
      <c r="J61" s="142" t="str">
        <f t="shared" si="53"/>
        <v>NS</v>
      </c>
      <c r="K61" s="142" t="s">
        <v>1608</v>
      </c>
      <c r="L61" s="142" t="str">
        <f t="shared" si="53"/>
        <v>NS</v>
      </c>
      <c r="M61" s="142" t="str">
        <f t="shared" si="53"/>
        <v>NS</v>
      </c>
      <c r="N61" s="142"/>
      <c r="O61" s="142" t="str">
        <f t="shared" si="53"/>
        <v>***</v>
      </c>
      <c r="P61" s="142" t="str">
        <f>IF(P60&gt;0.05,"NS",IF(P60&gt;0.01,"*",IF(P60&gt;0.001,"**","***")))</f>
        <v>NS</v>
      </c>
      <c r="Q61" s="142" t="str">
        <f t="shared" ref="Q61:V61" si="54">IF(Q60&gt;0.05,"NS",IF(Q60&gt;0.01,"*",IF(Q60&gt;0.001,"**","***")))</f>
        <v>***</v>
      </c>
      <c r="R61" s="142" t="str">
        <f t="shared" si="54"/>
        <v>NS</v>
      </c>
      <c r="S61" s="142" t="str">
        <f t="shared" si="54"/>
        <v>NS</v>
      </c>
      <c r="T61" s="142" t="str">
        <f t="shared" si="54"/>
        <v>NS</v>
      </c>
      <c r="U61" s="142" t="str">
        <f t="shared" si="54"/>
        <v>NS</v>
      </c>
      <c r="V61" s="142" t="str">
        <f t="shared" si="54"/>
        <v>NS</v>
      </c>
    </row>
    <row r="63" spans="1:22" x14ac:dyDescent="0.35">
      <c r="A63" s="2" t="s">
        <v>39</v>
      </c>
    </row>
    <row r="64" spans="1:22" x14ac:dyDescent="0.35">
      <c r="A64" s="1" t="s">
        <v>23</v>
      </c>
      <c r="B64" s="1">
        <f>B46+(3*B47)</f>
        <v>0.24998335250198389</v>
      </c>
    </row>
    <row r="65" spans="1:22" x14ac:dyDescent="0.35">
      <c r="A65" s="1" t="s">
        <v>24</v>
      </c>
      <c r="B65" s="1">
        <f>B46+(10*B47)</f>
        <v>0.67688571443702761</v>
      </c>
    </row>
    <row r="66" spans="1:22" ht="15" thickBot="1" x14ac:dyDescent="0.4"/>
    <row r="67" spans="1:22" ht="26.5" thickBot="1" x14ac:dyDescent="0.65">
      <c r="A67" s="212" t="s">
        <v>45</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L1" zoomScale="80" zoomScaleNormal="80" workbookViewId="0">
      <selection activeCell="C2" sqref="C2:I590"/>
    </sheetView>
  </sheetViews>
  <sheetFormatPr baseColWidth="10" defaultColWidth="11.453125" defaultRowHeight="14.5" x14ac:dyDescent="0.35"/>
  <cols>
    <col min="1" max="2" width="15" style="1" customWidth="1"/>
    <col min="3" max="3" width="25.453125" style="1" customWidth="1"/>
    <col min="4" max="4" width="14" style="1" customWidth="1"/>
    <col min="5" max="5" width="21.1796875" style="1" customWidth="1"/>
    <col min="6" max="6" width="11.453125" style="1"/>
    <col min="7" max="7" width="21.453125" style="1" customWidth="1"/>
    <col min="8" max="8" width="12.26953125" style="1" customWidth="1"/>
    <col min="9" max="9" width="17.1796875" style="1" customWidth="1"/>
    <col min="10" max="10" width="11.453125" style="1"/>
    <col min="11" max="11" width="37.453125" style="1" bestFit="1" customWidth="1"/>
    <col min="12" max="12" width="38.453125" style="1" bestFit="1" customWidth="1"/>
    <col min="13" max="14" width="12.81640625" style="1" customWidth="1"/>
    <col min="15" max="25" width="12.26953125" style="1" customWidth="1"/>
    <col min="26" max="16384" width="11.453125" style="1"/>
  </cols>
  <sheetData>
    <row r="1" spans="1:144" x14ac:dyDescent="0.35">
      <c r="A1" s="1" t="s">
        <v>106</v>
      </c>
      <c r="B1" s="1" t="s">
        <v>107</v>
      </c>
      <c r="C1" s="1" t="s">
        <v>108</v>
      </c>
      <c r="D1" s="1" t="s">
        <v>109</v>
      </c>
      <c r="E1" s="1" t="s">
        <v>110</v>
      </c>
      <c r="F1" s="1" t="s">
        <v>111</v>
      </c>
      <c r="G1" s="1" t="s">
        <v>112</v>
      </c>
      <c r="H1" s="1" t="s">
        <v>116</v>
      </c>
      <c r="I1" s="1" t="s">
        <v>117</v>
      </c>
      <c r="K1" s="118" t="s">
        <v>111</v>
      </c>
      <c r="L1" s="1" t="s">
        <v>118</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5">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1882</v>
      </c>
      <c r="D2" s="1" t="s">
        <v>275</v>
      </c>
      <c r="E2" s="1" t="s">
        <v>1883</v>
      </c>
      <c r="F2" s="1" t="s">
        <v>111</v>
      </c>
      <c r="G2" s="1">
        <v>26864</v>
      </c>
      <c r="K2" s="155" t="s">
        <v>119</v>
      </c>
      <c r="L2" s="155" t="s">
        <v>120</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5">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1884</v>
      </c>
      <c r="D3" s="1" t="s">
        <v>1643</v>
      </c>
      <c r="E3" s="1" t="s">
        <v>1885</v>
      </c>
      <c r="F3" s="1" t="s">
        <v>111</v>
      </c>
      <c r="G3" s="1">
        <v>68675</v>
      </c>
      <c r="K3" s="118" t="s">
        <v>152</v>
      </c>
      <c r="L3" s="118" t="s">
        <v>113</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5">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1886</v>
      </c>
      <c r="D4" s="1" t="s">
        <v>286</v>
      </c>
      <c r="E4" s="1" t="s">
        <v>1887</v>
      </c>
      <c r="F4" s="1" t="s">
        <v>111</v>
      </c>
      <c r="G4" s="1">
        <v>159434</v>
      </c>
      <c r="K4" s="118" t="s">
        <v>100</v>
      </c>
      <c r="L4" s="1" t="s">
        <v>1580</v>
      </c>
      <c r="M4" s="1" t="s">
        <v>1581</v>
      </c>
      <c r="N4" s="1" t="s">
        <v>1582</v>
      </c>
      <c r="O4" s="1" t="s">
        <v>1583</v>
      </c>
      <c r="P4" s="1" t="s">
        <v>1584</v>
      </c>
      <c r="Q4" s="1" t="s">
        <v>1585</v>
      </c>
      <c r="R4" s="1" t="s">
        <v>1586</v>
      </c>
      <c r="S4" s="1" t="s">
        <v>1587</v>
      </c>
      <c r="T4" s="1" t="s">
        <v>3147</v>
      </c>
      <c r="U4" s="1" t="s">
        <v>1589</v>
      </c>
      <c r="V4" s="1" t="s">
        <v>3148</v>
      </c>
      <c r="W4" s="1" t="s">
        <v>1591</v>
      </c>
      <c r="X4" s="1" t="s">
        <v>1592</v>
      </c>
      <c r="Y4" s="1" t="s">
        <v>1593</v>
      </c>
      <c r="Z4" s="1" t="s">
        <v>1594</v>
      </c>
      <c r="AA4" s="1" t="s">
        <v>1595</v>
      </c>
      <c r="AB4" s="1" t="s">
        <v>1596</v>
      </c>
      <c r="AC4" s="1" t="s">
        <v>1597</v>
      </c>
      <c r="AD4" s="1" t="s">
        <v>1598</v>
      </c>
      <c r="AE4" s="1" t="s">
        <v>1599</v>
      </c>
      <c r="AF4" s="1" t="s">
        <v>1600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5">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1888</v>
      </c>
      <c r="D5" s="1" t="s">
        <v>352</v>
      </c>
      <c r="E5" s="1" t="s">
        <v>353</v>
      </c>
      <c r="F5" s="1" t="s">
        <v>111</v>
      </c>
      <c r="G5" s="1">
        <v>51544</v>
      </c>
      <c r="K5" s="145" t="s">
        <v>162</v>
      </c>
      <c r="L5" s="44">
        <v>84991</v>
      </c>
      <c r="M5" s="44">
        <v>77392</v>
      </c>
      <c r="N5" s="44">
        <v>480602</v>
      </c>
      <c r="O5" s="44">
        <v>214532.33333333334</v>
      </c>
      <c r="P5" s="44">
        <v>462022</v>
      </c>
      <c r="Q5" s="44">
        <v>1765071.6666666667</v>
      </c>
      <c r="R5" s="44">
        <v>4584723</v>
      </c>
      <c r="S5" s="44">
        <v>244389</v>
      </c>
      <c r="T5" s="44">
        <v>47694</v>
      </c>
      <c r="U5" s="44">
        <v>43649</v>
      </c>
      <c r="V5" s="44">
        <v>194041.66666666666</v>
      </c>
      <c r="W5" s="44">
        <v>195339.66666666666</v>
      </c>
      <c r="X5" s="44">
        <v>191933</v>
      </c>
      <c r="Y5" s="44">
        <v>4417718.333333333</v>
      </c>
      <c r="Z5" s="44">
        <v>4769211.333333333</v>
      </c>
      <c r="AA5" s="44">
        <v>373663.66666666669</v>
      </c>
      <c r="AB5" s="44">
        <v>171575.66666666666</v>
      </c>
      <c r="AC5" s="44">
        <v>2679288</v>
      </c>
      <c r="AD5" s="44">
        <v>251242</v>
      </c>
      <c r="AE5" s="44">
        <v>3095591</v>
      </c>
      <c r="AF5" s="44">
        <v>129923.66666666667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5">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1889</v>
      </c>
      <c r="D6" s="1" t="s">
        <v>1890</v>
      </c>
      <c r="E6" s="1" t="s">
        <v>1891</v>
      </c>
      <c r="F6" s="1" t="s">
        <v>111</v>
      </c>
      <c r="G6" s="1">
        <v>192073</v>
      </c>
      <c r="K6" s="145" t="s">
        <v>1601</v>
      </c>
      <c r="L6" s="44">
        <v>133607.66666666666</v>
      </c>
      <c r="M6" s="44">
        <v>422100</v>
      </c>
      <c r="N6" s="44">
        <v>96534</v>
      </c>
      <c r="O6" s="44">
        <v>27397.666666666668</v>
      </c>
      <c r="P6" s="44">
        <v>4129817.6666666665</v>
      </c>
      <c r="Q6" s="44">
        <v>2948883</v>
      </c>
      <c r="R6" s="44">
        <v>4530763.666666667</v>
      </c>
      <c r="S6" s="44">
        <v>121553</v>
      </c>
      <c r="T6" s="44">
        <v>30584.5</v>
      </c>
      <c r="U6" s="44">
        <v>302725</v>
      </c>
      <c r="V6" s="44">
        <v>269133.66666666669</v>
      </c>
      <c r="W6" s="44">
        <v>17405</v>
      </c>
      <c r="X6" s="44">
        <v>169751.33333333334</v>
      </c>
      <c r="Y6" s="44">
        <v>4547923.333333333</v>
      </c>
      <c r="Z6" s="44">
        <v>4135874</v>
      </c>
      <c r="AA6" s="44">
        <v>189780.66666666666</v>
      </c>
      <c r="AB6" s="44">
        <v>727370</v>
      </c>
      <c r="AC6" s="44">
        <v>323421</v>
      </c>
      <c r="AD6" s="44">
        <v>1509716.3333333333</v>
      </c>
      <c r="AE6" s="44">
        <v>1251873.3333333333</v>
      </c>
      <c r="AF6" s="44">
        <v>1394436</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5">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1892</v>
      </c>
      <c r="D7" s="1" t="s">
        <v>286</v>
      </c>
      <c r="E7" s="1" t="s">
        <v>1893</v>
      </c>
      <c r="F7" s="1" t="s">
        <v>111</v>
      </c>
      <c r="G7" s="1">
        <v>157206</v>
      </c>
      <c r="K7" s="145" t="s">
        <v>1602</v>
      </c>
      <c r="L7" s="44">
        <v>308961.33333333331</v>
      </c>
      <c r="M7" s="44">
        <v>353742.66666666669</v>
      </c>
      <c r="N7" s="44">
        <v>317786.33333333331</v>
      </c>
      <c r="O7" s="44">
        <v>510235</v>
      </c>
      <c r="P7" s="44">
        <v>222744.33333333334</v>
      </c>
      <c r="Q7" s="44">
        <v>711263</v>
      </c>
      <c r="R7" s="44">
        <v>6242330</v>
      </c>
      <c r="S7" s="44">
        <v>88177.666666666672</v>
      </c>
      <c r="T7" s="44">
        <v>210430</v>
      </c>
      <c r="U7" s="44">
        <v>182653.5</v>
      </c>
      <c r="V7" s="44">
        <v>32607</v>
      </c>
      <c r="W7" s="44">
        <v>229637.33333333334</v>
      </c>
      <c r="X7" s="44"/>
      <c r="Y7" s="44">
        <v>4869462.5</v>
      </c>
      <c r="Z7" s="44">
        <v>3867959</v>
      </c>
      <c r="AA7" s="44">
        <v>177689.66666666666</v>
      </c>
      <c r="AB7" s="44">
        <v>3921554</v>
      </c>
      <c r="AC7" s="44">
        <v>187499</v>
      </c>
      <c r="AD7" s="44"/>
      <c r="AE7" s="44">
        <v>1789499</v>
      </c>
      <c r="AF7" s="44">
        <v>1663165.6666666667</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5">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1894</v>
      </c>
      <c r="D8" s="1" t="s">
        <v>1895</v>
      </c>
      <c r="E8" s="1" t="s">
        <v>1896</v>
      </c>
      <c r="F8" s="1" t="s">
        <v>111</v>
      </c>
      <c r="G8" s="1">
        <v>318500</v>
      </c>
      <c r="K8" s="145" t="s">
        <v>1603</v>
      </c>
      <c r="L8" s="44">
        <v>336431.33333333331</v>
      </c>
      <c r="M8" s="44">
        <v>48537.5</v>
      </c>
      <c r="N8" s="44">
        <v>147970.33333333334</v>
      </c>
      <c r="O8" s="44">
        <v>605593.66666666663</v>
      </c>
      <c r="P8" s="44">
        <v>1541411</v>
      </c>
      <c r="Q8" s="44">
        <v>3175420</v>
      </c>
      <c r="R8" s="44">
        <v>5161354.333333333</v>
      </c>
      <c r="S8" s="44">
        <v>307995</v>
      </c>
      <c r="T8" s="44">
        <v>633705.33333333337</v>
      </c>
      <c r="U8" s="44">
        <v>153399.33333333334</v>
      </c>
      <c r="V8" s="44">
        <v>129815.33333333333</v>
      </c>
      <c r="W8" s="44">
        <v>153896.5</v>
      </c>
      <c r="X8" s="44">
        <v>370239</v>
      </c>
      <c r="Y8" s="44">
        <v>2694490</v>
      </c>
      <c r="Z8" s="44">
        <v>3691134.3333333335</v>
      </c>
      <c r="AA8" s="44">
        <v>159614.33333333334</v>
      </c>
      <c r="AB8" s="44">
        <v>308060</v>
      </c>
      <c r="AC8" s="44">
        <v>1033700</v>
      </c>
      <c r="AD8" s="44">
        <v>2037579.6666666667</v>
      </c>
      <c r="AE8" s="44">
        <v>5103436.666666667</v>
      </c>
      <c r="AF8" s="44">
        <v>2766737.6666666665</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5">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1897</v>
      </c>
      <c r="D9" s="1" t="s">
        <v>1871</v>
      </c>
      <c r="E9" s="1" t="s">
        <v>1898</v>
      </c>
      <c r="F9" s="1" t="s">
        <v>111</v>
      </c>
      <c r="G9" s="1">
        <v>380794</v>
      </c>
      <c r="K9" s="145" t="s">
        <v>1604</v>
      </c>
      <c r="L9" s="44">
        <v>115994</v>
      </c>
      <c r="M9" s="44">
        <v>215332.66666666666</v>
      </c>
      <c r="N9" s="44">
        <v>343756.33333333331</v>
      </c>
      <c r="O9" s="44">
        <v>828915.33333333337</v>
      </c>
      <c r="P9" s="44">
        <v>471322.66666666669</v>
      </c>
      <c r="Q9" s="44">
        <v>2361645.6666666665</v>
      </c>
      <c r="R9" s="44">
        <v>3967658</v>
      </c>
      <c r="S9" s="44">
        <v>124472.66666666667</v>
      </c>
      <c r="T9" s="44">
        <v>13648.333333333334</v>
      </c>
      <c r="U9" s="44">
        <v>16669.666666666668</v>
      </c>
      <c r="V9" s="44">
        <v>428170.66666666669</v>
      </c>
      <c r="W9" s="44">
        <v>269400.66666666669</v>
      </c>
      <c r="X9" s="44">
        <v>2455591.6666666665</v>
      </c>
      <c r="Y9" s="44">
        <v>1788936.6666666667</v>
      </c>
      <c r="Z9" s="44">
        <v>3366419</v>
      </c>
      <c r="AA9" s="44">
        <v>301557</v>
      </c>
      <c r="AB9" s="44">
        <v>9084.3333333333339</v>
      </c>
      <c r="AC9" s="44">
        <v>2401113</v>
      </c>
      <c r="AD9" s="44">
        <v>2512997.3333333335</v>
      </c>
      <c r="AE9" s="44">
        <v>225744</v>
      </c>
      <c r="AF9" s="44">
        <v>1268733.5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5">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1899</v>
      </c>
      <c r="D10" s="1" t="s">
        <v>1900</v>
      </c>
      <c r="E10" s="1" t="s">
        <v>1901</v>
      </c>
      <c r="F10" s="1" t="s">
        <v>111</v>
      </c>
      <c r="G10" s="1">
        <v>227590</v>
      </c>
      <c r="K10" s="145" t="s">
        <v>1605</v>
      </c>
      <c r="L10" s="44">
        <v>45855.5</v>
      </c>
      <c r="M10" s="44">
        <v>581346.5</v>
      </c>
      <c r="N10" s="44">
        <v>916026.33333333337</v>
      </c>
      <c r="O10" s="44">
        <v>236299</v>
      </c>
      <c r="P10" s="44">
        <v>554713</v>
      </c>
      <c r="Q10" s="44">
        <v>1303359.6666666667</v>
      </c>
      <c r="R10" s="44">
        <v>5456905.333333333</v>
      </c>
      <c r="S10" s="44">
        <v>75502.666666666672</v>
      </c>
      <c r="T10" s="44">
        <v>432432.33333333331</v>
      </c>
      <c r="U10" s="44">
        <v>178829</v>
      </c>
      <c r="V10" s="44">
        <v>92868</v>
      </c>
      <c r="W10" s="44">
        <v>76029</v>
      </c>
      <c r="X10" s="44">
        <v>4495914.5</v>
      </c>
      <c r="Y10" s="44">
        <v>3187994</v>
      </c>
      <c r="Z10" s="44">
        <v>7430763</v>
      </c>
      <c r="AA10" s="44">
        <v>31197.666666666668</v>
      </c>
      <c r="AB10" s="44">
        <v>2983872.6666666665</v>
      </c>
      <c r="AC10" s="44">
        <v>4181109</v>
      </c>
      <c r="AD10" s="44">
        <v>2869126</v>
      </c>
      <c r="AE10" s="44">
        <v>3139658.3333333335</v>
      </c>
      <c r="AF10" s="44">
        <v>2890302</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5">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1902</v>
      </c>
      <c r="D11" s="1" t="s">
        <v>1903</v>
      </c>
      <c r="E11" s="1" t="s">
        <v>1904</v>
      </c>
      <c r="F11" s="1" t="s">
        <v>111</v>
      </c>
      <c r="G11" s="1">
        <v>972437</v>
      </c>
      <c r="K11" s="145" t="s">
        <v>1606</v>
      </c>
      <c r="L11" s="44">
        <v>285312.66666666669</v>
      </c>
      <c r="M11" s="44">
        <v>340180.66666666669</v>
      </c>
      <c r="N11" s="44">
        <v>399093.33333333331</v>
      </c>
      <c r="O11" s="44">
        <v>71292</v>
      </c>
      <c r="P11" s="44">
        <v>295681</v>
      </c>
      <c r="Q11" s="44">
        <v>2438684</v>
      </c>
      <c r="R11" s="44">
        <v>7565293.666666667</v>
      </c>
      <c r="S11" s="44">
        <v>342120</v>
      </c>
      <c r="T11" s="44">
        <v>192625</v>
      </c>
      <c r="U11" s="44">
        <v>300432.33333333331</v>
      </c>
      <c r="V11" s="44">
        <v>355595.33333333331</v>
      </c>
      <c r="W11" s="44">
        <v>12769</v>
      </c>
      <c r="X11" s="44">
        <v>3018228.3333333335</v>
      </c>
      <c r="Y11" s="44">
        <v>3509234</v>
      </c>
      <c r="Z11" s="44">
        <v>4414978.666666667</v>
      </c>
      <c r="AA11" s="44">
        <v>243502.33333333334</v>
      </c>
      <c r="AB11" s="44">
        <v>543963</v>
      </c>
      <c r="AC11" s="44">
        <v>241317.66666666666</v>
      </c>
      <c r="AD11" s="44">
        <v>487920</v>
      </c>
      <c r="AE11" s="44">
        <v>2591189.3333333335</v>
      </c>
      <c r="AF11" s="44">
        <v>16215</v>
      </c>
      <c r="AG11"/>
    </row>
    <row r="12" spans="1:144" x14ac:dyDescent="0.35">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1905</v>
      </c>
      <c r="D12" s="1" t="s">
        <v>721</v>
      </c>
      <c r="E12" s="1" t="s">
        <v>1906</v>
      </c>
      <c r="F12" s="1" t="s">
        <v>111</v>
      </c>
      <c r="G12" s="1">
        <v>15141</v>
      </c>
      <c r="K12" s="145" t="s">
        <v>1607</v>
      </c>
      <c r="L12" s="44">
        <v>186651.66666666666</v>
      </c>
      <c r="M12" s="44">
        <v>799214</v>
      </c>
      <c r="N12" s="44">
        <v>231519.33333333334</v>
      </c>
      <c r="O12" s="44">
        <v>467544.66666666669</v>
      </c>
      <c r="P12" s="44">
        <v>536774.66666666663</v>
      </c>
      <c r="Q12" s="44">
        <v>3963981</v>
      </c>
      <c r="R12" s="44">
        <v>3849566.3333333335</v>
      </c>
      <c r="S12" s="44">
        <v>446174.33333333331</v>
      </c>
      <c r="T12" s="44"/>
      <c r="U12" s="44">
        <v>41450</v>
      </c>
      <c r="V12" s="44">
        <v>44420.666666666664</v>
      </c>
      <c r="W12" s="44">
        <v>648550.66666666663</v>
      </c>
      <c r="X12" s="44">
        <v>289934.66666666669</v>
      </c>
      <c r="Y12" s="44">
        <v>3199609.3333333335</v>
      </c>
      <c r="Z12" s="44">
        <v>1514027.6666666667</v>
      </c>
      <c r="AA12" s="44">
        <v>257965</v>
      </c>
      <c r="AB12" s="44">
        <v>4025316.3333333335</v>
      </c>
      <c r="AC12" s="44">
        <v>1817250.3333333333</v>
      </c>
      <c r="AD12" s="44">
        <v>1435093</v>
      </c>
      <c r="AE12" s="44">
        <v>1152779.6666666667</v>
      </c>
      <c r="AF12" s="44">
        <v>3143927</v>
      </c>
      <c r="AG12"/>
    </row>
    <row r="13" spans="1:144" x14ac:dyDescent="0.35">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1907</v>
      </c>
      <c r="D13" s="1" t="s">
        <v>854</v>
      </c>
      <c r="E13" s="1" t="s">
        <v>1653</v>
      </c>
      <c r="F13" s="1" t="s">
        <v>111</v>
      </c>
      <c r="G13" s="1">
        <v>21716</v>
      </c>
      <c r="K13"/>
      <c r="L13"/>
      <c r="M13"/>
      <c r="N13"/>
      <c r="O13"/>
      <c r="P13"/>
      <c r="Q13"/>
      <c r="R13"/>
      <c r="S13"/>
      <c r="T13"/>
      <c r="U13"/>
      <c r="V13"/>
      <c r="W13"/>
      <c r="X13"/>
      <c r="Y13"/>
      <c r="Z13"/>
      <c r="AA13"/>
      <c r="AB13"/>
      <c r="AC13"/>
      <c r="AD13"/>
      <c r="AE13"/>
      <c r="AF13"/>
      <c r="AG13"/>
    </row>
    <row r="14" spans="1:144" x14ac:dyDescent="0.35">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1908</v>
      </c>
      <c r="D14" s="1" t="s">
        <v>1216</v>
      </c>
      <c r="E14" s="1" t="s">
        <v>1909</v>
      </c>
      <c r="F14" s="1" t="s">
        <v>111</v>
      </c>
      <c r="G14" s="1">
        <v>62640</v>
      </c>
      <c r="K14"/>
      <c r="L14"/>
      <c r="M14"/>
      <c r="N14"/>
      <c r="O14"/>
      <c r="P14"/>
      <c r="Q14"/>
      <c r="R14"/>
      <c r="S14"/>
      <c r="T14"/>
      <c r="U14"/>
      <c r="V14"/>
      <c r="W14"/>
      <c r="X14"/>
      <c r="Y14"/>
      <c r="Z14"/>
      <c r="AA14"/>
      <c r="AB14"/>
      <c r="AC14"/>
      <c r="AD14"/>
      <c r="AE14"/>
      <c r="AF14"/>
      <c r="AG14"/>
    </row>
    <row r="15" spans="1:144" x14ac:dyDescent="0.35">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1910</v>
      </c>
      <c r="D15" s="1" t="s">
        <v>1626</v>
      </c>
      <c r="E15" s="1" t="s">
        <v>1911</v>
      </c>
      <c r="F15" s="1" t="s">
        <v>111</v>
      </c>
      <c r="G15" s="1">
        <v>228866</v>
      </c>
    </row>
    <row r="16" spans="1:144" x14ac:dyDescent="0.35">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1912</v>
      </c>
      <c r="D16" s="1" t="s">
        <v>1640</v>
      </c>
      <c r="E16" s="1" t="s">
        <v>1913</v>
      </c>
      <c r="F16" s="1" t="s">
        <v>111</v>
      </c>
      <c r="G16" s="1">
        <v>56476</v>
      </c>
    </row>
    <row r="17" spans="1:9" x14ac:dyDescent="0.35">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1914</v>
      </c>
      <c r="D17" s="1" t="s">
        <v>480</v>
      </c>
      <c r="E17" s="1" t="s">
        <v>481</v>
      </c>
      <c r="F17" s="1" t="s">
        <v>111</v>
      </c>
      <c r="G17" s="1">
        <v>84595</v>
      </c>
    </row>
    <row r="18" spans="1:9" x14ac:dyDescent="0.35">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1915</v>
      </c>
      <c r="D18" s="1" t="s">
        <v>734</v>
      </c>
      <c r="E18" s="1" t="s">
        <v>1534</v>
      </c>
      <c r="F18" s="1" t="s">
        <v>111</v>
      </c>
      <c r="G18" s="1">
        <v>7116</v>
      </c>
    </row>
    <row r="19" spans="1:9" x14ac:dyDescent="0.35">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1916</v>
      </c>
    </row>
    <row r="20" spans="1:9" x14ac:dyDescent="0.35">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1917</v>
      </c>
      <c r="D20" s="1" t="s">
        <v>1918</v>
      </c>
      <c r="E20" s="1" t="s">
        <v>1919</v>
      </c>
      <c r="F20" s="1" t="s">
        <v>111</v>
      </c>
      <c r="G20" s="1">
        <v>338032</v>
      </c>
    </row>
    <row r="21" spans="1:9" x14ac:dyDescent="0.35">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1920</v>
      </c>
      <c r="D21" s="1" t="s">
        <v>498</v>
      </c>
      <c r="E21" s="1" t="s">
        <v>1921</v>
      </c>
      <c r="F21" s="1" t="s">
        <v>111</v>
      </c>
      <c r="G21" s="1">
        <v>449837</v>
      </c>
    </row>
    <row r="22" spans="1:9" x14ac:dyDescent="0.35">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1922</v>
      </c>
      <c r="D22" s="1" t="s">
        <v>1613</v>
      </c>
      <c r="E22" s="1" t="s">
        <v>1923</v>
      </c>
      <c r="F22" s="1" t="s">
        <v>111</v>
      </c>
      <c r="G22" s="1">
        <v>68069</v>
      </c>
    </row>
    <row r="23" spans="1:9" x14ac:dyDescent="0.35">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1924</v>
      </c>
      <c r="D23" s="1" t="s">
        <v>918</v>
      </c>
      <c r="E23" s="1" t="s">
        <v>1925</v>
      </c>
      <c r="F23" s="1" t="s">
        <v>111</v>
      </c>
      <c r="G23" s="1">
        <v>159780</v>
      </c>
    </row>
    <row r="24" spans="1:9" x14ac:dyDescent="0.35">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1926</v>
      </c>
      <c r="D24" s="1" t="s">
        <v>1927</v>
      </c>
      <c r="E24" s="1" t="s">
        <v>1928</v>
      </c>
      <c r="F24" s="1" t="s">
        <v>111</v>
      </c>
      <c r="G24" s="1">
        <v>228736</v>
      </c>
    </row>
    <row r="25" spans="1:9" x14ac:dyDescent="0.35">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1929</v>
      </c>
      <c r="D25" s="1" t="s">
        <v>371</v>
      </c>
      <c r="E25" s="1" t="s">
        <v>1930</v>
      </c>
      <c r="F25" s="1" t="s">
        <v>111</v>
      </c>
      <c r="G25" s="1">
        <v>171439</v>
      </c>
    </row>
    <row r="26" spans="1:9" x14ac:dyDescent="0.3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111</v>
      </c>
    </row>
    <row r="27" spans="1:9" x14ac:dyDescent="0.3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234</v>
      </c>
      <c r="D27" s="1" t="s">
        <v>111</v>
      </c>
      <c r="E27" s="1" t="s">
        <v>235</v>
      </c>
      <c r="F27" s="1" t="s">
        <v>236</v>
      </c>
      <c r="G27" s="1" t="s">
        <v>237</v>
      </c>
      <c r="H27" s="1" t="s">
        <v>238</v>
      </c>
      <c r="I27" s="1" t="s">
        <v>239</v>
      </c>
    </row>
    <row r="28" spans="1:9" x14ac:dyDescent="0.35">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1931</v>
      </c>
      <c r="D28" s="1" t="s">
        <v>111</v>
      </c>
      <c r="E28" s="1" t="s">
        <v>1932</v>
      </c>
      <c r="F28" s="1" t="s">
        <v>1933</v>
      </c>
      <c r="G28" s="1" t="s">
        <v>1934</v>
      </c>
      <c r="H28" s="1" t="s">
        <v>1935</v>
      </c>
      <c r="I28" s="1">
        <v>24</v>
      </c>
    </row>
    <row r="29" spans="1:9" x14ac:dyDescent="0.3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111</v>
      </c>
    </row>
    <row r="30" spans="1:9" x14ac:dyDescent="0.3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111</v>
      </c>
    </row>
    <row r="31" spans="1:9" x14ac:dyDescent="0.3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111</v>
      </c>
    </row>
    <row r="32" spans="1:9" x14ac:dyDescent="0.3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111</v>
      </c>
    </row>
    <row r="33" spans="1:7" x14ac:dyDescent="0.3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111</v>
      </c>
    </row>
    <row r="34" spans="1:7" x14ac:dyDescent="0.3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245</v>
      </c>
      <c r="D34" s="1" t="s">
        <v>109</v>
      </c>
      <c r="E34" s="1" t="s">
        <v>110</v>
      </c>
      <c r="F34" s="1" t="s">
        <v>111</v>
      </c>
      <c r="G34" s="1" t="s">
        <v>112</v>
      </c>
    </row>
    <row r="35" spans="1:7" x14ac:dyDescent="0.35">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1936</v>
      </c>
      <c r="D35" s="1" t="s">
        <v>891</v>
      </c>
      <c r="E35" s="1" t="s">
        <v>1937</v>
      </c>
      <c r="F35" s="1" t="s">
        <v>111</v>
      </c>
      <c r="G35" s="1">
        <v>94804</v>
      </c>
    </row>
    <row r="36" spans="1:7" x14ac:dyDescent="0.35">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1938</v>
      </c>
      <c r="D36" s="1" t="s">
        <v>341</v>
      </c>
      <c r="E36" s="1" t="s">
        <v>1939</v>
      </c>
      <c r="F36" s="1" t="s">
        <v>111</v>
      </c>
      <c r="G36" s="1">
        <v>122512</v>
      </c>
    </row>
    <row r="37" spans="1:7" x14ac:dyDescent="0.35">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1940</v>
      </c>
      <c r="D37" s="1" t="s">
        <v>721</v>
      </c>
      <c r="E37" s="1" t="s">
        <v>1941</v>
      </c>
      <c r="F37" s="1" t="s">
        <v>111</v>
      </c>
      <c r="G37" s="1">
        <v>14860</v>
      </c>
    </row>
    <row r="38" spans="1:7" x14ac:dyDescent="0.35">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1942</v>
      </c>
      <c r="D38" s="1" t="s">
        <v>1943</v>
      </c>
      <c r="E38" s="1" t="s">
        <v>1944</v>
      </c>
      <c r="F38" s="1" t="s">
        <v>111</v>
      </c>
      <c r="G38" s="1">
        <v>640526</v>
      </c>
    </row>
    <row r="39" spans="1:7" x14ac:dyDescent="0.35">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1945</v>
      </c>
      <c r="D39" s="1" t="s">
        <v>446</v>
      </c>
      <c r="E39" s="1" t="s">
        <v>1946</v>
      </c>
      <c r="F39" s="1" t="s">
        <v>111</v>
      </c>
      <c r="G39" s="1">
        <v>439995</v>
      </c>
    </row>
    <row r="40" spans="1:7" x14ac:dyDescent="0.35">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1947</v>
      </c>
      <c r="D40" s="1" t="s">
        <v>1948</v>
      </c>
      <c r="E40" s="1" t="s">
        <v>1949</v>
      </c>
      <c r="F40" s="1" t="s">
        <v>111</v>
      </c>
      <c r="G40" s="1">
        <v>185779</v>
      </c>
    </row>
    <row r="41" spans="1:7" x14ac:dyDescent="0.35">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1950</v>
      </c>
      <c r="D41" s="1" t="s">
        <v>1610</v>
      </c>
      <c r="E41" s="1" t="s">
        <v>1951</v>
      </c>
      <c r="F41" s="1" t="s">
        <v>111</v>
      </c>
      <c r="G41" s="1">
        <v>428034</v>
      </c>
    </row>
    <row r="42" spans="1:7" x14ac:dyDescent="0.35">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1952</v>
      </c>
      <c r="D42" s="1" t="s">
        <v>1953</v>
      </c>
      <c r="E42" s="1" t="s">
        <v>1954</v>
      </c>
      <c r="F42" s="1" t="s">
        <v>111</v>
      </c>
      <c r="G42" s="1">
        <v>400694</v>
      </c>
    </row>
    <row r="43" spans="1:7" x14ac:dyDescent="0.35">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1955</v>
      </c>
      <c r="D43" s="1" t="s">
        <v>1927</v>
      </c>
      <c r="E43" s="1" t="s">
        <v>1956</v>
      </c>
      <c r="F43" s="1" t="s">
        <v>111</v>
      </c>
      <c r="G43" s="1">
        <v>232500</v>
      </c>
    </row>
    <row r="44" spans="1:7" x14ac:dyDescent="0.35">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1957</v>
      </c>
    </row>
    <row r="45" spans="1:7" x14ac:dyDescent="0.35">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1958</v>
      </c>
      <c r="D45" s="1" t="s">
        <v>1613</v>
      </c>
      <c r="E45" s="1" t="s">
        <v>1959</v>
      </c>
      <c r="F45" s="1" t="s">
        <v>111</v>
      </c>
      <c r="G45" s="1">
        <v>67442</v>
      </c>
    </row>
    <row r="46" spans="1:7" x14ac:dyDescent="0.35">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1960</v>
      </c>
      <c r="D46" s="1" t="s">
        <v>1373</v>
      </c>
      <c r="E46" s="1" t="s">
        <v>1961</v>
      </c>
      <c r="F46" s="1" t="s">
        <v>111</v>
      </c>
      <c r="G46" s="1">
        <v>29633</v>
      </c>
    </row>
    <row r="47" spans="1:7" x14ac:dyDescent="0.35">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1962</v>
      </c>
      <c r="D47" s="1" t="s">
        <v>1963</v>
      </c>
      <c r="E47" s="1" t="s">
        <v>1964</v>
      </c>
      <c r="F47" s="1" t="s">
        <v>111</v>
      </c>
      <c r="G47" s="1">
        <v>173926</v>
      </c>
    </row>
    <row r="48" spans="1:7" x14ac:dyDescent="0.35">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1965</v>
      </c>
      <c r="D48" s="1" t="s">
        <v>1032</v>
      </c>
      <c r="E48" s="1" t="s">
        <v>1966</v>
      </c>
      <c r="F48" s="1" t="s">
        <v>111</v>
      </c>
      <c r="G48" s="1">
        <v>419555</v>
      </c>
    </row>
    <row r="49" spans="1:9" x14ac:dyDescent="0.35">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1967</v>
      </c>
      <c r="D49" s="1" t="s">
        <v>1639</v>
      </c>
      <c r="E49" s="1" t="s">
        <v>1968</v>
      </c>
      <c r="F49" s="1" t="s">
        <v>111</v>
      </c>
      <c r="G49" s="1">
        <v>52517</v>
      </c>
    </row>
    <row r="50" spans="1:9" x14ac:dyDescent="0.35">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1969</v>
      </c>
      <c r="D50" s="1" t="s">
        <v>1970</v>
      </c>
      <c r="E50" s="1" t="s">
        <v>1971</v>
      </c>
      <c r="F50" s="1" t="s">
        <v>111</v>
      </c>
      <c r="G50" s="1">
        <v>683288</v>
      </c>
    </row>
    <row r="51" spans="1:9" x14ac:dyDescent="0.35">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1972</v>
      </c>
    </row>
    <row r="52" spans="1:9" x14ac:dyDescent="0.35">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1973</v>
      </c>
      <c r="D52" s="1" t="s">
        <v>446</v>
      </c>
      <c r="E52" s="1" t="s">
        <v>1974</v>
      </c>
      <c r="F52" s="1" t="s">
        <v>111</v>
      </c>
      <c r="G52" s="1">
        <v>479405</v>
      </c>
    </row>
    <row r="53" spans="1:9" x14ac:dyDescent="0.35">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1975</v>
      </c>
      <c r="D53" s="1" t="s">
        <v>1976</v>
      </c>
      <c r="E53" s="1" t="s">
        <v>1977</v>
      </c>
      <c r="F53" s="1" t="s">
        <v>111</v>
      </c>
      <c r="G53" s="1">
        <v>649589</v>
      </c>
    </row>
    <row r="54" spans="1:9" x14ac:dyDescent="0.35">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1978</v>
      </c>
      <c r="D54" s="1" t="s">
        <v>883</v>
      </c>
      <c r="E54" s="1" t="s">
        <v>1979</v>
      </c>
      <c r="F54" s="1" t="s">
        <v>111</v>
      </c>
      <c r="G54" s="1">
        <v>44644</v>
      </c>
    </row>
    <row r="55" spans="1:9" x14ac:dyDescent="0.35">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1980</v>
      </c>
      <c r="D55" s="1" t="s">
        <v>437</v>
      </c>
      <c r="E55" s="1" t="s">
        <v>1981</v>
      </c>
      <c r="F55" s="1" t="s">
        <v>111</v>
      </c>
      <c r="G55" s="1">
        <v>326309</v>
      </c>
    </row>
    <row r="56" spans="1:9" x14ac:dyDescent="0.35">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1982</v>
      </c>
    </row>
    <row r="57" spans="1:9" x14ac:dyDescent="0.35">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1983</v>
      </c>
      <c r="D57" s="1" t="s">
        <v>1984</v>
      </c>
      <c r="E57" s="1" t="s">
        <v>1985</v>
      </c>
      <c r="F57" s="1" t="s">
        <v>111</v>
      </c>
      <c r="G57" s="1">
        <v>867121</v>
      </c>
    </row>
    <row r="58" spans="1:9" x14ac:dyDescent="0.35">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1986</v>
      </c>
      <c r="D58" s="1" t="s">
        <v>1987</v>
      </c>
      <c r="E58" s="1" t="s">
        <v>1988</v>
      </c>
      <c r="F58" s="1" t="s">
        <v>111</v>
      </c>
      <c r="G58" s="1">
        <v>731307</v>
      </c>
    </row>
    <row r="59" spans="1:9" x14ac:dyDescent="0.3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111</v>
      </c>
    </row>
    <row r="60" spans="1:9" x14ac:dyDescent="0.3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234</v>
      </c>
      <c r="D60" s="1" t="s">
        <v>111</v>
      </c>
      <c r="E60" s="1" t="s">
        <v>235</v>
      </c>
      <c r="F60" s="1" t="s">
        <v>236</v>
      </c>
      <c r="G60" s="1" t="s">
        <v>237</v>
      </c>
      <c r="H60" s="1" t="s">
        <v>238</v>
      </c>
      <c r="I60" s="1" t="s">
        <v>239</v>
      </c>
    </row>
    <row r="61" spans="1:9" x14ac:dyDescent="0.35">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1989</v>
      </c>
      <c r="D61" s="1" t="s">
        <v>111</v>
      </c>
      <c r="E61" s="1" t="s">
        <v>1990</v>
      </c>
      <c r="F61" s="1" t="s">
        <v>1991</v>
      </c>
      <c r="G61" s="1" t="s">
        <v>1992</v>
      </c>
      <c r="H61" s="1" t="s">
        <v>1993</v>
      </c>
      <c r="I61" s="1">
        <v>24</v>
      </c>
    </row>
    <row r="62" spans="1:9" x14ac:dyDescent="0.3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111</v>
      </c>
    </row>
    <row r="63" spans="1:9" x14ac:dyDescent="0.3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111</v>
      </c>
    </row>
    <row r="64" spans="1:9" x14ac:dyDescent="0.3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111</v>
      </c>
    </row>
    <row r="65" spans="1:7" x14ac:dyDescent="0.3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111</v>
      </c>
    </row>
    <row r="66" spans="1:7" x14ac:dyDescent="0.3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111</v>
      </c>
    </row>
    <row r="67" spans="1:7" x14ac:dyDescent="0.3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245</v>
      </c>
      <c r="D67" s="1" t="s">
        <v>109</v>
      </c>
      <c r="E67" s="1" t="s">
        <v>110</v>
      </c>
      <c r="F67" s="1" t="s">
        <v>111</v>
      </c>
      <c r="G67" s="1" t="s">
        <v>112</v>
      </c>
    </row>
    <row r="68" spans="1:7" x14ac:dyDescent="0.35">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1994</v>
      </c>
      <c r="D68" s="1" t="s">
        <v>443</v>
      </c>
      <c r="E68" s="1" t="s">
        <v>1995</v>
      </c>
      <c r="F68" s="1" t="s">
        <v>111</v>
      </c>
      <c r="G68" s="1">
        <v>657852</v>
      </c>
    </row>
    <row r="69" spans="1:7" x14ac:dyDescent="0.35">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1996</v>
      </c>
      <c r="D69" s="1" t="s">
        <v>1197</v>
      </c>
      <c r="E69" s="1" t="s">
        <v>1997</v>
      </c>
      <c r="F69" s="1" t="s">
        <v>111</v>
      </c>
      <c r="G69" s="1">
        <v>680217</v>
      </c>
    </row>
    <row r="70" spans="1:7" x14ac:dyDescent="0.35">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1998</v>
      </c>
      <c r="D70" s="1" t="s">
        <v>220</v>
      </c>
      <c r="E70" s="1" t="s">
        <v>1999</v>
      </c>
      <c r="F70" s="1" t="s">
        <v>111</v>
      </c>
      <c r="G70" s="1">
        <v>103737</v>
      </c>
    </row>
    <row r="71" spans="1:7" x14ac:dyDescent="0.35">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2000</v>
      </c>
      <c r="D71" s="1" t="s">
        <v>278</v>
      </c>
      <c r="E71" s="1" t="s">
        <v>838</v>
      </c>
      <c r="F71" s="1" t="s">
        <v>111</v>
      </c>
      <c r="G71" s="1">
        <v>11961</v>
      </c>
    </row>
    <row r="72" spans="1:7" x14ac:dyDescent="0.35">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2001</v>
      </c>
      <c r="D72" s="1" t="s">
        <v>1641</v>
      </c>
      <c r="E72" s="1" t="s">
        <v>2002</v>
      </c>
      <c r="F72" s="1" t="s">
        <v>111</v>
      </c>
      <c r="G72" s="1">
        <v>243336</v>
      </c>
    </row>
    <row r="73" spans="1:7" x14ac:dyDescent="0.35">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2003</v>
      </c>
      <c r="D73" s="1" t="s">
        <v>297</v>
      </c>
      <c r="E73" s="1" t="s">
        <v>2004</v>
      </c>
      <c r="F73" s="1" t="s">
        <v>111</v>
      </c>
      <c r="G73" s="1">
        <v>34305</v>
      </c>
    </row>
    <row r="74" spans="1:7" x14ac:dyDescent="0.35">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2005</v>
      </c>
      <c r="D74" s="1" t="s">
        <v>2006</v>
      </c>
      <c r="E74" s="1" t="s">
        <v>2007</v>
      </c>
      <c r="F74" s="1" t="s">
        <v>111</v>
      </c>
      <c r="G74" s="1">
        <v>492902</v>
      </c>
    </row>
    <row r="75" spans="1:7" x14ac:dyDescent="0.35">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2008</v>
      </c>
      <c r="D75" s="1" t="s">
        <v>2009</v>
      </c>
      <c r="E75" s="1" t="s">
        <v>2010</v>
      </c>
      <c r="F75" s="1" t="s">
        <v>111</v>
      </c>
      <c r="G75" s="1">
        <v>311297</v>
      </c>
    </row>
    <row r="76" spans="1:7" x14ac:dyDescent="0.35">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2011</v>
      </c>
      <c r="D76" s="1" t="s">
        <v>2012</v>
      </c>
      <c r="E76" s="1" t="s">
        <v>2013</v>
      </c>
      <c r="F76" s="1" t="s">
        <v>111</v>
      </c>
      <c r="G76" s="1">
        <v>149160</v>
      </c>
    </row>
    <row r="77" spans="1:7" x14ac:dyDescent="0.35">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2014</v>
      </c>
      <c r="D77" s="1" t="s">
        <v>420</v>
      </c>
      <c r="E77" s="1" t="s">
        <v>2015</v>
      </c>
      <c r="F77" s="1" t="s">
        <v>111</v>
      </c>
      <c r="G77" s="1">
        <v>336237</v>
      </c>
    </row>
    <row r="78" spans="1:7" x14ac:dyDescent="0.35">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2016</v>
      </c>
      <c r="D78" s="1" t="s">
        <v>705</v>
      </c>
      <c r="E78" s="1" t="s">
        <v>2017</v>
      </c>
      <c r="F78" s="1" t="s">
        <v>111</v>
      </c>
      <c r="G78" s="1">
        <v>88899</v>
      </c>
    </row>
    <row r="79" spans="1:7" x14ac:dyDescent="0.35">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2018</v>
      </c>
      <c r="D79" s="1" t="s">
        <v>859</v>
      </c>
      <c r="E79" s="1">
        <v>62</v>
      </c>
      <c r="F79" s="1" t="s">
        <v>111</v>
      </c>
      <c r="G79" s="1">
        <v>18775</v>
      </c>
    </row>
    <row r="80" spans="1:7" x14ac:dyDescent="0.35">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2019</v>
      </c>
      <c r="D80" s="1" t="s">
        <v>2020</v>
      </c>
      <c r="E80" s="1" t="s">
        <v>2021</v>
      </c>
      <c r="F80" s="1" t="s">
        <v>111</v>
      </c>
      <c r="G80" s="1">
        <v>661139</v>
      </c>
    </row>
    <row r="81" spans="1:9" x14ac:dyDescent="0.35">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2022</v>
      </c>
      <c r="D81" s="1" t="s">
        <v>220</v>
      </c>
      <c r="E81" s="1" t="s">
        <v>2023</v>
      </c>
      <c r="F81" s="1" t="s">
        <v>111</v>
      </c>
      <c r="G81" s="1">
        <v>100795</v>
      </c>
    </row>
    <row r="82" spans="1:9" x14ac:dyDescent="0.35">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2024</v>
      </c>
      <c r="D82" s="1" t="s">
        <v>2025</v>
      </c>
      <c r="E82" s="1" t="s">
        <v>2026</v>
      </c>
      <c r="F82" s="1" t="s">
        <v>111</v>
      </c>
      <c r="G82" s="1">
        <v>269335</v>
      </c>
    </row>
    <row r="83" spans="1:9" x14ac:dyDescent="0.35">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2027</v>
      </c>
      <c r="D83" s="1" t="s">
        <v>2028</v>
      </c>
      <c r="E83" s="1" t="s">
        <v>2029</v>
      </c>
      <c r="F83" s="1" t="s">
        <v>111</v>
      </c>
      <c r="G83" s="1">
        <v>1297145</v>
      </c>
    </row>
    <row r="84" spans="1:9" x14ac:dyDescent="0.35">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2030</v>
      </c>
      <c r="D84" s="1" t="s">
        <v>1987</v>
      </c>
      <c r="E84" s="1" t="s">
        <v>2031</v>
      </c>
      <c r="F84" s="1" t="s">
        <v>111</v>
      </c>
      <c r="G84" s="1">
        <v>775562</v>
      </c>
    </row>
    <row r="85" spans="1:9" x14ac:dyDescent="0.35">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2032</v>
      </c>
      <c r="D85" s="1" t="s">
        <v>2033</v>
      </c>
      <c r="E85" s="1" t="s">
        <v>2034</v>
      </c>
      <c r="F85" s="1" t="s">
        <v>111</v>
      </c>
      <c r="G85" s="1">
        <v>675372</v>
      </c>
    </row>
    <row r="86" spans="1:9" x14ac:dyDescent="0.35">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2035</v>
      </c>
      <c r="D86" s="1" t="s">
        <v>2036</v>
      </c>
      <c r="E86" s="1" t="s">
        <v>2037</v>
      </c>
      <c r="F86" s="1" t="s">
        <v>111</v>
      </c>
      <c r="G86" s="1">
        <v>569602</v>
      </c>
    </row>
    <row r="87" spans="1:9" x14ac:dyDescent="0.35">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2038</v>
      </c>
      <c r="D87" s="1" t="s">
        <v>1220</v>
      </c>
      <c r="E87" s="1" t="s">
        <v>2039</v>
      </c>
      <c r="F87" s="1" t="s">
        <v>111</v>
      </c>
      <c r="G87" s="1">
        <v>301845</v>
      </c>
    </row>
    <row r="88" spans="1:9" x14ac:dyDescent="0.35">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2040</v>
      </c>
      <c r="D88" s="1" t="s">
        <v>1621</v>
      </c>
      <c r="E88" s="1" t="s">
        <v>2041</v>
      </c>
      <c r="F88" s="1" t="s">
        <v>111</v>
      </c>
      <c r="G88" s="1">
        <v>325833</v>
      </c>
    </row>
    <row r="89" spans="1:9" x14ac:dyDescent="0.35">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2042</v>
      </c>
      <c r="D89" s="1" t="s">
        <v>2043</v>
      </c>
      <c r="E89" s="1" t="s">
        <v>2044</v>
      </c>
      <c r="F89" s="1" t="s">
        <v>111</v>
      </c>
      <c r="G89" s="1">
        <v>516306</v>
      </c>
    </row>
    <row r="90" spans="1:9" x14ac:dyDescent="0.35">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2045</v>
      </c>
      <c r="D90" s="1" t="s">
        <v>1644</v>
      </c>
      <c r="E90" s="1" t="s">
        <v>2046</v>
      </c>
      <c r="F90" s="1" t="s">
        <v>111</v>
      </c>
      <c r="G90" s="1">
        <v>82821</v>
      </c>
    </row>
    <row r="91" spans="1:9" x14ac:dyDescent="0.35">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2047</v>
      </c>
      <c r="D91" s="1" t="s">
        <v>878</v>
      </c>
      <c r="E91" s="1" t="s">
        <v>2048</v>
      </c>
      <c r="F91" s="1" t="s">
        <v>111</v>
      </c>
      <c r="G91" s="1">
        <v>95431</v>
      </c>
    </row>
    <row r="92" spans="1:9" x14ac:dyDescent="0.3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111</v>
      </c>
    </row>
    <row r="93" spans="1:9" x14ac:dyDescent="0.3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234</v>
      </c>
      <c r="D93" s="1" t="s">
        <v>111</v>
      </c>
      <c r="E93" s="1" t="s">
        <v>235</v>
      </c>
      <c r="F93" s="1" t="s">
        <v>236</v>
      </c>
      <c r="G93" s="1" t="s">
        <v>237</v>
      </c>
      <c r="H93" s="1" t="s">
        <v>238</v>
      </c>
      <c r="I93" s="1" t="s">
        <v>239</v>
      </c>
    </row>
    <row r="94" spans="1:9" x14ac:dyDescent="0.35">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2049</v>
      </c>
      <c r="D94" s="1" t="s">
        <v>111</v>
      </c>
      <c r="E94" s="1" t="s">
        <v>2050</v>
      </c>
      <c r="F94" s="1" t="s">
        <v>2051</v>
      </c>
      <c r="G94" s="1">
        <v>366661</v>
      </c>
      <c r="H94" s="1" t="s">
        <v>2052</v>
      </c>
      <c r="I94" s="1">
        <v>24</v>
      </c>
    </row>
    <row r="95" spans="1:9" x14ac:dyDescent="0.3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111</v>
      </c>
    </row>
    <row r="96" spans="1:9" x14ac:dyDescent="0.3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111</v>
      </c>
    </row>
    <row r="97" spans="1:7" x14ac:dyDescent="0.3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111</v>
      </c>
    </row>
    <row r="98" spans="1:7" x14ac:dyDescent="0.3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111</v>
      </c>
    </row>
    <row r="99" spans="1:7" x14ac:dyDescent="0.3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111</v>
      </c>
    </row>
    <row r="100" spans="1:7" x14ac:dyDescent="0.3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245</v>
      </c>
      <c r="D100" s="1" t="s">
        <v>109</v>
      </c>
      <c r="E100" s="1" t="s">
        <v>110</v>
      </c>
      <c r="F100" s="1" t="s">
        <v>111</v>
      </c>
      <c r="G100" s="1" t="s">
        <v>112</v>
      </c>
    </row>
    <row r="101" spans="1:7" x14ac:dyDescent="0.3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2053</v>
      </c>
      <c r="D101" s="1" t="s">
        <v>2054</v>
      </c>
      <c r="E101" s="1" t="s">
        <v>2055</v>
      </c>
      <c r="F101" s="1" t="s">
        <v>111</v>
      </c>
      <c r="G101" s="1">
        <v>343915</v>
      </c>
    </row>
    <row r="102" spans="1:7" x14ac:dyDescent="0.3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2056</v>
      </c>
      <c r="D102" s="1" t="s">
        <v>1194</v>
      </c>
      <c r="E102" s="1" t="s">
        <v>2057</v>
      </c>
      <c r="F102" s="1" t="s">
        <v>111</v>
      </c>
      <c r="G102" s="1">
        <v>163760</v>
      </c>
    </row>
    <row r="103" spans="1:7" x14ac:dyDescent="0.3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2058</v>
      </c>
      <c r="D103" s="1" t="s">
        <v>1629</v>
      </c>
      <c r="E103" s="1" t="s">
        <v>2059</v>
      </c>
      <c r="F103" s="1" t="s">
        <v>111</v>
      </c>
      <c r="G103" s="1">
        <v>135922</v>
      </c>
    </row>
    <row r="104" spans="1:7" x14ac:dyDescent="0.3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2060</v>
      </c>
      <c r="D104" s="1" t="s">
        <v>214</v>
      </c>
      <c r="E104" s="1" t="s">
        <v>2061</v>
      </c>
      <c r="F104" s="1" t="s">
        <v>111</v>
      </c>
      <c r="G104" s="1">
        <v>31212</v>
      </c>
    </row>
    <row r="105" spans="1:7" x14ac:dyDescent="0.3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2062</v>
      </c>
      <c r="D105" s="1" t="s">
        <v>1373</v>
      </c>
      <c r="E105" s="1" t="s">
        <v>2063</v>
      </c>
      <c r="F105" s="1" t="s">
        <v>111</v>
      </c>
      <c r="G105" s="1">
        <v>30260</v>
      </c>
    </row>
    <row r="106" spans="1:7" x14ac:dyDescent="0.3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2064</v>
      </c>
      <c r="D106" s="1" t="s">
        <v>265</v>
      </c>
      <c r="E106" s="1" t="s">
        <v>2065</v>
      </c>
      <c r="F106" s="1" t="s">
        <v>111</v>
      </c>
      <c r="G106" s="1">
        <v>20721</v>
      </c>
    </row>
    <row r="107" spans="1:7" x14ac:dyDescent="0.3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2066</v>
      </c>
      <c r="D107" s="1" t="s">
        <v>2067</v>
      </c>
      <c r="E107" s="1" t="s">
        <v>2068</v>
      </c>
      <c r="F107" s="1" t="s">
        <v>111</v>
      </c>
      <c r="G107" s="1">
        <v>615652</v>
      </c>
    </row>
    <row r="108" spans="1:7" x14ac:dyDescent="0.3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2069</v>
      </c>
      <c r="D108" s="1" t="s">
        <v>2070</v>
      </c>
      <c r="E108" s="1" t="s">
        <v>2071</v>
      </c>
      <c r="F108" s="1" t="s">
        <v>111</v>
      </c>
      <c r="G108" s="1">
        <v>460198</v>
      </c>
    </row>
    <row r="109" spans="1:7" x14ac:dyDescent="0.3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2072</v>
      </c>
      <c r="D109" s="1" t="s">
        <v>1569</v>
      </c>
      <c r="E109" s="1" t="s">
        <v>2073</v>
      </c>
      <c r="F109" s="1" t="s">
        <v>111</v>
      </c>
      <c r="G109" s="1">
        <v>454855</v>
      </c>
    </row>
    <row r="110" spans="1:7" x14ac:dyDescent="0.3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2074</v>
      </c>
      <c r="D110" s="1" t="s">
        <v>2075</v>
      </c>
      <c r="E110" s="1" t="s">
        <v>2076</v>
      </c>
      <c r="F110" s="1" t="s">
        <v>111</v>
      </c>
      <c r="G110" s="1">
        <v>715149</v>
      </c>
    </row>
    <row r="111" spans="1:7" x14ac:dyDescent="0.3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2077</v>
      </c>
      <c r="D111" s="1" t="s">
        <v>2078</v>
      </c>
      <c r="E111" s="1" t="s">
        <v>2079</v>
      </c>
      <c r="F111" s="1" t="s">
        <v>111</v>
      </c>
      <c r="G111" s="1">
        <v>565427</v>
      </c>
    </row>
    <row r="112" spans="1:7" x14ac:dyDescent="0.3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2080</v>
      </c>
      <c r="D112" s="1" t="s">
        <v>2081</v>
      </c>
      <c r="E112" s="1" t="s">
        <v>2082</v>
      </c>
      <c r="F112" s="1" t="s">
        <v>111</v>
      </c>
      <c r="G112" s="1">
        <v>536205</v>
      </c>
    </row>
    <row r="113" spans="1:9" x14ac:dyDescent="0.3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2083</v>
      </c>
      <c r="D113" s="1" t="s">
        <v>1715</v>
      </c>
      <c r="E113" s="1" t="s">
        <v>2084</v>
      </c>
      <c r="F113" s="1" t="s">
        <v>111</v>
      </c>
      <c r="G113" s="1">
        <v>589696</v>
      </c>
    </row>
    <row r="114" spans="1:9" x14ac:dyDescent="0.3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2085</v>
      </c>
      <c r="D114" s="1" t="s">
        <v>2086</v>
      </c>
      <c r="E114" s="1" t="s">
        <v>2087</v>
      </c>
      <c r="F114" s="1" t="s">
        <v>111</v>
      </c>
      <c r="G114" s="1">
        <v>883495</v>
      </c>
    </row>
    <row r="115" spans="1:9" x14ac:dyDescent="0.3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2088</v>
      </c>
      <c r="D115" s="1" t="s">
        <v>1633</v>
      </c>
      <c r="E115" s="1" t="s">
        <v>2089</v>
      </c>
      <c r="F115" s="1" t="s">
        <v>111</v>
      </c>
      <c r="G115" s="1">
        <v>1013555</v>
      </c>
    </row>
    <row r="116" spans="1:9" x14ac:dyDescent="0.3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2090</v>
      </c>
      <c r="D116" s="1" t="s">
        <v>2091</v>
      </c>
      <c r="E116" s="1" t="s">
        <v>2092</v>
      </c>
      <c r="F116" s="1" t="s">
        <v>111</v>
      </c>
      <c r="G116" s="1">
        <v>179333</v>
      </c>
    </row>
    <row r="117" spans="1:9" x14ac:dyDescent="0.3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2093</v>
      </c>
      <c r="D117" s="1" t="s">
        <v>2094</v>
      </c>
      <c r="E117" s="1" t="s">
        <v>2095</v>
      </c>
      <c r="F117" s="1" t="s">
        <v>111</v>
      </c>
      <c r="G117" s="1">
        <v>312703</v>
      </c>
    </row>
    <row r="118" spans="1:9" x14ac:dyDescent="0.3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2096</v>
      </c>
      <c r="D118" s="1" t="s">
        <v>2097</v>
      </c>
      <c r="E118" s="1" t="s">
        <v>2098</v>
      </c>
      <c r="F118" s="1" t="s">
        <v>111</v>
      </c>
      <c r="G118" s="1">
        <v>216861</v>
      </c>
    </row>
    <row r="119" spans="1:9" x14ac:dyDescent="0.3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2099</v>
      </c>
      <c r="D119" s="1" t="s">
        <v>859</v>
      </c>
      <c r="E119" s="1" t="s">
        <v>2100</v>
      </c>
      <c r="F119" s="1" t="s">
        <v>111</v>
      </c>
      <c r="G119" s="1">
        <v>18710</v>
      </c>
    </row>
    <row r="120" spans="1:9" x14ac:dyDescent="0.3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2101</v>
      </c>
      <c r="D120" s="1" t="s">
        <v>1203</v>
      </c>
      <c r="E120" s="1" t="s">
        <v>2102</v>
      </c>
      <c r="F120" s="1" t="s">
        <v>111</v>
      </c>
      <c r="G120" s="1">
        <v>69172</v>
      </c>
    </row>
    <row r="121" spans="1:9" x14ac:dyDescent="0.3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2103</v>
      </c>
      <c r="D121" s="1" t="s">
        <v>1071</v>
      </c>
      <c r="E121" s="1" t="s">
        <v>2104</v>
      </c>
      <c r="F121" s="1" t="s">
        <v>111</v>
      </c>
      <c r="G121" s="1">
        <v>125994</v>
      </c>
    </row>
    <row r="122" spans="1:9" x14ac:dyDescent="0.3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2105</v>
      </c>
      <c r="D122" s="1" t="s">
        <v>2106</v>
      </c>
      <c r="E122" s="1" t="s">
        <v>2107</v>
      </c>
      <c r="F122" s="1" t="s">
        <v>111</v>
      </c>
      <c r="G122" s="1">
        <v>430976</v>
      </c>
    </row>
    <row r="123" spans="1:9" x14ac:dyDescent="0.3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2108</v>
      </c>
      <c r="D123" s="1" t="s">
        <v>2109</v>
      </c>
      <c r="E123" s="1" t="s">
        <v>2110</v>
      </c>
      <c r="F123" s="1" t="s">
        <v>111</v>
      </c>
      <c r="G123" s="1">
        <v>521367</v>
      </c>
    </row>
    <row r="124" spans="1:9" x14ac:dyDescent="0.3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2111</v>
      </c>
      <c r="D124" s="1" t="s">
        <v>2112</v>
      </c>
      <c r="E124" s="1" t="s">
        <v>2113</v>
      </c>
      <c r="F124" s="1" t="s">
        <v>111</v>
      </c>
      <c r="G124" s="1">
        <v>450291</v>
      </c>
    </row>
    <row r="125" spans="1:9" x14ac:dyDescent="0.3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111</v>
      </c>
    </row>
    <row r="126" spans="1:9" x14ac:dyDescent="0.3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234</v>
      </c>
      <c r="D126" s="1" t="s">
        <v>111</v>
      </c>
      <c r="E126" s="1" t="s">
        <v>235</v>
      </c>
      <c r="F126" s="1" t="s">
        <v>236</v>
      </c>
      <c r="G126" s="1" t="s">
        <v>237</v>
      </c>
      <c r="H126" s="1" t="s">
        <v>238</v>
      </c>
      <c r="I126" s="1" t="s">
        <v>239</v>
      </c>
    </row>
    <row r="127" spans="1:9" x14ac:dyDescent="0.3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2114</v>
      </c>
      <c r="D127" s="1" t="s">
        <v>111</v>
      </c>
      <c r="E127" s="1" t="s">
        <v>2115</v>
      </c>
      <c r="F127" s="1" t="s">
        <v>2116</v>
      </c>
      <c r="G127" s="1" t="s">
        <v>2117</v>
      </c>
      <c r="H127" s="1" t="s">
        <v>2118</v>
      </c>
      <c r="I127" s="1">
        <v>24</v>
      </c>
    </row>
    <row r="128" spans="1:9" x14ac:dyDescent="0.3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111</v>
      </c>
    </row>
    <row r="129" spans="1:7" x14ac:dyDescent="0.3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111</v>
      </c>
    </row>
    <row r="130" spans="1:7" x14ac:dyDescent="0.3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111</v>
      </c>
    </row>
    <row r="131" spans="1:7" x14ac:dyDescent="0.3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111</v>
      </c>
    </row>
    <row r="132" spans="1:7" x14ac:dyDescent="0.3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111</v>
      </c>
    </row>
    <row r="133" spans="1:7" x14ac:dyDescent="0.3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245</v>
      </c>
      <c r="D133" s="1" t="s">
        <v>109</v>
      </c>
      <c r="E133" s="1" t="s">
        <v>110</v>
      </c>
      <c r="F133" s="1" t="s">
        <v>111</v>
      </c>
      <c r="G133" s="1" t="s">
        <v>112</v>
      </c>
    </row>
    <row r="134" spans="1:7" x14ac:dyDescent="0.3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2119</v>
      </c>
      <c r="D134" s="1" t="s">
        <v>2120</v>
      </c>
      <c r="E134" s="1" t="s">
        <v>2121</v>
      </c>
      <c r="F134" s="1" t="s">
        <v>111</v>
      </c>
      <c r="G134" s="1">
        <v>629560</v>
      </c>
    </row>
    <row r="135" spans="1:7" x14ac:dyDescent="0.3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2122</v>
      </c>
      <c r="D135" s="1" t="s">
        <v>1626</v>
      </c>
      <c r="E135" s="1" t="s">
        <v>2123</v>
      </c>
      <c r="F135" s="1" t="s">
        <v>111</v>
      </c>
      <c r="G135" s="1">
        <v>217597</v>
      </c>
    </row>
    <row r="136" spans="1:7" x14ac:dyDescent="0.3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2124</v>
      </c>
      <c r="D136" s="1" t="s">
        <v>2125</v>
      </c>
      <c r="E136" s="1" t="s">
        <v>2126</v>
      </c>
      <c r="F136" s="1" t="s">
        <v>111</v>
      </c>
      <c r="G136" s="1">
        <v>538909</v>
      </c>
    </row>
    <row r="137" spans="1:7" x14ac:dyDescent="0.3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2127</v>
      </c>
      <c r="D137" s="1" t="s">
        <v>2128</v>
      </c>
      <c r="E137" s="1" t="s">
        <v>2129</v>
      </c>
      <c r="F137" s="1" t="s">
        <v>111</v>
      </c>
      <c r="G137" s="1">
        <v>4292453</v>
      </c>
    </row>
    <row r="138" spans="1:7" x14ac:dyDescent="0.3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2130</v>
      </c>
      <c r="D138" s="1" t="s">
        <v>2131</v>
      </c>
      <c r="E138" s="1" t="s">
        <v>2132</v>
      </c>
      <c r="F138" s="1" t="s">
        <v>111</v>
      </c>
      <c r="G138" s="1">
        <v>4469450</v>
      </c>
    </row>
    <row r="139" spans="1:7" x14ac:dyDescent="0.3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2133</v>
      </c>
      <c r="D139" s="1" t="s">
        <v>2134</v>
      </c>
      <c r="E139" s="1" t="s">
        <v>2135</v>
      </c>
      <c r="F139" s="1" t="s">
        <v>111</v>
      </c>
      <c r="G139" s="1">
        <v>3627550</v>
      </c>
    </row>
    <row r="140" spans="1:7" x14ac:dyDescent="0.3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2136</v>
      </c>
      <c r="D140" s="1" t="s">
        <v>362</v>
      </c>
      <c r="E140" s="1" t="s">
        <v>2137</v>
      </c>
      <c r="F140" s="1" t="s">
        <v>111</v>
      </c>
      <c r="G140" s="1">
        <v>228130</v>
      </c>
    </row>
    <row r="141" spans="1:7" x14ac:dyDescent="0.3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2138</v>
      </c>
      <c r="D141" s="1" t="s">
        <v>1618</v>
      </c>
      <c r="E141" s="1" t="s">
        <v>2139</v>
      </c>
      <c r="F141" s="1" t="s">
        <v>111</v>
      </c>
      <c r="G141" s="1">
        <v>349928</v>
      </c>
    </row>
    <row r="142" spans="1:7" x14ac:dyDescent="0.3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2140</v>
      </c>
      <c r="D142" s="1" t="s">
        <v>2141</v>
      </c>
      <c r="E142" s="1" t="s">
        <v>1612</v>
      </c>
      <c r="F142" s="1" t="s">
        <v>111</v>
      </c>
      <c r="G142" s="1">
        <v>90175</v>
      </c>
    </row>
    <row r="143" spans="1:7" x14ac:dyDescent="0.3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2142</v>
      </c>
      <c r="D143" s="1" t="s">
        <v>2143</v>
      </c>
      <c r="E143" s="1" t="s">
        <v>2144</v>
      </c>
      <c r="F143" s="1" t="s">
        <v>111</v>
      </c>
      <c r="G143" s="1">
        <v>1727666</v>
      </c>
    </row>
    <row r="144" spans="1:7" x14ac:dyDescent="0.3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2145</v>
      </c>
      <c r="D144" s="1" t="s">
        <v>1783</v>
      </c>
      <c r="E144" s="1" t="s">
        <v>2146</v>
      </c>
      <c r="F144" s="1" t="s">
        <v>111</v>
      </c>
      <c r="G144" s="1">
        <v>1409966</v>
      </c>
    </row>
    <row r="145" spans="1:9" x14ac:dyDescent="0.3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2147</v>
      </c>
      <c r="D145" s="1" t="s">
        <v>2148</v>
      </c>
      <c r="E145" s="1" t="s">
        <v>2149</v>
      </c>
      <c r="F145" s="1" t="s">
        <v>111</v>
      </c>
      <c r="G145" s="1">
        <v>1486601</v>
      </c>
    </row>
    <row r="146" spans="1:9" x14ac:dyDescent="0.3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2150</v>
      </c>
      <c r="D146" s="1" t="s">
        <v>1619</v>
      </c>
      <c r="E146" s="1" t="s">
        <v>2151</v>
      </c>
      <c r="F146" s="1" t="s">
        <v>111</v>
      </c>
      <c r="G146" s="1">
        <v>310735</v>
      </c>
    </row>
    <row r="147" spans="1:9" x14ac:dyDescent="0.3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2152</v>
      </c>
      <c r="D147" s="1" t="s">
        <v>2153</v>
      </c>
      <c r="E147" s="1" t="s">
        <v>2154</v>
      </c>
      <c r="F147" s="1" t="s">
        <v>111</v>
      </c>
      <c r="G147" s="1">
        <v>770911</v>
      </c>
    </row>
    <row r="148" spans="1:9" x14ac:dyDescent="0.3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2155</v>
      </c>
      <c r="D148" s="1" t="s">
        <v>2156</v>
      </c>
      <c r="E148" s="1" t="s">
        <v>2157</v>
      </c>
      <c r="F148" s="1" t="s">
        <v>111</v>
      </c>
      <c r="G148" s="1">
        <v>332322</v>
      </c>
    </row>
    <row r="149" spans="1:9" x14ac:dyDescent="0.3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2158</v>
      </c>
      <c r="D149" s="1" t="s">
        <v>1636</v>
      </c>
      <c r="E149" s="1" t="s">
        <v>2159</v>
      </c>
      <c r="F149" s="1" t="s">
        <v>111</v>
      </c>
      <c r="G149" s="1">
        <v>570575</v>
      </c>
    </row>
    <row r="150" spans="1:9" x14ac:dyDescent="0.3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2160</v>
      </c>
      <c r="D150" s="1" t="s">
        <v>2161</v>
      </c>
      <c r="E150" s="1" t="s">
        <v>2162</v>
      </c>
      <c r="F150" s="1" t="s">
        <v>111</v>
      </c>
      <c r="G150" s="1">
        <v>834416</v>
      </c>
    </row>
    <row r="151" spans="1:9" x14ac:dyDescent="0.3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2163</v>
      </c>
      <c r="D151" s="1" t="s">
        <v>2164</v>
      </c>
      <c r="E151" s="1" t="s">
        <v>2165</v>
      </c>
      <c r="F151" s="1" t="s">
        <v>111</v>
      </c>
      <c r="G151" s="1">
        <v>259148</v>
      </c>
    </row>
    <row r="152" spans="1:9" x14ac:dyDescent="0.3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2166</v>
      </c>
      <c r="D152" s="1" t="s">
        <v>1842</v>
      </c>
      <c r="E152" s="1" t="s">
        <v>2167</v>
      </c>
      <c r="F152" s="1" t="s">
        <v>111</v>
      </c>
      <c r="G152" s="1">
        <v>366865</v>
      </c>
    </row>
    <row r="153" spans="1:9" x14ac:dyDescent="0.3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2168</v>
      </c>
    </row>
    <row r="154" spans="1:9" x14ac:dyDescent="0.3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2169</v>
      </c>
      <c r="D154" s="1" t="s">
        <v>1627</v>
      </c>
      <c r="E154" s="1" t="s">
        <v>2170</v>
      </c>
      <c r="F154" s="1" t="s">
        <v>111</v>
      </c>
      <c r="G154" s="1">
        <v>224497</v>
      </c>
    </row>
    <row r="155" spans="1:9" x14ac:dyDescent="0.3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2171</v>
      </c>
      <c r="D155" s="1" t="s">
        <v>1665</v>
      </c>
      <c r="E155" s="1" t="s">
        <v>2172</v>
      </c>
      <c r="F155" s="1" t="s">
        <v>111</v>
      </c>
      <c r="G155" s="1">
        <v>736433</v>
      </c>
    </row>
    <row r="156" spans="1:9" x14ac:dyDescent="0.3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2173</v>
      </c>
      <c r="D156" s="1" t="s">
        <v>305</v>
      </c>
      <c r="E156" s="1" t="s">
        <v>2174</v>
      </c>
      <c r="F156" s="1" t="s">
        <v>111</v>
      </c>
      <c r="G156" s="1">
        <v>581390</v>
      </c>
    </row>
    <row r="157" spans="1:9" x14ac:dyDescent="0.3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2175</v>
      </c>
      <c r="D157" s="1" t="s">
        <v>1757</v>
      </c>
      <c r="E157" s="1" t="s">
        <v>2176</v>
      </c>
      <c r="F157" s="1" t="s">
        <v>111</v>
      </c>
      <c r="G157" s="1">
        <v>292501</v>
      </c>
    </row>
    <row r="158" spans="1:9" x14ac:dyDescent="0.3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111</v>
      </c>
    </row>
    <row r="159" spans="1:9" x14ac:dyDescent="0.3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234</v>
      </c>
      <c r="D159" s="1" t="s">
        <v>111</v>
      </c>
      <c r="E159" s="1" t="s">
        <v>235</v>
      </c>
      <c r="F159" s="1" t="s">
        <v>236</v>
      </c>
      <c r="G159" s="1" t="s">
        <v>237</v>
      </c>
      <c r="H159" s="1" t="s">
        <v>238</v>
      </c>
      <c r="I159" s="1" t="s">
        <v>239</v>
      </c>
    </row>
    <row r="160" spans="1:9" x14ac:dyDescent="0.3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2177</v>
      </c>
      <c r="D160" s="1" t="s">
        <v>111</v>
      </c>
      <c r="E160" s="1" t="s">
        <v>2178</v>
      </c>
      <c r="F160" s="1" t="s">
        <v>2179</v>
      </c>
      <c r="G160" s="1" t="s">
        <v>2180</v>
      </c>
      <c r="H160" s="1" t="s">
        <v>2181</v>
      </c>
      <c r="I160" s="1">
        <v>24</v>
      </c>
    </row>
    <row r="161" spans="1:7" x14ac:dyDescent="0.3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111</v>
      </c>
    </row>
    <row r="162" spans="1:7" x14ac:dyDescent="0.3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111</v>
      </c>
    </row>
    <row r="163" spans="1:7" x14ac:dyDescent="0.3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111</v>
      </c>
    </row>
    <row r="164" spans="1:7" x14ac:dyDescent="0.3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111</v>
      </c>
    </row>
    <row r="165" spans="1:7" x14ac:dyDescent="0.3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111</v>
      </c>
    </row>
    <row r="166" spans="1:7" x14ac:dyDescent="0.3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245</v>
      </c>
      <c r="D166" s="1" t="s">
        <v>109</v>
      </c>
      <c r="E166" s="1" t="s">
        <v>110</v>
      </c>
      <c r="F166" s="1" t="s">
        <v>111</v>
      </c>
      <c r="G166" s="1" t="s">
        <v>112</v>
      </c>
    </row>
    <row r="167" spans="1:7" x14ac:dyDescent="0.35">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2182</v>
      </c>
      <c r="D167" s="1" t="s">
        <v>2183</v>
      </c>
      <c r="E167" s="1" t="s">
        <v>2184</v>
      </c>
      <c r="F167" s="1" t="s">
        <v>111</v>
      </c>
      <c r="G167" s="1">
        <v>2347017</v>
      </c>
    </row>
    <row r="168" spans="1:7" x14ac:dyDescent="0.35">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2185</v>
      </c>
      <c r="D168" s="1" t="s">
        <v>2186</v>
      </c>
      <c r="E168" s="1" t="s">
        <v>2187</v>
      </c>
      <c r="F168" s="1" t="s">
        <v>111</v>
      </c>
      <c r="G168" s="1">
        <v>890762</v>
      </c>
    </row>
    <row r="169" spans="1:7" x14ac:dyDescent="0.35">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2188</v>
      </c>
      <c r="D169" s="1" t="s">
        <v>2189</v>
      </c>
      <c r="E169" s="1" t="s">
        <v>2190</v>
      </c>
      <c r="F169" s="1" t="s">
        <v>111</v>
      </c>
      <c r="G169" s="1">
        <v>2057436</v>
      </c>
    </row>
    <row r="170" spans="1:7" x14ac:dyDescent="0.35">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2191</v>
      </c>
      <c r="D170" s="1" t="s">
        <v>2192</v>
      </c>
      <c r="E170" s="1" t="s">
        <v>2193</v>
      </c>
      <c r="F170" s="1" t="s">
        <v>111</v>
      </c>
      <c r="G170" s="1">
        <v>3210201</v>
      </c>
    </row>
    <row r="171" spans="1:7" x14ac:dyDescent="0.35">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2194</v>
      </c>
      <c r="D171" s="1" t="s">
        <v>2195</v>
      </c>
      <c r="E171" s="1" t="s">
        <v>2196</v>
      </c>
      <c r="F171" s="1" t="s">
        <v>111</v>
      </c>
      <c r="G171" s="1">
        <v>2573893</v>
      </c>
    </row>
    <row r="172" spans="1:7" x14ac:dyDescent="0.35">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2197</v>
      </c>
      <c r="D172" s="1" t="s">
        <v>2198</v>
      </c>
      <c r="E172" s="1" t="s">
        <v>2199</v>
      </c>
      <c r="F172" s="1" t="s">
        <v>111</v>
      </c>
      <c r="G172" s="1">
        <v>3062555</v>
      </c>
    </row>
    <row r="173" spans="1:7" x14ac:dyDescent="0.35">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2200</v>
      </c>
      <c r="D173" s="1" t="s">
        <v>2201</v>
      </c>
      <c r="E173" s="1" t="s">
        <v>2202</v>
      </c>
      <c r="F173" s="1" t="s">
        <v>111</v>
      </c>
      <c r="G173" s="1">
        <v>526234</v>
      </c>
    </row>
    <row r="174" spans="1:7" x14ac:dyDescent="0.35">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2203</v>
      </c>
      <c r="D174" s="1" t="s">
        <v>2204</v>
      </c>
      <c r="E174" s="1" t="s">
        <v>2205</v>
      </c>
      <c r="F174" s="1" t="s">
        <v>111</v>
      </c>
      <c r="G174" s="1">
        <v>858815</v>
      </c>
    </row>
    <row r="175" spans="1:7" x14ac:dyDescent="0.35">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2206</v>
      </c>
      <c r="D175" s="1" t="s">
        <v>2207</v>
      </c>
      <c r="E175" s="1" t="s">
        <v>2208</v>
      </c>
      <c r="F175" s="1" t="s">
        <v>111</v>
      </c>
      <c r="G175" s="1">
        <v>748740</v>
      </c>
    </row>
    <row r="176" spans="1:7" x14ac:dyDescent="0.35">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2209</v>
      </c>
      <c r="D176" s="1" t="s">
        <v>2210</v>
      </c>
      <c r="E176" s="1" t="s">
        <v>2211</v>
      </c>
      <c r="F176" s="1" t="s">
        <v>111</v>
      </c>
      <c r="G176" s="1">
        <v>4035706</v>
      </c>
    </row>
    <row r="177" spans="1:9" x14ac:dyDescent="0.35">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2212</v>
      </c>
      <c r="D177" s="1" t="s">
        <v>543</v>
      </c>
      <c r="E177" s="1" t="s">
        <v>2213</v>
      </c>
      <c r="F177" s="1" t="s">
        <v>111</v>
      </c>
      <c r="G177" s="1">
        <v>2774531</v>
      </c>
    </row>
    <row r="178" spans="1:9" x14ac:dyDescent="0.35">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2214</v>
      </c>
      <c r="D178" s="1" t="s">
        <v>1704</v>
      </c>
      <c r="E178" s="1" t="s">
        <v>2215</v>
      </c>
      <c r="F178" s="1" t="s">
        <v>111</v>
      </c>
      <c r="G178" s="1">
        <v>2716023</v>
      </c>
    </row>
    <row r="179" spans="1:9" x14ac:dyDescent="0.35">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2216</v>
      </c>
      <c r="D179" s="1" t="s">
        <v>2217</v>
      </c>
      <c r="E179" s="1" t="s">
        <v>2218</v>
      </c>
      <c r="F179" s="1" t="s">
        <v>111</v>
      </c>
      <c r="G179" s="1">
        <v>2590764</v>
      </c>
    </row>
    <row r="180" spans="1:9" x14ac:dyDescent="0.35">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2219</v>
      </c>
      <c r="D180" s="1" t="s">
        <v>2220</v>
      </c>
      <c r="E180" s="1" t="s">
        <v>2221</v>
      </c>
      <c r="F180" s="1" t="s">
        <v>111</v>
      </c>
      <c r="G180" s="1">
        <v>3157056</v>
      </c>
    </row>
    <row r="181" spans="1:9" x14ac:dyDescent="0.35">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2222</v>
      </c>
      <c r="D181" s="1" t="s">
        <v>2223</v>
      </c>
      <c r="E181" s="1" t="s">
        <v>2224</v>
      </c>
      <c r="F181" s="1" t="s">
        <v>111</v>
      </c>
      <c r="G181" s="1">
        <v>1337117</v>
      </c>
    </row>
    <row r="182" spans="1:9" x14ac:dyDescent="0.35">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2225</v>
      </c>
      <c r="D182" s="1" t="s">
        <v>1674</v>
      </c>
      <c r="E182" s="1" t="s">
        <v>2226</v>
      </c>
      <c r="F182" s="1" t="s">
        <v>111</v>
      </c>
      <c r="G182" s="1">
        <v>1177575</v>
      </c>
    </row>
    <row r="183" spans="1:9" x14ac:dyDescent="0.35">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2227</v>
      </c>
      <c r="D183" s="1" t="s">
        <v>1634</v>
      </c>
      <c r="E183" s="1" t="s">
        <v>2228</v>
      </c>
      <c r="F183" s="1" t="s">
        <v>111</v>
      </c>
      <c r="G183" s="1">
        <v>1238203</v>
      </c>
    </row>
    <row r="184" spans="1:9" x14ac:dyDescent="0.35">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2229</v>
      </c>
      <c r="D184" s="1" t="s">
        <v>2230</v>
      </c>
      <c r="E184" s="1" t="s">
        <v>2231</v>
      </c>
      <c r="F184" s="1" t="s">
        <v>111</v>
      </c>
      <c r="G184" s="1">
        <v>1494301</v>
      </c>
    </row>
    <row r="185" spans="1:9" x14ac:dyDescent="0.35">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2232</v>
      </c>
      <c r="D185" s="1" t="s">
        <v>2233</v>
      </c>
      <c r="E185" s="1" t="s">
        <v>2234</v>
      </c>
      <c r="F185" s="1" t="s">
        <v>111</v>
      </c>
      <c r="G185" s="1">
        <v>2400983</v>
      </c>
    </row>
    <row r="186" spans="1:9" x14ac:dyDescent="0.35">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2235</v>
      </c>
      <c r="D186" s="1" t="s">
        <v>653</v>
      </c>
      <c r="E186" s="1" t="s">
        <v>2236</v>
      </c>
      <c r="F186" s="1" t="s">
        <v>111</v>
      </c>
      <c r="G186" s="1">
        <v>2620202</v>
      </c>
    </row>
    <row r="187" spans="1:9" x14ac:dyDescent="0.35">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2237</v>
      </c>
      <c r="D187" s="1" t="s">
        <v>2238</v>
      </c>
      <c r="E187" s="1" t="s">
        <v>2239</v>
      </c>
      <c r="F187" s="1" t="s">
        <v>111</v>
      </c>
      <c r="G187" s="1">
        <v>2294867</v>
      </c>
    </row>
    <row r="188" spans="1:9" x14ac:dyDescent="0.35">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2240</v>
      </c>
      <c r="D188" s="1" t="s">
        <v>2241</v>
      </c>
      <c r="E188" s="1" t="s">
        <v>2242</v>
      </c>
      <c r="F188" s="1" t="s">
        <v>111</v>
      </c>
      <c r="G188" s="1">
        <v>4057920</v>
      </c>
    </row>
    <row r="189" spans="1:9" x14ac:dyDescent="0.35">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2243</v>
      </c>
      <c r="D189" s="1" t="s">
        <v>570</v>
      </c>
      <c r="E189" s="1" t="s">
        <v>2244</v>
      </c>
      <c r="F189" s="1" t="s">
        <v>111</v>
      </c>
      <c r="G189" s="1">
        <v>3968307</v>
      </c>
    </row>
    <row r="190" spans="1:9" x14ac:dyDescent="0.35">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2245</v>
      </c>
      <c r="D190" s="1" t="s">
        <v>2246</v>
      </c>
      <c r="E190" s="1" t="s">
        <v>2247</v>
      </c>
      <c r="F190" s="1" t="s">
        <v>111</v>
      </c>
      <c r="G190" s="1">
        <v>3865716</v>
      </c>
    </row>
    <row r="191" spans="1:9" x14ac:dyDescent="0.3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111</v>
      </c>
    </row>
    <row r="192" spans="1:9" x14ac:dyDescent="0.3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234</v>
      </c>
      <c r="D192" s="1" t="s">
        <v>111</v>
      </c>
      <c r="E192" s="1" t="s">
        <v>235</v>
      </c>
      <c r="F192" s="1" t="s">
        <v>236</v>
      </c>
      <c r="G192" s="1" t="s">
        <v>237</v>
      </c>
      <c r="H192" s="1" t="s">
        <v>238</v>
      </c>
      <c r="I192" s="1" t="s">
        <v>239</v>
      </c>
    </row>
    <row r="193" spans="1:9" x14ac:dyDescent="0.35">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2248</v>
      </c>
      <c r="D193" s="1" t="s">
        <v>111</v>
      </c>
      <c r="E193" s="1" t="s">
        <v>2249</v>
      </c>
      <c r="F193" s="1" t="s">
        <v>2250</v>
      </c>
      <c r="G193" s="1" t="s">
        <v>2251</v>
      </c>
      <c r="H193" s="1" t="s">
        <v>2252</v>
      </c>
      <c r="I193" s="1">
        <v>24</v>
      </c>
    </row>
    <row r="194" spans="1:9" x14ac:dyDescent="0.3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111</v>
      </c>
    </row>
    <row r="195" spans="1:9" x14ac:dyDescent="0.3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111</v>
      </c>
    </row>
    <row r="196" spans="1:9" x14ac:dyDescent="0.3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111</v>
      </c>
    </row>
    <row r="197" spans="1:9" x14ac:dyDescent="0.3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111</v>
      </c>
    </row>
    <row r="198" spans="1:9" x14ac:dyDescent="0.3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111</v>
      </c>
    </row>
    <row r="199" spans="1:9" x14ac:dyDescent="0.3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245</v>
      </c>
      <c r="D199" s="1" t="s">
        <v>109</v>
      </c>
      <c r="E199" s="1" t="s">
        <v>110</v>
      </c>
      <c r="F199" s="1" t="s">
        <v>111</v>
      </c>
      <c r="G199" s="1" t="s">
        <v>112</v>
      </c>
    </row>
    <row r="200" spans="1:9" x14ac:dyDescent="0.3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2253</v>
      </c>
      <c r="D200" s="1" t="s">
        <v>2254</v>
      </c>
      <c r="E200" s="1" t="s">
        <v>2255</v>
      </c>
      <c r="F200" s="1" t="s">
        <v>111</v>
      </c>
      <c r="G200" s="1">
        <v>5116487</v>
      </c>
    </row>
    <row r="201" spans="1:9" x14ac:dyDescent="0.3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2256</v>
      </c>
      <c r="D201" s="1" t="s">
        <v>2257</v>
      </c>
      <c r="E201" s="1" t="s">
        <v>2258</v>
      </c>
      <c r="F201" s="1" t="s">
        <v>111</v>
      </c>
      <c r="G201" s="1">
        <v>4041005</v>
      </c>
    </row>
    <row r="202" spans="1:9" x14ac:dyDescent="0.3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2259</v>
      </c>
      <c r="D202" s="1" t="s">
        <v>2260</v>
      </c>
      <c r="E202" s="1" t="s">
        <v>2261</v>
      </c>
      <c r="F202" s="1" t="s">
        <v>111</v>
      </c>
      <c r="G202" s="1">
        <v>4596677</v>
      </c>
    </row>
    <row r="203" spans="1:9" x14ac:dyDescent="0.3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2262</v>
      </c>
      <c r="D203" s="1" t="s">
        <v>2263</v>
      </c>
      <c r="E203" s="1" t="s">
        <v>2264</v>
      </c>
      <c r="F203" s="1" t="s">
        <v>111</v>
      </c>
      <c r="G203" s="1">
        <v>4539401</v>
      </c>
    </row>
    <row r="204" spans="1:9" x14ac:dyDescent="0.3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2265</v>
      </c>
      <c r="D204" s="1" t="s">
        <v>2266</v>
      </c>
      <c r="E204" s="1" t="s">
        <v>2267</v>
      </c>
      <c r="F204" s="1" t="s">
        <v>111</v>
      </c>
      <c r="G204" s="1">
        <v>4643679</v>
      </c>
    </row>
    <row r="205" spans="1:9" x14ac:dyDescent="0.3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2268</v>
      </c>
      <c r="D205" s="1" t="s">
        <v>2269</v>
      </c>
      <c r="E205" s="1" t="s">
        <v>2270</v>
      </c>
      <c r="F205" s="1" t="s">
        <v>111</v>
      </c>
      <c r="G205" s="1">
        <v>4409211</v>
      </c>
    </row>
    <row r="206" spans="1:9" x14ac:dyDescent="0.3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2271</v>
      </c>
      <c r="D206" s="1" t="s">
        <v>2272</v>
      </c>
      <c r="E206" s="1" t="s">
        <v>2273</v>
      </c>
      <c r="F206" s="1" t="s">
        <v>111</v>
      </c>
      <c r="G206" s="1">
        <v>6547110</v>
      </c>
    </row>
    <row r="207" spans="1:9" x14ac:dyDescent="0.3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2274</v>
      </c>
      <c r="D207" s="1" t="s">
        <v>2275</v>
      </c>
      <c r="E207" s="1" t="s">
        <v>2276</v>
      </c>
      <c r="F207" s="1" t="s">
        <v>111</v>
      </c>
      <c r="G207" s="1">
        <v>5833063</v>
      </c>
    </row>
    <row r="208" spans="1:9" x14ac:dyDescent="0.3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2277</v>
      </c>
      <c r="D208" s="1" t="s">
        <v>2278</v>
      </c>
      <c r="E208" s="1" t="s">
        <v>2279</v>
      </c>
      <c r="F208" s="1" t="s">
        <v>111</v>
      </c>
      <c r="G208" s="1">
        <v>6346817</v>
      </c>
    </row>
    <row r="209" spans="1:7" x14ac:dyDescent="0.3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2280</v>
      </c>
      <c r="D209" s="1" t="s">
        <v>2281</v>
      </c>
      <c r="E209" s="1" t="s">
        <v>2282</v>
      </c>
      <c r="F209" s="1" t="s">
        <v>111</v>
      </c>
      <c r="G209" s="1">
        <v>5386190</v>
      </c>
    </row>
    <row r="210" spans="1:7" x14ac:dyDescent="0.3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2283</v>
      </c>
      <c r="D210" s="1" t="s">
        <v>2284</v>
      </c>
      <c r="E210" s="1" t="s">
        <v>2285</v>
      </c>
      <c r="F210" s="1" t="s">
        <v>111</v>
      </c>
      <c r="G210" s="1">
        <v>4989887</v>
      </c>
    </row>
    <row r="211" spans="1:7" x14ac:dyDescent="0.3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2286</v>
      </c>
      <c r="D211" s="1" t="s">
        <v>2287</v>
      </c>
      <c r="E211" s="1" t="s">
        <v>2288</v>
      </c>
      <c r="F211" s="1" t="s">
        <v>111</v>
      </c>
      <c r="G211" s="1">
        <v>5107986</v>
      </c>
    </row>
    <row r="212" spans="1:7" x14ac:dyDescent="0.3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2289</v>
      </c>
      <c r="D212" s="1" t="s">
        <v>1660</v>
      </c>
      <c r="E212" s="1" t="s">
        <v>2290</v>
      </c>
      <c r="F212" s="1" t="s">
        <v>111</v>
      </c>
      <c r="G212" s="1">
        <v>4085930</v>
      </c>
    </row>
    <row r="213" spans="1:7" x14ac:dyDescent="0.3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2291</v>
      </c>
    </row>
    <row r="214" spans="1:7" x14ac:dyDescent="0.3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2292</v>
      </c>
      <c r="D214" s="1" t="s">
        <v>2293</v>
      </c>
      <c r="E214" s="1" t="s">
        <v>2294</v>
      </c>
      <c r="F214" s="1" t="s">
        <v>111</v>
      </c>
      <c r="G214" s="1">
        <v>3849386</v>
      </c>
    </row>
    <row r="215" spans="1:7" x14ac:dyDescent="0.3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2295</v>
      </c>
      <c r="D215" s="1" t="s">
        <v>2296</v>
      </c>
      <c r="E215" s="1" t="s">
        <v>2297</v>
      </c>
      <c r="F215" s="1" t="s">
        <v>111</v>
      </c>
      <c r="G215" s="1">
        <v>5808211</v>
      </c>
    </row>
    <row r="216" spans="1:7" x14ac:dyDescent="0.3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2298</v>
      </c>
      <c r="D216" s="1" t="s">
        <v>2299</v>
      </c>
      <c r="E216" s="1" t="s">
        <v>2300</v>
      </c>
      <c r="F216" s="1" t="s">
        <v>111</v>
      </c>
      <c r="G216" s="1">
        <v>5904702</v>
      </c>
    </row>
    <row r="217" spans="1:7" x14ac:dyDescent="0.3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2301</v>
      </c>
      <c r="D217" s="1" t="s">
        <v>2302</v>
      </c>
      <c r="E217" s="1" t="s">
        <v>2303</v>
      </c>
      <c r="F217" s="1" t="s">
        <v>111</v>
      </c>
      <c r="G217" s="1">
        <v>4657803</v>
      </c>
    </row>
    <row r="218" spans="1:7" x14ac:dyDescent="0.3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2304</v>
      </c>
      <c r="D218" s="1" t="s">
        <v>2305</v>
      </c>
      <c r="E218" s="1" t="s">
        <v>2306</v>
      </c>
      <c r="F218" s="1" t="s">
        <v>111</v>
      </c>
      <c r="G218" s="1">
        <v>7897832</v>
      </c>
    </row>
    <row r="219" spans="1:7" x14ac:dyDescent="0.3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2307</v>
      </c>
      <c r="D219" s="1" t="s">
        <v>2308</v>
      </c>
      <c r="E219" s="1" t="s">
        <v>2309</v>
      </c>
      <c r="F219" s="1" t="s">
        <v>111</v>
      </c>
      <c r="G219" s="1">
        <v>7780338</v>
      </c>
    </row>
    <row r="220" spans="1:7" x14ac:dyDescent="0.3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2310</v>
      </c>
      <c r="D220" s="1" t="s">
        <v>2311</v>
      </c>
      <c r="E220" s="1" t="s">
        <v>2312</v>
      </c>
      <c r="F220" s="1" t="s">
        <v>111</v>
      </c>
      <c r="G220" s="1">
        <v>7017711</v>
      </c>
    </row>
    <row r="221" spans="1:7" x14ac:dyDescent="0.3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2313</v>
      </c>
      <c r="D221" s="1" t="s">
        <v>2293</v>
      </c>
      <c r="E221" s="1" t="s">
        <v>2314</v>
      </c>
      <c r="F221" s="1" t="s">
        <v>111</v>
      </c>
      <c r="G221" s="1">
        <v>3823452</v>
      </c>
    </row>
    <row r="222" spans="1:7" x14ac:dyDescent="0.3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2315</v>
      </c>
      <c r="D222" s="1" t="s">
        <v>2316</v>
      </c>
      <c r="E222" s="1" t="s">
        <v>2317</v>
      </c>
      <c r="F222" s="1" t="s">
        <v>111</v>
      </c>
      <c r="G222" s="1">
        <v>3872292</v>
      </c>
    </row>
    <row r="223" spans="1:7" x14ac:dyDescent="0.3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2318</v>
      </c>
      <c r="D223" s="1" t="s">
        <v>2316</v>
      </c>
      <c r="E223" s="1" t="s">
        <v>2319</v>
      </c>
      <c r="F223" s="1" t="s">
        <v>111</v>
      </c>
      <c r="G223" s="1">
        <v>3852955</v>
      </c>
    </row>
    <row r="224" spans="1:7" x14ac:dyDescent="0.3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111</v>
      </c>
    </row>
    <row r="225" spans="1:9" x14ac:dyDescent="0.3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234</v>
      </c>
      <c r="D225" s="1" t="s">
        <v>111</v>
      </c>
      <c r="E225" s="1" t="s">
        <v>235</v>
      </c>
      <c r="F225" s="1" t="s">
        <v>236</v>
      </c>
      <c r="G225" s="1" t="s">
        <v>237</v>
      </c>
      <c r="H225" s="1" t="s">
        <v>238</v>
      </c>
      <c r="I225" s="1" t="s">
        <v>239</v>
      </c>
    </row>
    <row r="226" spans="1:9" x14ac:dyDescent="0.3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2320</v>
      </c>
      <c r="D226" s="1" t="s">
        <v>111</v>
      </c>
      <c r="E226" s="1" t="s">
        <v>2321</v>
      </c>
      <c r="F226" s="1" t="s">
        <v>2322</v>
      </c>
      <c r="G226" s="1" t="s">
        <v>2323</v>
      </c>
      <c r="H226" s="1" t="s">
        <v>2324</v>
      </c>
      <c r="I226" s="1">
        <v>24</v>
      </c>
    </row>
    <row r="227" spans="1:9" x14ac:dyDescent="0.3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111</v>
      </c>
    </row>
    <row r="228" spans="1:9" x14ac:dyDescent="0.3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111</v>
      </c>
    </row>
    <row r="229" spans="1:9" x14ac:dyDescent="0.3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111</v>
      </c>
    </row>
    <row r="230" spans="1:9" x14ac:dyDescent="0.3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111</v>
      </c>
    </row>
    <row r="231" spans="1:9" x14ac:dyDescent="0.3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111</v>
      </c>
    </row>
    <row r="232" spans="1:9" x14ac:dyDescent="0.3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245</v>
      </c>
      <c r="D232" s="1" t="s">
        <v>109</v>
      </c>
      <c r="E232" s="1" t="s">
        <v>110</v>
      </c>
      <c r="F232" s="1" t="s">
        <v>111</v>
      </c>
      <c r="G232" s="1" t="s">
        <v>112</v>
      </c>
    </row>
    <row r="233" spans="1:9" x14ac:dyDescent="0.35">
      <c r="A233" s="1" t="str">
        <f t="shared" si="3"/>
        <v>08 Saccharin 0,01</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2325</v>
      </c>
      <c r="D233" s="1" t="s">
        <v>1652</v>
      </c>
      <c r="E233" s="1" t="s">
        <v>2326</v>
      </c>
      <c r="F233" s="1" t="s">
        <v>111</v>
      </c>
      <c r="G233" s="1">
        <v>626510</v>
      </c>
    </row>
    <row r="234" spans="1:9" x14ac:dyDescent="0.35">
      <c r="A234" s="1" t="str">
        <f t="shared" si="3"/>
        <v>08 Saccharin 0,01</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2327</v>
      </c>
      <c r="D234" s="1" t="s">
        <v>1183</v>
      </c>
      <c r="E234" s="1" t="s">
        <v>2328</v>
      </c>
      <c r="F234" s="1" t="s">
        <v>111</v>
      </c>
      <c r="G234" s="1">
        <v>72720</v>
      </c>
    </row>
    <row r="235" spans="1:9" x14ac:dyDescent="0.35">
      <c r="A235" s="1" t="str">
        <f t="shared" si="3"/>
        <v>08 Saccharin 0,01</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2329</v>
      </c>
      <c r="D235" s="1" t="s">
        <v>297</v>
      </c>
      <c r="E235" s="1" t="s">
        <v>2330</v>
      </c>
      <c r="F235" s="1" t="s">
        <v>111</v>
      </c>
      <c r="G235" s="1">
        <v>33937</v>
      </c>
    </row>
    <row r="236" spans="1:9" x14ac:dyDescent="0.35">
      <c r="A236" s="1" t="str">
        <f t="shared" si="3"/>
        <v>08 Saccharin 0,01</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2331</v>
      </c>
      <c r="D236" s="1" t="s">
        <v>356</v>
      </c>
      <c r="E236" s="1" t="s">
        <v>2332</v>
      </c>
      <c r="F236" s="1" t="s">
        <v>111</v>
      </c>
      <c r="G236" s="1">
        <v>162181</v>
      </c>
    </row>
    <row r="237" spans="1:9" x14ac:dyDescent="0.35">
      <c r="A237" s="1" t="str">
        <f t="shared" si="3"/>
        <v>08 Saccharin 0,01</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2333</v>
      </c>
      <c r="D237" s="1" t="s">
        <v>2334</v>
      </c>
      <c r="E237" s="1" t="s">
        <v>2335</v>
      </c>
      <c r="F237" s="1" t="s">
        <v>111</v>
      </c>
      <c r="G237" s="1">
        <v>166745</v>
      </c>
    </row>
    <row r="238" spans="1:9" x14ac:dyDescent="0.35">
      <c r="A238" s="1" t="str">
        <f t="shared" si="3"/>
        <v>08 Saccharin 0,01</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2336</v>
      </c>
      <c r="D238" s="1" t="s">
        <v>716</v>
      </c>
      <c r="E238" s="1" t="s">
        <v>2337</v>
      </c>
      <c r="F238" s="1" t="s">
        <v>111</v>
      </c>
      <c r="G238" s="1">
        <v>35733</v>
      </c>
    </row>
    <row r="239" spans="1:9" x14ac:dyDescent="0.35">
      <c r="A239" s="1" t="str">
        <f t="shared" si="3"/>
        <v>08 Saccharin 0,01</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2338</v>
      </c>
      <c r="D239" s="1" t="s">
        <v>1948</v>
      </c>
      <c r="E239" s="1" t="s">
        <v>2339</v>
      </c>
      <c r="F239" s="1" t="s">
        <v>111</v>
      </c>
      <c r="G239" s="1">
        <v>179917</v>
      </c>
    </row>
    <row r="240" spans="1:9" x14ac:dyDescent="0.35">
      <c r="A240" s="1" t="str">
        <f t="shared" si="3"/>
        <v>08 Saccharin 0,01</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2340</v>
      </c>
      <c r="D240" s="1" t="s">
        <v>297</v>
      </c>
      <c r="E240" s="1" t="s">
        <v>186</v>
      </c>
      <c r="F240" s="1" t="s">
        <v>111</v>
      </c>
      <c r="G240" s="1">
        <v>33959</v>
      </c>
    </row>
    <row r="241" spans="1:7" x14ac:dyDescent="0.35">
      <c r="A241" s="1" t="str">
        <f t="shared" si="3"/>
        <v>08 Saccharin 0,01</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2341</v>
      </c>
      <c r="D241" s="1" t="s">
        <v>352</v>
      </c>
      <c r="E241" s="1" t="s">
        <v>2342</v>
      </c>
      <c r="F241" s="1" t="s">
        <v>111</v>
      </c>
      <c r="G241" s="1">
        <v>50657</v>
      </c>
    </row>
    <row r="242" spans="1:7" x14ac:dyDescent="0.35">
      <c r="A242" s="1" t="str">
        <f t="shared" si="3"/>
        <v>08 Saccharin 0,01</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2343</v>
      </c>
      <c r="D242" s="1" t="s">
        <v>2344</v>
      </c>
      <c r="E242" s="1" t="s">
        <v>2345</v>
      </c>
      <c r="F242" s="1" t="s">
        <v>111</v>
      </c>
      <c r="G242" s="1">
        <v>462252</v>
      </c>
    </row>
    <row r="243" spans="1:7" x14ac:dyDescent="0.35">
      <c r="A243" s="1" t="str">
        <f t="shared" si="3"/>
        <v>08 Saccharin 0,01</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2346</v>
      </c>
      <c r="D243" s="1" t="s">
        <v>1651</v>
      </c>
      <c r="E243" s="1" t="s">
        <v>2347</v>
      </c>
      <c r="F243" s="1" t="s">
        <v>111</v>
      </c>
      <c r="G243" s="1">
        <v>180977</v>
      </c>
    </row>
    <row r="244" spans="1:7" x14ac:dyDescent="0.35">
      <c r="A244" s="1" t="str">
        <f t="shared" si="3"/>
        <v>08 Saccharin 0,01</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2348</v>
      </c>
      <c r="D244" s="1" t="s">
        <v>2349</v>
      </c>
      <c r="E244" s="1" t="s">
        <v>2350</v>
      </c>
      <c r="F244" s="1" t="s">
        <v>111</v>
      </c>
      <c r="G244" s="1">
        <v>280756</v>
      </c>
    </row>
    <row r="245" spans="1:7" x14ac:dyDescent="0.35">
      <c r="A245" s="1" t="str">
        <f t="shared" si="3"/>
        <v>08 Saccharin 0,01</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2351</v>
      </c>
      <c r="D245" s="1" t="s">
        <v>2164</v>
      </c>
      <c r="E245" s="1" t="s">
        <v>2352</v>
      </c>
      <c r="F245" s="1" t="s">
        <v>111</v>
      </c>
      <c r="G245" s="1">
        <v>251599</v>
      </c>
    </row>
    <row r="246" spans="1:7" x14ac:dyDescent="0.35">
      <c r="A246" s="1" t="str">
        <f t="shared" si="3"/>
        <v>08 Saccharin 0,01</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2353</v>
      </c>
      <c r="D246" s="1" t="s">
        <v>224</v>
      </c>
      <c r="E246" s="1" t="s">
        <v>2354</v>
      </c>
      <c r="F246" s="1" t="s">
        <v>111</v>
      </c>
      <c r="G246" s="1">
        <v>72265</v>
      </c>
    </row>
    <row r="247" spans="1:7" x14ac:dyDescent="0.35">
      <c r="A247" s="1" t="str">
        <f t="shared" si="3"/>
        <v>08 Saccharin 0,01</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2355</v>
      </c>
      <c r="D247" s="1" t="s">
        <v>1510</v>
      </c>
      <c r="E247" s="1" t="s">
        <v>2356</v>
      </c>
      <c r="F247" s="1" t="s">
        <v>111</v>
      </c>
      <c r="G247" s="1">
        <v>49554</v>
      </c>
    </row>
    <row r="248" spans="1:7" x14ac:dyDescent="0.35">
      <c r="A248" s="1" t="str">
        <f t="shared" si="3"/>
        <v>08 Saccharin 0,01</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2357</v>
      </c>
      <c r="D248" s="1" t="s">
        <v>705</v>
      </c>
      <c r="E248" s="1" t="s">
        <v>2358</v>
      </c>
      <c r="F248" s="1" t="s">
        <v>111</v>
      </c>
      <c r="G248" s="1">
        <v>89634</v>
      </c>
    </row>
    <row r="249" spans="1:7" x14ac:dyDescent="0.35">
      <c r="A249" s="1" t="str">
        <f t="shared" si="3"/>
        <v>08 Saccharin 0,01</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2359</v>
      </c>
      <c r="D249" s="1" t="s">
        <v>2360</v>
      </c>
      <c r="E249" s="1" t="s">
        <v>2361</v>
      </c>
      <c r="F249" s="1" t="s">
        <v>111</v>
      </c>
      <c r="G249" s="1">
        <v>65863</v>
      </c>
    </row>
    <row r="250" spans="1:7" x14ac:dyDescent="0.35">
      <c r="A250" s="1" t="str">
        <f t="shared" si="3"/>
        <v>08 Saccharin 0,01</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2362</v>
      </c>
      <c r="D250" s="1" t="s">
        <v>904</v>
      </c>
      <c r="E250" s="1" t="s">
        <v>2363</v>
      </c>
      <c r="F250" s="1" t="s">
        <v>111</v>
      </c>
      <c r="G250" s="1">
        <v>71011</v>
      </c>
    </row>
    <row r="251" spans="1:7" x14ac:dyDescent="0.35">
      <c r="A251" s="1" t="str">
        <f t="shared" si="3"/>
        <v>08 Saccharin 0,01</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2364</v>
      </c>
      <c r="D251" s="1" t="s">
        <v>387</v>
      </c>
      <c r="E251" s="1" t="s">
        <v>2365</v>
      </c>
      <c r="F251" s="1" t="s">
        <v>111</v>
      </c>
      <c r="G251" s="1">
        <v>617815</v>
      </c>
    </row>
    <row r="252" spans="1:7" x14ac:dyDescent="0.35">
      <c r="A252" s="1" t="str">
        <f t="shared" si="3"/>
        <v>08 Saccharin 0,01</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2366</v>
      </c>
      <c r="D252" s="1" t="s">
        <v>384</v>
      </c>
      <c r="E252" s="1" t="s">
        <v>2367</v>
      </c>
      <c r="F252" s="1" t="s">
        <v>111</v>
      </c>
      <c r="G252" s="1">
        <v>346727</v>
      </c>
    </row>
    <row r="253" spans="1:7" x14ac:dyDescent="0.35">
      <c r="A253" s="1" t="str">
        <f t="shared" si="3"/>
        <v>08 Saccharin 0,01</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2368</v>
      </c>
      <c r="D253" s="1" t="s">
        <v>702</v>
      </c>
      <c r="E253" s="1" t="s">
        <v>2369</v>
      </c>
      <c r="F253" s="1" t="s">
        <v>111</v>
      </c>
      <c r="G253" s="1">
        <v>61818</v>
      </c>
    </row>
    <row r="254" spans="1:7" x14ac:dyDescent="0.35">
      <c r="A254" s="1" t="str">
        <f t="shared" si="3"/>
        <v>08 Saccharin 0,01</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2370</v>
      </c>
      <c r="D254" s="1" t="s">
        <v>1620</v>
      </c>
      <c r="E254" s="1" t="s">
        <v>2371</v>
      </c>
      <c r="F254" s="1" t="s">
        <v>111</v>
      </c>
      <c r="G254" s="1">
        <v>540661</v>
      </c>
    </row>
    <row r="255" spans="1:7" x14ac:dyDescent="0.35">
      <c r="A255" s="1" t="str">
        <f t="shared" si="3"/>
        <v>08 Saccharin 0,01</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2372</v>
      </c>
      <c r="D255" s="1" t="s">
        <v>368</v>
      </c>
      <c r="E255" s="1" t="s">
        <v>2373</v>
      </c>
      <c r="F255" s="1" t="s">
        <v>111</v>
      </c>
      <c r="G255" s="1">
        <v>382114</v>
      </c>
    </row>
    <row r="256" spans="1:7" x14ac:dyDescent="0.35">
      <c r="A256" s="1" t="str">
        <f t="shared" si="3"/>
        <v>08 Saccharin 0,01</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2374</v>
      </c>
      <c r="D256" s="1" t="s">
        <v>1611</v>
      </c>
      <c r="E256" s="1" t="s">
        <v>2375</v>
      </c>
      <c r="F256" s="1" t="s">
        <v>111</v>
      </c>
      <c r="G256" s="1">
        <v>415748</v>
      </c>
    </row>
    <row r="257" spans="1:9" x14ac:dyDescent="0.3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111</v>
      </c>
    </row>
    <row r="258" spans="1:9" x14ac:dyDescent="0.3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234</v>
      </c>
      <c r="D258" s="1" t="s">
        <v>111</v>
      </c>
      <c r="E258" s="1" t="s">
        <v>235</v>
      </c>
      <c r="F258" s="1" t="s">
        <v>236</v>
      </c>
      <c r="G258" s="1" t="s">
        <v>237</v>
      </c>
      <c r="H258" s="1" t="s">
        <v>238</v>
      </c>
      <c r="I258" s="1" t="s">
        <v>239</v>
      </c>
    </row>
    <row r="259" spans="1:9" x14ac:dyDescent="0.35">
      <c r="A259" s="1" t="str">
        <f t="shared" si="4"/>
        <v>08 Saccharin 0,01</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2376</v>
      </c>
      <c r="D259" s="1" t="s">
        <v>111</v>
      </c>
      <c r="E259" s="1" t="s">
        <v>2377</v>
      </c>
      <c r="F259" s="1" t="s">
        <v>2378</v>
      </c>
      <c r="G259" s="1" t="s">
        <v>2379</v>
      </c>
      <c r="H259" s="1" t="s">
        <v>2380</v>
      </c>
      <c r="I259" s="1">
        <v>24</v>
      </c>
    </row>
    <row r="260" spans="1:9" x14ac:dyDescent="0.3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111</v>
      </c>
    </row>
    <row r="261" spans="1:9" x14ac:dyDescent="0.3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111</v>
      </c>
    </row>
    <row r="262" spans="1:9" x14ac:dyDescent="0.3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111</v>
      </c>
    </row>
    <row r="263" spans="1:9" x14ac:dyDescent="0.3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111</v>
      </c>
    </row>
    <row r="264" spans="1:9" x14ac:dyDescent="0.3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111</v>
      </c>
    </row>
    <row r="265" spans="1:9" x14ac:dyDescent="0.3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245</v>
      </c>
      <c r="D265" s="1" t="s">
        <v>109</v>
      </c>
      <c r="E265" s="1" t="s">
        <v>110</v>
      </c>
      <c r="F265" s="1" t="s">
        <v>111</v>
      </c>
      <c r="G265" s="1" t="s">
        <v>112</v>
      </c>
    </row>
    <row r="266" spans="1:9" x14ac:dyDescent="0.35">
      <c r="A266" s="1" t="str">
        <f t="shared" si="4"/>
        <v>09 Saccharin 0,1</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2381</v>
      </c>
      <c r="D266" s="1" t="s">
        <v>294</v>
      </c>
      <c r="E266" s="1" t="s">
        <v>2382</v>
      </c>
      <c r="F266" s="1" t="s">
        <v>111</v>
      </c>
      <c r="G266" s="1">
        <v>41832</v>
      </c>
    </row>
    <row r="267" spans="1:9" x14ac:dyDescent="0.35">
      <c r="A267" s="1" t="str">
        <f t="shared" si="4"/>
        <v>09 Saccharin 0,1</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2383</v>
      </c>
      <c r="D267" s="1" t="s">
        <v>1643</v>
      </c>
      <c r="E267" s="1" t="s">
        <v>2384</v>
      </c>
      <c r="F267" s="1" t="s">
        <v>111</v>
      </c>
      <c r="G267" s="1">
        <v>64933</v>
      </c>
    </row>
    <row r="268" spans="1:9" x14ac:dyDescent="0.35">
      <c r="A268" s="1" t="str">
        <f t="shared" si="4"/>
        <v>09 Saccharin 0,1</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2385</v>
      </c>
      <c r="D268" s="1" t="s">
        <v>335</v>
      </c>
      <c r="E268" s="1" t="s">
        <v>2386</v>
      </c>
      <c r="F268" s="1" t="s">
        <v>111</v>
      </c>
      <c r="G268" s="1">
        <v>36317</v>
      </c>
    </row>
    <row r="269" spans="1:9" x14ac:dyDescent="0.35">
      <c r="A269" s="1" t="str">
        <f t="shared" si="4"/>
        <v>09 Saccharin 0,1</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2387</v>
      </c>
      <c r="D269" s="1" t="s">
        <v>682</v>
      </c>
      <c r="E269" s="1" t="s">
        <v>2388</v>
      </c>
      <c r="F269" s="1" t="s">
        <v>111</v>
      </c>
      <c r="G269" s="1">
        <v>23057</v>
      </c>
    </row>
    <row r="270" spans="1:9" x14ac:dyDescent="0.35">
      <c r="A270" s="1" t="str">
        <f t="shared" si="4"/>
        <v>09 Saccharin 0,1</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2389</v>
      </c>
      <c r="D270" s="1" t="s">
        <v>173</v>
      </c>
      <c r="E270" s="1" t="s">
        <v>2390</v>
      </c>
      <c r="F270" s="1" t="s">
        <v>111</v>
      </c>
      <c r="G270" s="1">
        <v>38112</v>
      </c>
    </row>
    <row r="271" spans="1:9" x14ac:dyDescent="0.35">
      <c r="A271" s="1" t="str">
        <f t="shared" si="4"/>
        <v>09 Saccharin 0,1</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2391</v>
      </c>
    </row>
    <row r="272" spans="1:9" x14ac:dyDescent="0.35">
      <c r="A272" s="1" t="str">
        <f t="shared" si="4"/>
        <v>09 Saccharin 0,1</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2392</v>
      </c>
      <c r="D272" s="1" t="s">
        <v>1613</v>
      </c>
      <c r="E272" s="1" t="s">
        <v>2393</v>
      </c>
      <c r="F272" s="1" t="s">
        <v>111</v>
      </c>
      <c r="G272" s="1">
        <v>68675</v>
      </c>
    </row>
    <row r="273" spans="1:7" x14ac:dyDescent="0.35">
      <c r="A273" s="1" t="str">
        <f t="shared" si="4"/>
        <v>09 Saccharin 0,1</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2394</v>
      </c>
      <c r="D273" s="1" t="s">
        <v>1718</v>
      </c>
      <c r="E273" s="1" t="s">
        <v>2395</v>
      </c>
      <c r="F273" s="1" t="s">
        <v>111</v>
      </c>
      <c r="G273" s="1">
        <v>490847</v>
      </c>
    </row>
    <row r="274" spans="1:7" x14ac:dyDescent="0.35">
      <c r="A274" s="1" t="str">
        <f t="shared" si="4"/>
        <v>09 Saccharin 0,1</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2396</v>
      </c>
      <c r="D274" s="1" t="s">
        <v>1183</v>
      </c>
      <c r="E274" s="1" t="s">
        <v>2397</v>
      </c>
      <c r="F274" s="1" t="s">
        <v>111</v>
      </c>
      <c r="G274" s="1">
        <v>71768</v>
      </c>
    </row>
    <row r="275" spans="1:7" x14ac:dyDescent="0.35">
      <c r="A275" s="1" t="str">
        <f t="shared" si="4"/>
        <v>09 Saccharin 0,1</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2398</v>
      </c>
      <c r="D275" s="1" t="s">
        <v>1631</v>
      </c>
      <c r="E275" s="1" t="s">
        <v>2399</v>
      </c>
      <c r="F275" s="1" t="s">
        <v>111</v>
      </c>
      <c r="G275" s="1">
        <v>710239</v>
      </c>
    </row>
    <row r="276" spans="1:7" x14ac:dyDescent="0.35">
      <c r="A276" s="1" t="str">
        <f t="shared" si="4"/>
        <v>09 Saccharin 0,1</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2400</v>
      </c>
      <c r="D276" s="1" t="s">
        <v>2401</v>
      </c>
      <c r="E276" s="1" t="s">
        <v>2402</v>
      </c>
      <c r="F276" s="1" t="s">
        <v>111</v>
      </c>
      <c r="G276" s="1">
        <v>654564</v>
      </c>
    </row>
    <row r="277" spans="1:7" x14ac:dyDescent="0.35">
      <c r="A277" s="1" t="str">
        <f t="shared" si="4"/>
        <v>09 Saccharin 0,1</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2403</v>
      </c>
      <c r="D277" s="1" t="s">
        <v>443</v>
      </c>
      <c r="E277" s="1" t="s">
        <v>2404</v>
      </c>
      <c r="F277" s="1" t="s">
        <v>111</v>
      </c>
      <c r="G277" s="1">
        <v>536313</v>
      </c>
    </row>
    <row r="278" spans="1:7" x14ac:dyDescent="0.35">
      <c r="A278" s="1" t="str">
        <f t="shared" si="4"/>
        <v>09 Saccharin 0,1</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2405</v>
      </c>
      <c r="D278" s="1" t="s">
        <v>687</v>
      </c>
      <c r="E278" s="1" t="s">
        <v>2406</v>
      </c>
      <c r="F278" s="1" t="s">
        <v>111</v>
      </c>
      <c r="G278" s="1">
        <v>8328</v>
      </c>
    </row>
    <row r="279" spans="1:7" x14ac:dyDescent="0.35">
      <c r="A279" s="1" t="str">
        <f t="shared" si="4"/>
        <v>09 Saccharin 0,1</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2407</v>
      </c>
      <c r="D279" s="1" t="s">
        <v>779</v>
      </c>
      <c r="E279" s="1" t="s">
        <v>2408</v>
      </c>
      <c r="F279" s="1" t="s">
        <v>111</v>
      </c>
      <c r="G279" s="1">
        <v>13302</v>
      </c>
    </row>
    <row r="280" spans="1:7" x14ac:dyDescent="0.35">
      <c r="A280" s="1" t="str">
        <f t="shared" si="4"/>
        <v>09 Saccharin 0,1</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2409</v>
      </c>
      <c r="D280" s="1" t="s">
        <v>859</v>
      </c>
      <c r="E280" s="1" t="s">
        <v>945</v>
      </c>
      <c r="F280" s="1" t="s">
        <v>111</v>
      </c>
      <c r="G280" s="1">
        <v>19315</v>
      </c>
    </row>
    <row r="281" spans="1:7" x14ac:dyDescent="0.35">
      <c r="A281" s="1" t="str">
        <f t="shared" si="4"/>
        <v>09 Saccharin 0,1</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2410</v>
      </c>
      <c r="D281" s="1" t="s">
        <v>1628</v>
      </c>
      <c r="E281" s="1" t="s">
        <v>2411</v>
      </c>
      <c r="F281" s="1" t="s">
        <v>111</v>
      </c>
      <c r="G281" s="1">
        <v>703967</v>
      </c>
    </row>
    <row r="282" spans="1:7" x14ac:dyDescent="0.35">
      <c r="A282" s="1" t="str">
        <f t="shared" si="4"/>
        <v>09 Saccharin 0,1</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2412</v>
      </c>
      <c r="D282" s="1" t="s">
        <v>1630</v>
      </c>
      <c r="E282" s="1" t="s">
        <v>2413</v>
      </c>
      <c r="F282" s="1" t="s">
        <v>111</v>
      </c>
      <c r="G282" s="1">
        <v>527272</v>
      </c>
    </row>
    <row r="283" spans="1:7" x14ac:dyDescent="0.35">
      <c r="A283" s="1" t="str">
        <f t="shared" si="4"/>
        <v>09 Saccharin 0,1</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2414</v>
      </c>
      <c r="D283" s="1" t="s">
        <v>1613</v>
      </c>
      <c r="E283" s="1" t="s">
        <v>2415</v>
      </c>
      <c r="F283" s="1" t="s">
        <v>111</v>
      </c>
      <c r="G283" s="1">
        <v>66058</v>
      </c>
    </row>
    <row r="284" spans="1:7" x14ac:dyDescent="0.35">
      <c r="A284" s="1" t="str">
        <f t="shared" si="4"/>
        <v>09 Saccharin 0,1</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2416</v>
      </c>
      <c r="D284" s="1" t="s">
        <v>1621</v>
      </c>
      <c r="E284" s="1" t="s">
        <v>2417</v>
      </c>
      <c r="F284" s="1" t="s">
        <v>111</v>
      </c>
      <c r="G284" s="1">
        <v>331976</v>
      </c>
    </row>
    <row r="285" spans="1:7" x14ac:dyDescent="0.35">
      <c r="A285" s="1" t="str">
        <f t="shared" si="4"/>
        <v>09 Saccharin 0,1</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2418</v>
      </c>
    </row>
    <row r="286" spans="1:7" x14ac:dyDescent="0.35">
      <c r="A286" s="1" t="str">
        <f t="shared" si="4"/>
        <v>09 Saccharin 0,1</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2419</v>
      </c>
      <c r="D286" s="1" t="s">
        <v>1490</v>
      </c>
      <c r="E286" s="1" t="s">
        <v>2420</v>
      </c>
      <c r="F286" s="1" t="s">
        <v>111</v>
      </c>
      <c r="G286" s="1">
        <v>53274</v>
      </c>
    </row>
    <row r="287" spans="1:7" x14ac:dyDescent="0.35">
      <c r="A287" s="1" t="str">
        <f t="shared" si="4"/>
        <v>09 Saccharin 0,1</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2421</v>
      </c>
    </row>
    <row r="288" spans="1:7" x14ac:dyDescent="0.35">
      <c r="A288" s="1" t="str">
        <f t="shared" si="4"/>
        <v>09 Saccharin 0,1</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2422</v>
      </c>
    </row>
    <row r="289" spans="1:9" x14ac:dyDescent="0.35">
      <c r="A289" s="1" t="str">
        <f t="shared" si="4"/>
        <v>09 Saccharin 0,1</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2423</v>
      </c>
    </row>
    <row r="290" spans="1:9" x14ac:dyDescent="0.3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111</v>
      </c>
    </row>
    <row r="291" spans="1:9" x14ac:dyDescent="0.3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234</v>
      </c>
      <c r="D291" s="1" t="s">
        <v>111</v>
      </c>
      <c r="E291" s="1" t="s">
        <v>235</v>
      </c>
      <c r="F291" s="1" t="s">
        <v>236</v>
      </c>
      <c r="G291" s="1" t="s">
        <v>237</v>
      </c>
      <c r="H291" s="1" t="s">
        <v>238</v>
      </c>
      <c r="I291" s="1" t="s">
        <v>239</v>
      </c>
    </row>
    <row r="292" spans="1:9" x14ac:dyDescent="0.35">
      <c r="A292" s="1" t="str">
        <f t="shared" si="4"/>
        <v>09 Saccharin 0,1</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2424</v>
      </c>
      <c r="D292" s="1" t="s">
        <v>111</v>
      </c>
      <c r="E292" s="1" t="s">
        <v>2425</v>
      </c>
      <c r="F292" s="1" t="s">
        <v>2426</v>
      </c>
      <c r="G292" s="1" t="s">
        <v>2427</v>
      </c>
      <c r="H292" s="1" t="s">
        <v>2428</v>
      </c>
      <c r="I292" s="1">
        <v>24</v>
      </c>
    </row>
    <row r="293" spans="1:9" x14ac:dyDescent="0.3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111</v>
      </c>
    </row>
    <row r="294" spans="1:9" x14ac:dyDescent="0.3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111</v>
      </c>
    </row>
    <row r="295" spans="1:9" x14ac:dyDescent="0.3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111</v>
      </c>
    </row>
    <row r="296" spans="1:9" x14ac:dyDescent="0.3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111</v>
      </c>
    </row>
    <row r="297" spans="1:9" x14ac:dyDescent="0.3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111</v>
      </c>
    </row>
    <row r="298" spans="1:9" x14ac:dyDescent="0.3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245</v>
      </c>
      <c r="D298" s="1" t="s">
        <v>109</v>
      </c>
      <c r="E298" s="1" t="s">
        <v>110</v>
      </c>
      <c r="F298" s="1" t="s">
        <v>111</v>
      </c>
      <c r="G298" s="1" t="s">
        <v>112</v>
      </c>
    </row>
    <row r="299" spans="1:9" x14ac:dyDescent="0.35">
      <c r="A299" s="1" t="str">
        <f t="shared" si="4"/>
        <v>10  Saccharin 1</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2429</v>
      </c>
      <c r="D299" s="1" t="s">
        <v>2141</v>
      </c>
      <c r="E299" s="1" t="s">
        <v>884</v>
      </c>
      <c r="F299" s="1" t="s">
        <v>111</v>
      </c>
      <c r="G299" s="1">
        <v>91321</v>
      </c>
    </row>
    <row r="300" spans="1:9" x14ac:dyDescent="0.35">
      <c r="A300" s="1" t="str">
        <f t="shared" si="4"/>
        <v>10  Saccharin 1</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2430</v>
      </c>
      <c r="D300" s="1" t="s">
        <v>335</v>
      </c>
      <c r="E300" s="1" t="s">
        <v>767</v>
      </c>
      <c r="F300" s="1" t="s">
        <v>111</v>
      </c>
      <c r="G300" s="1">
        <v>36922</v>
      </c>
    </row>
    <row r="301" spans="1:9" x14ac:dyDescent="0.35">
      <c r="A301" s="1" t="str">
        <f t="shared" si="4"/>
        <v>10  Saccharin 1</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2431</v>
      </c>
      <c r="D301" s="1" t="s">
        <v>1617</v>
      </c>
      <c r="E301" s="1" t="s">
        <v>769</v>
      </c>
      <c r="F301" s="1" t="s">
        <v>111</v>
      </c>
      <c r="G301" s="1">
        <v>2704</v>
      </c>
    </row>
    <row r="302" spans="1:9" x14ac:dyDescent="0.35">
      <c r="A302" s="1" t="str">
        <f t="shared" si="4"/>
        <v>10  Saccharin 1</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2432</v>
      </c>
      <c r="D302" s="1" t="s">
        <v>2433</v>
      </c>
      <c r="E302" s="1" t="s">
        <v>2434</v>
      </c>
      <c r="F302" s="1" t="s">
        <v>111</v>
      </c>
      <c r="G302" s="1">
        <v>874994</v>
      </c>
    </row>
    <row r="303" spans="1:9" x14ac:dyDescent="0.35">
      <c r="A303" s="1" t="str">
        <f t="shared" si="4"/>
        <v>10  Saccharin 1</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2435</v>
      </c>
      <c r="D303" s="1" t="s">
        <v>854</v>
      </c>
      <c r="E303" s="1" t="s">
        <v>2436</v>
      </c>
      <c r="F303" s="1" t="s">
        <v>111</v>
      </c>
      <c r="G303" s="1">
        <v>21933</v>
      </c>
    </row>
    <row r="304" spans="1:9" x14ac:dyDescent="0.35">
      <c r="A304" s="1" t="str">
        <f t="shared" si="4"/>
        <v>10  Saccharin 1</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2437</v>
      </c>
      <c r="D304" s="1" t="s">
        <v>713</v>
      </c>
      <c r="E304" s="1">
        <v>65</v>
      </c>
      <c r="F304" s="1" t="s">
        <v>111</v>
      </c>
      <c r="G304" s="1">
        <v>11248</v>
      </c>
    </row>
    <row r="305" spans="1:7" x14ac:dyDescent="0.35">
      <c r="A305" s="1" t="str">
        <f t="shared" si="4"/>
        <v>10  Saccharin 1</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2438</v>
      </c>
    </row>
    <row r="306" spans="1:7" x14ac:dyDescent="0.35">
      <c r="A306" s="1" t="str">
        <f t="shared" si="4"/>
        <v>10  Saccharin 1</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2439</v>
      </c>
      <c r="D306" s="1" t="s">
        <v>2440</v>
      </c>
      <c r="E306" s="1" t="s">
        <v>2441</v>
      </c>
      <c r="F306" s="1" t="s">
        <v>111</v>
      </c>
      <c r="G306" s="1">
        <v>307534</v>
      </c>
    </row>
    <row r="307" spans="1:7" x14ac:dyDescent="0.35">
      <c r="A307" s="1" t="str">
        <f t="shared" si="4"/>
        <v>10  Saccharin 1</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2442</v>
      </c>
      <c r="D307" s="1" t="s">
        <v>702</v>
      </c>
      <c r="E307" s="1" t="s">
        <v>2443</v>
      </c>
      <c r="F307" s="1" t="s">
        <v>111</v>
      </c>
      <c r="G307" s="1">
        <v>57773</v>
      </c>
    </row>
    <row r="308" spans="1:7" x14ac:dyDescent="0.35">
      <c r="A308" s="1" t="str">
        <f t="shared" si="4"/>
        <v>10  Saccharin 1</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2444</v>
      </c>
      <c r="D308" s="1" t="s">
        <v>1842</v>
      </c>
      <c r="E308" s="1" t="s">
        <v>2445</v>
      </c>
      <c r="F308" s="1" t="s">
        <v>111</v>
      </c>
      <c r="G308" s="1">
        <v>353606</v>
      </c>
    </row>
    <row r="309" spans="1:7" x14ac:dyDescent="0.35">
      <c r="A309" s="1" t="str">
        <f t="shared" si="4"/>
        <v>10  Saccharin 1</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2446</v>
      </c>
      <c r="D309" s="1" t="s">
        <v>281</v>
      </c>
      <c r="E309" s="1" t="s">
        <v>186</v>
      </c>
      <c r="F309" s="1" t="s">
        <v>111</v>
      </c>
      <c r="G309" s="1">
        <v>54334</v>
      </c>
    </row>
    <row r="310" spans="1:7" x14ac:dyDescent="0.35">
      <c r="A310" s="1" t="str">
        <f t="shared" si="4"/>
        <v>10  Saccharin 1</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2447</v>
      </c>
      <c r="D310" s="1" t="s">
        <v>1639</v>
      </c>
      <c r="E310" s="1" t="s">
        <v>2448</v>
      </c>
      <c r="F310" s="1" t="s">
        <v>111</v>
      </c>
      <c r="G310" s="1">
        <v>52258</v>
      </c>
    </row>
    <row r="311" spans="1:7" x14ac:dyDescent="0.35">
      <c r="A311" s="1" t="str">
        <f t="shared" si="4"/>
        <v>10  Saccharin 1</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2449</v>
      </c>
      <c r="D311" s="1" t="s">
        <v>1186</v>
      </c>
      <c r="E311" s="1" t="s">
        <v>1435</v>
      </c>
      <c r="F311" s="1" t="s">
        <v>111</v>
      </c>
      <c r="G311" s="1">
        <v>28876</v>
      </c>
    </row>
    <row r="312" spans="1:7" x14ac:dyDescent="0.35">
      <c r="A312" s="1" t="str">
        <f t="shared" si="4"/>
        <v>10  Saccharin 1</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2450</v>
      </c>
      <c r="D312" s="1" t="s">
        <v>278</v>
      </c>
      <c r="E312" s="1">
        <v>67</v>
      </c>
      <c r="F312" s="1" t="s">
        <v>111</v>
      </c>
      <c r="G312" s="1">
        <v>13043</v>
      </c>
    </row>
    <row r="313" spans="1:7" x14ac:dyDescent="0.35">
      <c r="A313" s="1" t="str">
        <f t="shared" si="4"/>
        <v>10  Saccharin 1</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2451</v>
      </c>
      <c r="D313" s="1" t="s">
        <v>687</v>
      </c>
      <c r="E313" s="1" t="s">
        <v>1647</v>
      </c>
      <c r="F313" s="1" t="s">
        <v>111</v>
      </c>
      <c r="G313" s="1">
        <v>8090</v>
      </c>
    </row>
    <row r="314" spans="1:7" x14ac:dyDescent="0.35">
      <c r="A314" s="1" t="str">
        <f t="shared" si="4"/>
        <v>10  Saccharin 1</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2452</v>
      </c>
      <c r="D314" s="1" t="s">
        <v>1474</v>
      </c>
      <c r="E314" s="1" t="s">
        <v>767</v>
      </c>
      <c r="F314" s="1" t="s">
        <v>111</v>
      </c>
      <c r="G314" s="1">
        <v>24615</v>
      </c>
    </row>
    <row r="315" spans="1:7" x14ac:dyDescent="0.35">
      <c r="A315" s="1" t="str">
        <f t="shared" si="4"/>
        <v>10  Saccharin 1</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2453</v>
      </c>
      <c r="D315" s="1" t="s">
        <v>359</v>
      </c>
      <c r="E315" s="1" t="s">
        <v>2454</v>
      </c>
      <c r="F315" s="1" t="s">
        <v>111</v>
      </c>
      <c r="G315" s="1">
        <v>478259</v>
      </c>
    </row>
    <row r="316" spans="1:7" x14ac:dyDescent="0.35">
      <c r="A316" s="1" t="str">
        <f t="shared" si="4"/>
        <v>10  Saccharin 1</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2455</v>
      </c>
      <c r="D316" s="1" t="s">
        <v>696</v>
      </c>
      <c r="E316" s="1" t="s">
        <v>2358</v>
      </c>
      <c r="F316" s="1" t="s">
        <v>111</v>
      </c>
      <c r="G316" s="1">
        <v>33613</v>
      </c>
    </row>
    <row r="317" spans="1:7" x14ac:dyDescent="0.35">
      <c r="A317" s="1" t="str">
        <f t="shared" si="4"/>
        <v>10  Saccharin 1</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2456</v>
      </c>
      <c r="D317" s="1" t="s">
        <v>1220</v>
      </c>
      <c r="E317" s="1" t="s">
        <v>2457</v>
      </c>
      <c r="F317" s="1" t="s">
        <v>111</v>
      </c>
      <c r="G317" s="1">
        <v>318111</v>
      </c>
    </row>
    <row r="318" spans="1:7" x14ac:dyDescent="0.35">
      <c r="A318" s="1" t="str">
        <f t="shared" si="4"/>
        <v>10  Saccharin 1</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2458</v>
      </c>
      <c r="D318" s="1" t="s">
        <v>2459</v>
      </c>
      <c r="E318" s="1" t="s">
        <v>2460</v>
      </c>
      <c r="F318" s="1" t="s">
        <v>111</v>
      </c>
      <c r="G318" s="1">
        <v>103110</v>
      </c>
    </row>
    <row r="319" spans="1:7" x14ac:dyDescent="0.35">
      <c r="A319" s="1" t="str">
        <f t="shared" si="4"/>
        <v>10  Saccharin 1</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2461</v>
      </c>
      <c r="D319" s="1" t="s">
        <v>1638</v>
      </c>
      <c r="E319" s="1" t="s">
        <v>2462</v>
      </c>
      <c r="F319" s="1" t="s">
        <v>111</v>
      </c>
      <c r="G319" s="1">
        <v>480076</v>
      </c>
    </row>
    <row r="320" spans="1:7" x14ac:dyDescent="0.35">
      <c r="A320" s="1" t="str">
        <f t="shared" si="4"/>
        <v>10  Saccharin 1</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2463</v>
      </c>
      <c r="D320" s="1" t="s">
        <v>1183</v>
      </c>
      <c r="E320" s="1" t="s">
        <v>800</v>
      </c>
      <c r="F320" s="1" t="s">
        <v>111</v>
      </c>
      <c r="G320" s="1">
        <v>71422</v>
      </c>
    </row>
    <row r="321" spans="1:9" x14ac:dyDescent="0.35">
      <c r="A321" s="1" t="str">
        <f t="shared" si="4"/>
        <v>10  Saccharin 1</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2464</v>
      </c>
      <c r="D321" s="1" t="s">
        <v>365</v>
      </c>
      <c r="E321" s="1">
        <v>62</v>
      </c>
      <c r="F321" s="1" t="s">
        <v>111</v>
      </c>
      <c r="G321" s="1">
        <v>26821</v>
      </c>
    </row>
    <row r="322" spans="1:9" x14ac:dyDescent="0.35">
      <c r="A322" s="1" t="str">
        <f t="shared" ref="A322:A385" si="5">IFERROR(LEFT(RIGHT(C322,LEN(C322)-SEARCH("@",C322)),SEARCH("/",RIGHT(C322,LEN(C322)-SEARCH("@",C322)-1))),"")</f>
        <v>10  Saccharin 1</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2465</v>
      </c>
      <c r="D322" s="1" t="s">
        <v>275</v>
      </c>
      <c r="E322" s="1" t="s">
        <v>2466</v>
      </c>
      <c r="F322" s="1" t="s">
        <v>111</v>
      </c>
      <c r="G322" s="1">
        <v>26107</v>
      </c>
    </row>
    <row r="323" spans="1:9" x14ac:dyDescent="0.3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111</v>
      </c>
    </row>
    <row r="324" spans="1:9" x14ac:dyDescent="0.3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234</v>
      </c>
      <c r="D324" s="1" t="s">
        <v>111</v>
      </c>
      <c r="E324" s="1" t="s">
        <v>235</v>
      </c>
      <c r="F324" s="1" t="s">
        <v>236</v>
      </c>
      <c r="G324" s="1" t="s">
        <v>237</v>
      </c>
      <c r="H324" s="1" t="s">
        <v>238</v>
      </c>
      <c r="I324" s="1" t="s">
        <v>239</v>
      </c>
    </row>
    <row r="325" spans="1:9" x14ac:dyDescent="0.35">
      <c r="A325" s="1" t="str">
        <f t="shared" si="5"/>
        <v>10  Saccharin 1</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2467</v>
      </c>
      <c r="D325" s="1" t="s">
        <v>111</v>
      </c>
      <c r="E325" s="1" t="s">
        <v>2468</v>
      </c>
      <c r="F325" s="1" t="s">
        <v>2469</v>
      </c>
      <c r="G325" s="1" t="s">
        <v>2470</v>
      </c>
      <c r="H325" s="1" t="s">
        <v>2471</v>
      </c>
      <c r="I325" s="1">
        <v>24</v>
      </c>
    </row>
    <row r="326" spans="1:9" x14ac:dyDescent="0.3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111</v>
      </c>
    </row>
    <row r="327" spans="1:9" x14ac:dyDescent="0.3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111</v>
      </c>
    </row>
    <row r="328" spans="1:9" x14ac:dyDescent="0.3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111</v>
      </c>
    </row>
    <row r="329" spans="1:9" x14ac:dyDescent="0.3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111</v>
      </c>
    </row>
    <row r="330" spans="1:9" x14ac:dyDescent="0.3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111</v>
      </c>
    </row>
    <row r="331" spans="1:9" x14ac:dyDescent="0.3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245</v>
      </c>
      <c r="D331" s="1" t="s">
        <v>109</v>
      </c>
      <c r="E331" s="1" t="s">
        <v>110</v>
      </c>
      <c r="F331" s="1" t="s">
        <v>111</v>
      </c>
      <c r="G331" s="1" t="s">
        <v>112</v>
      </c>
    </row>
    <row r="332" spans="1:9" x14ac:dyDescent="0.35">
      <c r="A332" s="1" t="str">
        <f t="shared" si="5"/>
        <v>11 Saccharin 10</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2472</v>
      </c>
      <c r="D332" s="1" t="s">
        <v>1641</v>
      </c>
      <c r="E332" s="1" t="s">
        <v>1667</v>
      </c>
      <c r="F332" s="1" t="s">
        <v>111</v>
      </c>
      <c r="G332" s="1">
        <v>238470</v>
      </c>
    </row>
    <row r="333" spans="1:9" x14ac:dyDescent="0.35">
      <c r="A333" s="1" t="str">
        <f t="shared" si="5"/>
        <v>11 Saccharin 10</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2473</v>
      </c>
      <c r="D333" s="1" t="s">
        <v>182</v>
      </c>
      <c r="E333" s="1" t="s">
        <v>2474</v>
      </c>
      <c r="F333" s="1" t="s">
        <v>111</v>
      </c>
      <c r="G333" s="1">
        <v>316791</v>
      </c>
    </row>
    <row r="334" spans="1:9" x14ac:dyDescent="0.35">
      <c r="A334" s="1" t="str">
        <f t="shared" si="5"/>
        <v>11 Saccharin 10</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2475</v>
      </c>
      <c r="D334" s="1" t="s">
        <v>365</v>
      </c>
      <c r="E334" s="1" t="s">
        <v>2476</v>
      </c>
      <c r="F334" s="1" t="s">
        <v>111</v>
      </c>
      <c r="G334" s="1">
        <v>26864</v>
      </c>
    </row>
    <row r="335" spans="1:9" x14ac:dyDescent="0.35">
      <c r="A335" s="1" t="str">
        <f t="shared" si="5"/>
        <v>11 Saccharin 10</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2477</v>
      </c>
      <c r="D335" s="1" t="s">
        <v>2478</v>
      </c>
      <c r="E335" s="1" t="s">
        <v>2479</v>
      </c>
      <c r="F335" s="1" t="s">
        <v>111</v>
      </c>
      <c r="G335" s="1">
        <v>712813</v>
      </c>
    </row>
    <row r="336" spans="1:9" x14ac:dyDescent="0.35">
      <c r="A336" s="1" t="str">
        <f t="shared" si="5"/>
        <v>11 Saccharin 10</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2480</v>
      </c>
      <c r="D336" s="1" t="s">
        <v>297</v>
      </c>
      <c r="E336" s="1" t="s">
        <v>2481</v>
      </c>
      <c r="F336" s="1" t="s">
        <v>111</v>
      </c>
      <c r="G336" s="1">
        <v>34846</v>
      </c>
    </row>
    <row r="337" spans="1:7" x14ac:dyDescent="0.35">
      <c r="A337" s="1" t="str">
        <f t="shared" si="5"/>
        <v>11 Saccharin 10</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2482</v>
      </c>
      <c r="D337" s="1" t="s">
        <v>1622</v>
      </c>
      <c r="E337" s="1" t="s">
        <v>2483</v>
      </c>
      <c r="F337" s="1" t="s">
        <v>111</v>
      </c>
      <c r="G337" s="1">
        <v>59742</v>
      </c>
    </row>
    <row r="338" spans="1:7" x14ac:dyDescent="0.35">
      <c r="A338" s="1" t="str">
        <f t="shared" si="5"/>
        <v>11 Saccharin 10</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2484</v>
      </c>
    </row>
    <row r="339" spans="1:7" x14ac:dyDescent="0.35">
      <c r="A339" s="1" t="str">
        <f t="shared" si="5"/>
        <v>11 Saccharin 10</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2485</v>
      </c>
      <c r="D339" s="1" t="s">
        <v>173</v>
      </c>
      <c r="E339" s="1" t="s">
        <v>2486</v>
      </c>
      <c r="F339" s="1" t="s">
        <v>111</v>
      </c>
      <c r="G339" s="1">
        <v>39388</v>
      </c>
    </row>
    <row r="340" spans="1:7" x14ac:dyDescent="0.35">
      <c r="A340" s="1" t="str">
        <f t="shared" si="5"/>
        <v>11 Saccharin 10</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2487</v>
      </c>
      <c r="D340" s="1" t="s">
        <v>275</v>
      </c>
      <c r="E340" s="1" t="s">
        <v>2488</v>
      </c>
      <c r="F340" s="1" t="s">
        <v>111</v>
      </c>
      <c r="G340" s="1">
        <v>25826</v>
      </c>
    </row>
    <row r="341" spans="1:7" x14ac:dyDescent="0.35">
      <c r="A341" s="1" t="str">
        <f t="shared" si="5"/>
        <v>11 Saccharin 10</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2489</v>
      </c>
      <c r="D341" s="1" t="s">
        <v>2490</v>
      </c>
      <c r="E341" s="1" t="s">
        <v>2491</v>
      </c>
      <c r="F341" s="1" t="s">
        <v>111</v>
      </c>
      <c r="G341" s="1">
        <v>221317</v>
      </c>
    </row>
    <row r="342" spans="1:7" x14ac:dyDescent="0.35">
      <c r="A342" s="1" t="str">
        <f t="shared" si="5"/>
        <v>11 Saccharin 10</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2492</v>
      </c>
      <c r="D342" s="1" t="s">
        <v>207</v>
      </c>
      <c r="E342" s="1" t="s">
        <v>2493</v>
      </c>
      <c r="F342" s="1" t="s">
        <v>111</v>
      </c>
      <c r="G342" s="1">
        <v>92165</v>
      </c>
    </row>
    <row r="343" spans="1:7" x14ac:dyDescent="0.35">
      <c r="A343" s="1" t="str">
        <f t="shared" si="5"/>
        <v>11 Saccharin 10</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2494</v>
      </c>
      <c r="D343" s="1" t="s">
        <v>802</v>
      </c>
      <c r="E343" s="1" t="s">
        <v>2495</v>
      </c>
      <c r="F343" s="1" t="s">
        <v>111</v>
      </c>
      <c r="G343" s="1">
        <v>75964</v>
      </c>
    </row>
    <row r="344" spans="1:7" x14ac:dyDescent="0.35">
      <c r="A344" s="1" t="str">
        <f t="shared" si="5"/>
        <v>11 Saccharin 10</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2496</v>
      </c>
      <c r="D344" s="1" t="s">
        <v>1197</v>
      </c>
      <c r="E344" s="1" t="s">
        <v>2497</v>
      </c>
      <c r="F344" s="1" t="s">
        <v>111</v>
      </c>
      <c r="G344" s="1">
        <v>576869</v>
      </c>
    </row>
    <row r="345" spans="1:7" x14ac:dyDescent="0.35">
      <c r="A345" s="1" t="str">
        <f t="shared" si="5"/>
        <v>11 Saccharin 10</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2498</v>
      </c>
      <c r="D345" s="1" t="s">
        <v>1200</v>
      </c>
      <c r="E345" s="1" t="s">
        <v>1666</v>
      </c>
      <c r="F345" s="1" t="s">
        <v>111</v>
      </c>
      <c r="G345" s="1">
        <v>561209</v>
      </c>
    </row>
    <row r="346" spans="1:7" x14ac:dyDescent="0.35">
      <c r="A346" s="1" t="str">
        <f t="shared" si="5"/>
        <v>11 Saccharin 10</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2499</v>
      </c>
      <c r="D346" s="1" t="s">
        <v>338</v>
      </c>
      <c r="E346" s="1" t="s">
        <v>2500</v>
      </c>
      <c r="F346" s="1" t="s">
        <v>111</v>
      </c>
      <c r="G346" s="1">
        <v>146434</v>
      </c>
    </row>
    <row r="347" spans="1:7" x14ac:dyDescent="0.35">
      <c r="A347" s="1" t="str">
        <f t="shared" si="5"/>
        <v>11 Saccharin 10</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2501</v>
      </c>
      <c r="D347" s="1" t="s">
        <v>1319</v>
      </c>
      <c r="E347" s="1" t="s">
        <v>769</v>
      </c>
      <c r="F347" s="1" t="s">
        <v>111</v>
      </c>
      <c r="G347" s="1">
        <v>43260</v>
      </c>
    </row>
    <row r="348" spans="1:7" x14ac:dyDescent="0.35">
      <c r="A348" s="1" t="str">
        <f t="shared" si="5"/>
        <v>11 Saccharin 10</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2502</v>
      </c>
    </row>
    <row r="349" spans="1:7" x14ac:dyDescent="0.35">
      <c r="A349" s="1" t="str">
        <f t="shared" si="5"/>
        <v>11 Saccharin 10</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2503</v>
      </c>
      <c r="D349" s="1" t="s">
        <v>1629</v>
      </c>
      <c r="E349" s="1" t="s">
        <v>2504</v>
      </c>
      <c r="F349" s="1" t="s">
        <v>111</v>
      </c>
      <c r="G349" s="1">
        <v>142476</v>
      </c>
    </row>
    <row r="350" spans="1:7" x14ac:dyDescent="0.35">
      <c r="A350" s="1" t="str">
        <f t="shared" si="5"/>
        <v>11 Saccharin 10</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2505</v>
      </c>
      <c r="D350" s="1" t="s">
        <v>2506</v>
      </c>
      <c r="E350" s="1" t="s">
        <v>2507</v>
      </c>
      <c r="F350" s="1" t="s">
        <v>111</v>
      </c>
      <c r="G350" s="1">
        <v>786614</v>
      </c>
    </row>
    <row r="351" spans="1:7" x14ac:dyDescent="0.35">
      <c r="A351" s="1" t="str">
        <f t="shared" si="5"/>
        <v>11 Saccharin 10</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2508</v>
      </c>
      <c r="D351" s="1" t="s">
        <v>2509</v>
      </c>
      <c r="E351" s="1" t="s">
        <v>2510</v>
      </c>
      <c r="F351" s="1" t="s">
        <v>111</v>
      </c>
      <c r="G351" s="1">
        <v>200228</v>
      </c>
    </row>
    <row r="352" spans="1:7" x14ac:dyDescent="0.35">
      <c r="A352" s="1" t="str">
        <f t="shared" si="5"/>
        <v>11 Saccharin 10</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2511</v>
      </c>
      <c r="D352" s="1" t="s">
        <v>1451</v>
      </c>
      <c r="E352" s="1" t="s">
        <v>2512</v>
      </c>
      <c r="F352" s="1" t="s">
        <v>111</v>
      </c>
      <c r="G352" s="1">
        <v>79944</v>
      </c>
    </row>
    <row r="353" spans="1:9" x14ac:dyDescent="0.35">
      <c r="A353" s="1" t="str">
        <f t="shared" si="5"/>
        <v>11 Saccharin 10</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2513</v>
      </c>
      <c r="D353" s="1" t="s">
        <v>227</v>
      </c>
      <c r="E353" s="1" t="s">
        <v>2514</v>
      </c>
      <c r="F353" s="1" t="s">
        <v>111</v>
      </c>
      <c r="G353" s="1">
        <v>106160</v>
      </c>
    </row>
    <row r="354" spans="1:9" x14ac:dyDescent="0.35">
      <c r="A354" s="1" t="str">
        <f t="shared" si="5"/>
        <v>11 Saccharin 10</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2515</v>
      </c>
      <c r="D354" s="1" t="s">
        <v>764</v>
      </c>
      <c r="E354" s="1" t="s">
        <v>2516</v>
      </c>
      <c r="F354" s="1" t="s">
        <v>111</v>
      </c>
      <c r="G354" s="1">
        <v>17585</v>
      </c>
    </row>
    <row r="355" spans="1:9" x14ac:dyDescent="0.35">
      <c r="A355" s="1" t="str">
        <f t="shared" si="5"/>
        <v>11 Saccharin 10</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2517</v>
      </c>
      <c r="D355" s="1" t="s">
        <v>708</v>
      </c>
      <c r="E355" s="1" t="s">
        <v>292</v>
      </c>
      <c r="F355" s="1" t="s">
        <v>111</v>
      </c>
      <c r="G355" s="1">
        <v>9517</v>
      </c>
    </row>
    <row r="356" spans="1:9" x14ac:dyDescent="0.3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111</v>
      </c>
    </row>
    <row r="357" spans="1:9" x14ac:dyDescent="0.3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234</v>
      </c>
      <c r="D357" s="1" t="s">
        <v>111</v>
      </c>
      <c r="E357" s="1" t="s">
        <v>235</v>
      </c>
      <c r="F357" s="1" t="s">
        <v>236</v>
      </c>
      <c r="G357" s="1" t="s">
        <v>237</v>
      </c>
      <c r="H357" s="1" t="s">
        <v>238</v>
      </c>
      <c r="I357" s="1" t="s">
        <v>239</v>
      </c>
    </row>
    <row r="358" spans="1:9" x14ac:dyDescent="0.35">
      <c r="A358" s="1" t="str">
        <f t="shared" si="5"/>
        <v>11 Saccharin 10</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2518</v>
      </c>
      <c r="D358" s="1" t="s">
        <v>111</v>
      </c>
      <c r="E358" s="1" t="s">
        <v>2519</v>
      </c>
      <c r="F358" s="1" t="s">
        <v>2520</v>
      </c>
      <c r="G358" s="1" t="s">
        <v>2521</v>
      </c>
      <c r="H358" s="1" t="s">
        <v>2522</v>
      </c>
      <c r="I358" s="1">
        <v>24</v>
      </c>
    </row>
    <row r="359" spans="1:9" x14ac:dyDescent="0.3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111</v>
      </c>
    </row>
    <row r="360" spans="1:9" x14ac:dyDescent="0.3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111</v>
      </c>
    </row>
    <row r="361" spans="1:9" x14ac:dyDescent="0.3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111</v>
      </c>
    </row>
    <row r="362" spans="1:9" x14ac:dyDescent="0.3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111</v>
      </c>
    </row>
    <row r="363" spans="1:9" x14ac:dyDescent="0.3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111</v>
      </c>
    </row>
    <row r="364" spans="1:9" x14ac:dyDescent="0.3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245</v>
      </c>
      <c r="D364" s="1" t="s">
        <v>109</v>
      </c>
      <c r="E364" s="1" t="s">
        <v>110</v>
      </c>
      <c r="F364" s="1" t="s">
        <v>111</v>
      </c>
      <c r="G364" s="1" t="s">
        <v>112</v>
      </c>
    </row>
    <row r="365" spans="1:9" x14ac:dyDescent="0.35">
      <c r="A365" s="1" t="str">
        <f t="shared" si="5"/>
        <v>12  Saccharin 100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2523</v>
      </c>
      <c r="D365" s="1" t="s">
        <v>936</v>
      </c>
      <c r="E365" s="1" t="s">
        <v>2524</v>
      </c>
      <c r="F365" s="1" t="s">
        <v>111</v>
      </c>
      <c r="G365" s="1">
        <v>196897</v>
      </c>
    </row>
    <row r="366" spans="1:9" x14ac:dyDescent="0.35">
      <c r="A366" s="1" t="str">
        <f t="shared" si="5"/>
        <v>12  Saccharin 100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2525</v>
      </c>
      <c r="D366" s="1" t="s">
        <v>2526</v>
      </c>
      <c r="E366" s="1" t="s">
        <v>2527</v>
      </c>
      <c r="F366" s="1" t="s">
        <v>111</v>
      </c>
      <c r="G366" s="1">
        <v>201028</v>
      </c>
    </row>
    <row r="367" spans="1:9" x14ac:dyDescent="0.35">
      <c r="A367" s="1" t="str">
        <f t="shared" si="5"/>
        <v>12  Saccharin 100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2528</v>
      </c>
      <c r="D367" s="1" t="s">
        <v>1890</v>
      </c>
      <c r="E367" s="1" t="s">
        <v>2529</v>
      </c>
      <c r="F367" s="1" t="s">
        <v>111</v>
      </c>
      <c r="G367" s="1">
        <v>188094</v>
      </c>
    </row>
    <row r="368" spans="1:9" x14ac:dyDescent="0.35">
      <c r="A368" s="1" t="str">
        <f t="shared" si="5"/>
        <v>12  Saccharin 100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2530</v>
      </c>
      <c r="D368" s="1" t="s">
        <v>217</v>
      </c>
      <c r="E368" s="1" t="s">
        <v>800</v>
      </c>
      <c r="F368" s="1" t="s">
        <v>111</v>
      </c>
      <c r="G368" s="1">
        <v>16482</v>
      </c>
    </row>
    <row r="369" spans="1:7" x14ac:dyDescent="0.35">
      <c r="A369" s="1" t="str">
        <f t="shared" si="5"/>
        <v>12  Saccharin 100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2531</v>
      </c>
      <c r="D369" s="1" t="s">
        <v>278</v>
      </c>
      <c r="E369" s="1" t="s">
        <v>2532</v>
      </c>
      <c r="F369" s="1" t="s">
        <v>111</v>
      </c>
      <c r="G369" s="1">
        <v>12286</v>
      </c>
    </row>
    <row r="370" spans="1:7" x14ac:dyDescent="0.35">
      <c r="A370" s="1" t="str">
        <f t="shared" si="5"/>
        <v>12  Saccharin 100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2533</v>
      </c>
      <c r="D370" s="1" t="s">
        <v>682</v>
      </c>
      <c r="E370" s="1" t="s">
        <v>2534</v>
      </c>
      <c r="F370" s="1" t="s">
        <v>111</v>
      </c>
      <c r="G370" s="1">
        <v>23447</v>
      </c>
    </row>
    <row r="371" spans="1:7" x14ac:dyDescent="0.35">
      <c r="A371" s="1" t="str">
        <f t="shared" si="5"/>
        <v>12  Saccharin 100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2535</v>
      </c>
      <c r="D371" s="1" t="s">
        <v>2536</v>
      </c>
      <c r="E371" s="1" t="s">
        <v>2537</v>
      </c>
      <c r="F371" s="1" t="s">
        <v>111</v>
      </c>
      <c r="G371" s="1">
        <v>351248</v>
      </c>
    </row>
    <row r="372" spans="1:7" x14ac:dyDescent="0.35">
      <c r="A372" s="1" t="str">
        <f t="shared" si="5"/>
        <v>12  Saccharin 100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2538</v>
      </c>
      <c r="D372" s="1" t="s">
        <v>1220</v>
      </c>
      <c r="E372" s="1" t="s">
        <v>2539</v>
      </c>
      <c r="F372" s="1" t="s">
        <v>111</v>
      </c>
      <c r="G372" s="1">
        <v>312076</v>
      </c>
    </row>
    <row r="373" spans="1:7" x14ac:dyDescent="0.35">
      <c r="A373" s="1" t="str">
        <f t="shared" si="5"/>
        <v>12  Saccharin 100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2540</v>
      </c>
      <c r="D373" s="1" t="s">
        <v>1474</v>
      </c>
      <c r="E373" s="1" t="s">
        <v>2541</v>
      </c>
      <c r="F373" s="1" t="s">
        <v>111</v>
      </c>
      <c r="G373" s="1">
        <v>25588</v>
      </c>
    </row>
    <row r="374" spans="1:7" x14ac:dyDescent="0.35">
      <c r="A374" s="1" t="str">
        <f t="shared" si="5"/>
        <v>12  Saccharin 100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2542</v>
      </c>
      <c r="D374" s="1" t="s">
        <v>176</v>
      </c>
      <c r="E374" s="1" t="s">
        <v>2543</v>
      </c>
      <c r="F374" s="1" t="s">
        <v>111</v>
      </c>
      <c r="G374" s="1">
        <v>197243</v>
      </c>
    </row>
    <row r="375" spans="1:7" x14ac:dyDescent="0.35">
      <c r="A375" s="1" t="str">
        <f t="shared" si="5"/>
        <v>12  Saccharin 100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2544</v>
      </c>
      <c r="D375" s="1" t="s">
        <v>232</v>
      </c>
      <c r="E375" s="1" t="s">
        <v>2545</v>
      </c>
      <c r="F375" s="1" t="s">
        <v>111</v>
      </c>
      <c r="G375" s="1">
        <v>110550</v>
      </c>
    </row>
    <row r="376" spans="1:7" x14ac:dyDescent="0.35">
      <c r="A376" s="1" t="str">
        <f t="shared" si="5"/>
        <v>12  Saccharin 100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2546</v>
      </c>
    </row>
    <row r="377" spans="1:7" x14ac:dyDescent="0.35">
      <c r="A377" s="1" t="str">
        <f t="shared" si="5"/>
        <v>12  Saccharin 100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2547</v>
      </c>
      <c r="D377" s="1" t="s">
        <v>262</v>
      </c>
      <c r="E377" s="1" t="s">
        <v>2548</v>
      </c>
      <c r="F377" s="1" t="s">
        <v>111</v>
      </c>
      <c r="G377" s="1">
        <v>579595</v>
      </c>
    </row>
    <row r="378" spans="1:7" x14ac:dyDescent="0.35">
      <c r="A378" s="1" t="str">
        <f t="shared" si="5"/>
        <v>12  Saccharin 100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2549</v>
      </c>
      <c r="D378" s="1" t="s">
        <v>705</v>
      </c>
      <c r="E378" s="1" t="s">
        <v>2550</v>
      </c>
      <c r="F378" s="1" t="s">
        <v>111</v>
      </c>
      <c r="G378" s="1">
        <v>89310</v>
      </c>
    </row>
    <row r="379" spans="1:7" x14ac:dyDescent="0.35">
      <c r="A379" s="1" t="str">
        <f t="shared" si="5"/>
        <v>12  Saccharin 100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2551</v>
      </c>
      <c r="D379" s="1" t="s">
        <v>1531</v>
      </c>
      <c r="E379" s="1" t="s">
        <v>2552</v>
      </c>
      <c r="F379" s="1" t="s">
        <v>111</v>
      </c>
      <c r="G379" s="1">
        <v>139297</v>
      </c>
    </row>
    <row r="380" spans="1:7" x14ac:dyDescent="0.35">
      <c r="A380" s="1" t="str">
        <f t="shared" si="5"/>
        <v>12  Saccharin 100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2553</v>
      </c>
      <c r="D380" s="1" t="s">
        <v>1640</v>
      </c>
      <c r="E380" s="1" t="s">
        <v>2554</v>
      </c>
      <c r="F380" s="1" t="s">
        <v>111</v>
      </c>
      <c r="G380" s="1">
        <v>56692</v>
      </c>
    </row>
    <row r="381" spans="1:7" x14ac:dyDescent="0.35">
      <c r="A381" s="1" t="str">
        <f t="shared" si="5"/>
        <v>12  Saccharin 100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2555</v>
      </c>
      <c r="D381" s="1" t="s">
        <v>2556</v>
      </c>
      <c r="E381" s="1" t="s">
        <v>2557</v>
      </c>
      <c r="F381" s="1" t="s">
        <v>111</v>
      </c>
      <c r="G381" s="1">
        <v>152274</v>
      </c>
    </row>
    <row r="382" spans="1:7" x14ac:dyDescent="0.35">
      <c r="A382" s="1" t="str">
        <f t="shared" si="5"/>
        <v>12  Saccharin 100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2558</v>
      </c>
      <c r="D382" s="1" t="s">
        <v>859</v>
      </c>
      <c r="E382" s="1" t="s">
        <v>1646</v>
      </c>
      <c r="F382" s="1" t="s">
        <v>111</v>
      </c>
      <c r="G382" s="1">
        <v>19121</v>
      </c>
    </row>
    <row r="383" spans="1:7" x14ac:dyDescent="0.35">
      <c r="A383" s="1" t="str">
        <f t="shared" si="5"/>
        <v>12  Saccharin 100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2559</v>
      </c>
      <c r="D383" s="1" t="s">
        <v>854</v>
      </c>
      <c r="E383" s="1" t="s">
        <v>855</v>
      </c>
      <c r="F383" s="1" t="s">
        <v>111</v>
      </c>
      <c r="G383" s="1">
        <v>21695</v>
      </c>
    </row>
    <row r="384" spans="1:7" x14ac:dyDescent="0.35">
      <c r="A384" s="1" t="str">
        <f t="shared" si="5"/>
        <v>12  Saccharin 100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2560</v>
      </c>
      <c r="D384" s="1" t="s">
        <v>734</v>
      </c>
      <c r="E384" s="1" t="s">
        <v>366</v>
      </c>
      <c r="F384" s="1" t="s">
        <v>111</v>
      </c>
      <c r="G384" s="1">
        <v>6770</v>
      </c>
    </row>
    <row r="385" spans="1:9" x14ac:dyDescent="0.35">
      <c r="A385" s="1" t="str">
        <f t="shared" si="5"/>
        <v>12  Saccharin 100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2561</v>
      </c>
      <c r="D385" s="1" t="s">
        <v>708</v>
      </c>
      <c r="E385" s="1">
        <v>65</v>
      </c>
      <c r="F385" s="1" t="s">
        <v>111</v>
      </c>
      <c r="G385" s="1">
        <v>9842</v>
      </c>
    </row>
    <row r="386" spans="1:9" x14ac:dyDescent="0.35">
      <c r="A386" s="1" t="str">
        <f t="shared" ref="A386:A449" si="6">IFERROR(LEFT(RIGHT(C386,LEN(C386)-SEARCH("@",C386)),SEARCH("/",RIGHT(C386,LEN(C386)-SEARCH("@",C386)-1))),"")</f>
        <v>12  Saccharin 100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2562</v>
      </c>
      <c r="D386" s="1" t="s">
        <v>2563</v>
      </c>
      <c r="E386" s="1" t="s">
        <v>2564</v>
      </c>
      <c r="F386" s="1" t="s">
        <v>111</v>
      </c>
      <c r="G386" s="1">
        <v>1063391</v>
      </c>
    </row>
    <row r="387" spans="1:9" x14ac:dyDescent="0.35">
      <c r="A387" s="1" t="str">
        <f t="shared" si="6"/>
        <v>12  Saccharin 100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2565</v>
      </c>
      <c r="D387" s="1" t="s">
        <v>2566</v>
      </c>
      <c r="E387" s="1" t="s">
        <v>2567</v>
      </c>
      <c r="F387" s="1" t="s">
        <v>111</v>
      </c>
      <c r="G387" s="1">
        <v>641499</v>
      </c>
    </row>
    <row r="388" spans="1:9" x14ac:dyDescent="0.35">
      <c r="A388" s="1" t="str">
        <f t="shared" si="6"/>
        <v>12  Saccharin 100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2568</v>
      </c>
      <c r="D388" s="1" t="s">
        <v>2569</v>
      </c>
      <c r="E388" s="1" t="s">
        <v>2570</v>
      </c>
      <c r="F388" s="1" t="s">
        <v>111</v>
      </c>
      <c r="G388" s="1">
        <v>240762</v>
      </c>
    </row>
    <row r="389" spans="1:9" x14ac:dyDescent="0.3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111</v>
      </c>
    </row>
    <row r="390" spans="1:9" x14ac:dyDescent="0.3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234</v>
      </c>
      <c r="D390" s="1" t="s">
        <v>111</v>
      </c>
      <c r="E390" s="1" t="s">
        <v>235</v>
      </c>
      <c r="F390" s="1" t="s">
        <v>236</v>
      </c>
      <c r="G390" s="1" t="s">
        <v>237</v>
      </c>
      <c r="H390" s="1" t="s">
        <v>238</v>
      </c>
      <c r="I390" s="1" t="s">
        <v>239</v>
      </c>
    </row>
    <row r="391" spans="1:9" x14ac:dyDescent="0.35">
      <c r="A391" s="1" t="str">
        <f t="shared" si="6"/>
        <v>12  Saccharin 100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2571</v>
      </c>
      <c r="D391" s="1" t="s">
        <v>111</v>
      </c>
      <c r="E391" s="1" t="s">
        <v>2572</v>
      </c>
      <c r="F391" s="1" t="s">
        <v>2573</v>
      </c>
      <c r="G391" s="1" t="s">
        <v>2574</v>
      </c>
      <c r="H391" s="1" t="s">
        <v>2575</v>
      </c>
      <c r="I391" s="1">
        <v>24</v>
      </c>
    </row>
    <row r="392" spans="1:9" x14ac:dyDescent="0.3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111</v>
      </c>
    </row>
    <row r="393" spans="1:9" x14ac:dyDescent="0.3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111</v>
      </c>
    </row>
    <row r="394" spans="1:9" x14ac:dyDescent="0.3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111</v>
      </c>
    </row>
    <row r="395" spans="1:9" x14ac:dyDescent="0.3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111</v>
      </c>
    </row>
    <row r="396" spans="1:9" x14ac:dyDescent="0.3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111</v>
      </c>
    </row>
    <row r="397" spans="1:9" x14ac:dyDescent="0.3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245</v>
      </c>
      <c r="D397" s="1" t="s">
        <v>109</v>
      </c>
      <c r="E397" s="1" t="s">
        <v>110</v>
      </c>
      <c r="F397" s="1" t="s">
        <v>111</v>
      </c>
      <c r="G397" s="1" t="s">
        <v>112</v>
      </c>
    </row>
    <row r="398" spans="1:9" x14ac:dyDescent="0.35">
      <c r="A398" s="1" t="str">
        <f t="shared" si="6"/>
        <v>13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2576</v>
      </c>
      <c r="D398" s="1" t="s">
        <v>173</v>
      </c>
      <c r="E398" s="1" t="s">
        <v>2577</v>
      </c>
      <c r="F398" s="1" t="s">
        <v>111</v>
      </c>
      <c r="G398" s="1">
        <v>37636</v>
      </c>
    </row>
    <row r="399" spans="1:9" x14ac:dyDescent="0.35">
      <c r="A399" s="1" t="str">
        <f t="shared" si="6"/>
        <v>13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2578</v>
      </c>
    </row>
    <row r="400" spans="1:9" x14ac:dyDescent="0.35">
      <c r="A400" s="1" t="str">
        <f t="shared" si="6"/>
        <v>13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2579</v>
      </c>
      <c r="D400" s="1" t="s">
        <v>420</v>
      </c>
      <c r="E400" s="1" t="s">
        <v>2580</v>
      </c>
      <c r="F400" s="1" t="s">
        <v>111</v>
      </c>
      <c r="G400" s="1">
        <v>346230</v>
      </c>
    </row>
    <row r="401" spans="1:7" x14ac:dyDescent="0.35">
      <c r="A401" s="1" t="str">
        <f t="shared" si="6"/>
        <v>13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2581</v>
      </c>
      <c r="D401" s="1" t="s">
        <v>1664</v>
      </c>
      <c r="E401" s="1" t="s">
        <v>2582</v>
      </c>
      <c r="F401" s="1" t="s">
        <v>111</v>
      </c>
      <c r="G401" s="1">
        <v>169232</v>
      </c>
    </row>
    <row r="402" spans="1:7" x14ac:dyDescent="0.35">
      <c r="A402" s="1" t="str">
        <f t="shared" si="6"/>
        <v>13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2583</v>
      </c>
      <c r="D402" s="1" t="s">
        <v>1918</v>
      </c>
      <c r="E402" s="1" t="s">
        <v>2584</v>
      </c>
      <c r="F402" s="1" t="s">
        <v>111</v>
      </c>
      <c r="G402" s="1">
        <v>309243</v>
      </c>
    </row>
    <row r="403" spans="1:7" x14ac:dyDescent="0.35">
      <c r="A403" s="1" t="str">
        <f t="shared" si="6"/>
        <v>13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2585</v>
      </c>
      <c r="D403" s="1" t="s">
        <v>214</v>
      </c>
      <c r="E403" s="1" t="s">
        <v>2586</v>
      </c>
      <c r="F403" s="1" t="s">
        <v>111</v>
      </c>
      <c r="G403" s="1">
        <v>30779</v>
      </c>
    </row>
    <row r="404" spans="1:7" x14ac:dyDescent="0.35">
      <c r="A404" s="1" t="str">
        <f t="shared" si="6"/>
        <v>13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2587</v>
      </c>
    </row>
    <row r="405" spans="1:7" x14ac:dyDescent="0.35">
      <c r="A405" s="1" t="str">
        <f t="shared" si="6"/>
        <v>13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2588</v>
      </c>
    </row>
    <row r="406" spans="1:7" x14ac:dyDescent="0.35">
      <c r="A406" s="1" t="str">
        <f t="shared" si="6"/>
        <v>13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2589</v>
      </c>
    </row>
    <row r="407" spans="1:7" x14ac:dyDescent="0.35">
      <c r="A407" s="1" t="str">
        <f t="shared" si="6"/>
        <v>13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2590</v>
      </c>
      <c r="D407" s="1" t="s">
        <v>194</v>
      </c>
      <c r="E407" s="1" t="s">
        <v>2591</v>
      </c>
      <c r="F407" s="1" t="s">
        <v>111</v>
      </c>
      <c r="G407" s="1">
        <v>370239</v>
      </c>
    </row>
    <row r="408" spans="1:7" x14ac:dyDescent="0.35">
      <c r="A408" s="1" t="str">
        <f t="shared" si="6"/>
        <v>13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2592</v>
      </c>
    </row>
    <row r="409" spans="1:7" x14ac:dyDescent="0.35">
      <c r="A409" s="1" t="str">
        <f t="shared" si="6"/>
        <v>13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2593</v>
      </c>
    </row>
    <row r="410" spans="1:7" x14ac:dyDescent="0.35">
      <c r="A410" s="1" t="str">
        <f t="shared" si="6"/>
        <v>13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2594</v>
      </c>
      <c r="D410" s="1" t="s">
        <v>2595</v>
      </c>
      <c r="E410" s="1" t="s">
        <v>2596</v>
      </c>
      <c r="F410" s="1" t="s">
        <v>111</v>
      </c>
      <c r="G410" s="1">
        <v>2350975</v>
      </c>
    </row>
    <row r="411" spans="1:7" x14ac:dyDescent="0.35">
      <c r="A411" s="1" t="str">
        <f t="shared" si="6"/>
        <v>13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2597</v>
      </c>
      <c r="D411" s="1" t="s">
        <v>2598</v>
      </c>
      <c r="E411" s="1" t="s">
        <v>2599</v>
      </c>
      <c r="F411" s="1" t="s">
        <v>111</v>
      </c>
      <c r="G411" s="1">
        <v>2440566</v>
      </c>
    </row>
    <row r="412" spans="1:7" x14ac:dyDescent="0.35">
      <c r="A412" s="1" t="str">
        <f t="shared" si="6"/>
        <v>13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2600</v>
      </c>
      <c r="D412" s="1" t="s">
        <v>2601</v>
      </c>
      <c r="E412" s="1" t="s">
        <v>2602</v>
      </c>
      <c r="F412" s="1" t="s">
        <v>111</v>
      </c>
      <c r="G412" s="1">
        <v>2575234</v>
      </c>
    </row>
    <row r="413" spans="1:7" x14ac:dyDescent="0.35">
      <c r="A413" s="1" t="str">
        <f t="shared" si="6"/>
        <v>13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2603</v>
      </c>
      <c r="D413" s="1" t="s">
        <v>2604</v>
      </c>
      <c r="E413" s="1" t="s">
        <v>2605</v>
      </c>
      <c r="F413" s="1" t="s">
        <v>111</v>
      </c>
      <c r="G413" s="1">
        <v>4705800</v>
      </c>
    </row>
    <row r="414" spans="1:7" x14ac:dyDescent="0.35">
      <c r="A414" s="1" t="str">
        <f t="shared" si="6"/>
        <v>13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2606</v>
      </c>
    </row>
    <row r="415" spans="1:7" x14ac:dyDescent="0.35">
      <c r="A415" s="1" t="str">
        <f t="shared" si="6"/>
        <v>13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2607</v>
      </c>
      <c r="D415" s="1" t="s">
        <v>2608</v>
      </c>
      <c r="E415" s="1" t="s">
        <v>2609</v>
      </c>
      <c r="F415" s="1" t="s">
        <v>111</v>
      </c>
      <c r="G415" s="1">
        <v>4286029</v>
      </c>
    </row>
    <row r="416" spans="1:7" x14ac:dyDescent="0.35">
      <c r="A416" s="1" t="str">
        <f t="shared" si="6"/>
        <v>13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2610</v>
      </c>
      <c r="D416" s="1" t="s">
        <v>2611</v>
      </c>
      <c r="E416" s="1" t="s">
        <v>2612</v>
      </c>
      <c r="F416" s="1" t="s">
        <v>111</v>
      </c>
      <c r="G416" s="1">
        <v>3062620</v>
      </c>
    </row>
    <row r="417" spans="1:9" x14ac:dyDescent="0.35">
      <c r="A417" s="1" t="str">
        <f t="shared" si="6"/>
        <v>13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2613</v>
      </c>
      <c r="D417" s="1" t="s">
        <v>2614</v>
      </c>
      <c r="E417" s="1" t="s">
        <v>2615</v>
      </c>
      <c r="F417" s="1" t="s">
        <v>111</v>
      </c>
      <c r="G417" s="1">
        <v>2987543</v>
      </c>
    </row>
    <row r="418" spans="1:9" x14ac:dyDescent="0.35">
      <c r="A418" s="1" t="str">
        <f t="shared" si="6"/>
        <v>13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2616</v>
      </c>
      <c r="D418" s="1" t="s">
        <v>1423</v>
      </c>
      <c r="E418" s="1" t="s">
        <v>2617</v>
      </c>
      <c r="F418" s="1" t="s">
        <v>111</v>
      </c>
      <c r="G418" s="1">
        <v>3004522</v>
      </c>
    </row>
    <row r="419" spans="1:9" x14ac:dyDescent="0.35">
      <c r="A419" s="1" t="str">
        <f t="shared" si="6"/>
        <v>13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2618</v>
      </c>
      <c r="D419" s="1" t="s">
        <v>1322</v>
      </c>
      <c r="E419" s="1" t="s">
        <v>2619</v>
      </c>
      <c r="F419" s="1" t="s">
        <v>111</v>
      </c>
      <c r="G419" s="1">
        <v>201656</v>
      </c>
    </row>
    <row r="420" spans="1:9" x14ac:dyDescent="0.35">
      <c r="A420" s="1" t="str">
        <f t="shared" si="6"/>
        <v>13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2620</v>
      </c>
      <c r="D420" s="1" t="s">
        <v>2621</v>
      </c>
      <c r="E420" s="1" t="s">
        <v>2622</v>
      </c>
      <c r="F420" s="1" t="s">
        <v>111</v>
      </c>
      <c r="G420" s="1">
        <v>492167</v>
      </c>
    </row>
    <row r="421" spans="1:9" x14ac:dyDescent="0.35">
      <c r="A421" s="1" t="str">
        <f t="shared" si="6"/>
        <v>13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2623</v>
      </c>
      <c r="D421" s="1" t="s">
        <v>1615</v>
      </c>
      <c r="E421" s="1" t="s">
        <v>2624</v>
      </c>
      <c r="F421" s="1" t="s">
        <v>111</v>
      </c>
      <c r="G421" s="1">
        <v>175981</v>
      </c>
    </row>
    <row r="422" spans="1:9" x14ac:dyDescent="0.3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111</v>
      </c>
    </row>
    <row r="423" spans="1:9" x14ac:dyDescent="0.3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234</v>
      </c>
      <c r="D423" s="1" t="s">
        <v>111</v>
      </c>
      <c r="E423" s="1" t="s">
        <v>235</v>
      </c>
      <c r="F423" s="1" t="s">
        <v>236</v>
      </c>
      <c r="G423" s="1" t="s">
        <v>237</v>
      </c>
      <c r="H423" s="1" t="s">
        <v>238</v>
      </c>
      <c r="I423" s="1" t="s">
        <v>239</v>
      </c>
    </row>
    <row r="424" spans="1:9" x14ac:dyDescent="0.35">
      <c r="A424" s="1" t="str">
        <f t="shared" si="6"/>
        <v>13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2625</v>
      </c>
      <c r="D424" s="1" t="s">
        <v>111</v>
      </c>
      <c r="E424" s="1" t="s">
        <v>2626</v>
      </c>
      <c r="F424" s="1" t="s">
        <v>2627</v>
      </c>
      <c r="G424" s="1" t="s">
        <v>2628</v>
      </c>
      <c r="H424" s="1" t="s">
        <v>2629</v>
      </c>
      <c r="I424" s="1">
        <v>24</v>
      </c>
    </row>
    <row r="425" spans="1:9" x14ac:dyDescent="0.3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111</v>
      </c>
    </row>
    <row r="426" spans="1:9" x14ac:dyDescent="0.3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111</v>
      </c>
    </row>
    <row r="427" spans="1:9" x14ac:dyDescent="0.3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111</v>
      </c>
    </row>
    <row r="428" spans="1:9" x14ac:dyDescent="0.3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111</v>
      </c>
    </row>
    <row r="429" spans="1:9" x14ac:dyDescent="0.3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111</v>
      </c>
    </row>
    <row r="430" spans="1:9" x14ac:dyDescent="0.3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245</v>
      </c>
      <c r="D430" s="1" t="s">
        <v>109</v>
      </c>
      <c r="E430" s="1" t="s">
        <v>110</v>
      </c>
      <c r="F430" s="1" t="s">
        <v>111</v>
      </c>
      <c r="G430" s="1" t="s">
        <v>112</v>
      </c>
    </row>
    <row r="431" spans="1:9" x14ac:dyDescent="0.35">
      <c r="A431" s="1" t="str">
        <f t="shared" si="6"/>
        <v>14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2630</v>
      </c>
      <c r="D431" s="1" t="s">
        <v>2631</v>
      </c>
      <c r="E431" s="1" t="s">
        <v>2632</v>
      </c>
      <c r="F431" s="1" t="s">
        <v>111</v>
      </c>
      <c r="G431" s="1">
        <v>4450459</v>
      </c>
    </row>
    <row r="432" spans="1:9" x14ac:dyDescent="0.35">
      <c r="A432" s="1" t="str">
        <f t="shared" si="6"/>
        <v>14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2633</v>
      </c>
      <c r="D432" s="1" t="s">
        <v>2634</v>
      </c>
      <c r="E432" s="1" t="s">
        <v>2635</v>
      </c>
      <c r="F432" s="1" t="s">
        <v>111</v>
      </c>
      <c r="G432" s="1">
        <v>4479551</v>
      </c>
    </row>
    <row r="433" spans="1:7" x14ac:dyDescent="0.35">
      <c r="A433" s="1" t="str">
        <f t="shared" si="6"/>
        <v>14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2636</v>
      </c>
      <c r="D433" s="1" t="s">
        <v>2637</v>
      </c>
      <c r="E433" s="1" t="s">
        <v>2638</v>
      </c>
      <c r="F433" s="1" t="s">
        <v>111</v>
      </c>
      <c r="G433" s="1">
        <v>4323145</v>
      </c>
    </row>
    <row r="434" spans="1:7" x14ac:dyDescent="0.35">
      <c r="A434" s="1" t="str">
        <f t="shared" si="6"/>
        <v>14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2639</v>
      </c>
      <c r="D434" s="1" t="s">
        <v>2640</v>
      </c>
      <c r="E434" s="1" t="s">
        <v>2641</v>
      </c>
      <c r="F434" s="1" t="s">
        <v>111</v>
      </c>
      <c r="G434" s="1">
        <v>4917319</v>
      </c>
    </row>
    <row r="435" spans="1:7" x14ac:dyDescent="0.35">
      <c r="A435" s="1" t="str">
        <f t="shared" si="6"/>
        <v>14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2642</v>
      </c>
      <c r="D435" s="1" t="s">
        <v>2643</v>
      </c>
      <c r="E435" s="1" t="s">
        <v>2644</v>
      </c>
      <c r="F435" s="1" t="s">
        <v>111</v>
      </c>
      <c r="G435" s="1">
        <v>4458613</v>
      </c>
    </row>
    <row r="436" spans="1:7" x14ac:dyDescent="0.35">
      <c r="A436" s="1" t="str">
        <f t="shared" si="6"/>
        <v>14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2645</v>
      </c>
      <c r="D436" s="1" t="s">
        <v>2646</v>
      </c>
      <c r="E436" s="1" t="s">
        <v>2647</v>
      </c>
      <c r="F436" s="1" t="s">
        <v>111</v>
      </c>
      <c r="G436" s="1">
        <v>4267838</v>
      </c>
    </row>
    <row r="437" spans="1:7" x14ac:dyDescent="0.35">
      <c r="A437" s="1" t="str">
        <f t="shared" si="6"/>
        <v>14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2648</v>
      </c>
    </row>
    <row r="438" spans="1:7" x14ac:dyDescent="0.35">
      <c r="A438" s="1" t="str">
        <f t="shared" si="6"/>
        <v>14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2649</v>
      </c>
      <c r="D438" s="1" t="s">
        <v>2650</v>
      </c>
      <c r="E438" s="1" t="s">
        <v>2651</v>
      </c>
      <c r="F438" s="1" t="s">
        <v>111</v>
      </c>
      <c r="G438" s="1">
        <v>5132060</v>
      </c>
    </row>
    <row r="439" spans="1:7" x14ac:dyDescent="0.35">
      <c r="A439" s="1" t="str">
        <f t="shared" si="6"/>
        <v>14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2652</v>
      </c>
      <c r="D439" s="1" t="s">
        <v>2653</v>
      </c>
      <c r="E439" s="1" t="s">
        <v>2654</v>
      </c>
      <c r="F439" s="1" t="s">
        <v>111</v>
      </c>
      <c r="G439" s="1">
        <v>4606865</v>
      </c>
    </row>
    <row r="440" spans="1:7" x14ac:dyDescent="0.35">
      <c r="A440" s="1" t="str">
        <f t="shared" si="6"/>
        <v>14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2655</v>
      </c>
      <c r="D440" s="1" t="s">
        <v>2656</v>
      </c>
      <c r="E440" s="1" t="s">
        <v>2657</v>
      </c>
      <c r="F440" s="1" t="s">
        <v>111</v>
      </c>
      <c r="G440" s="1">
        <v>2767480</v>
      </c>
    </row>
    <row r="441" spans="1:7" x14ac:dyDescent="0.35">
      <c r="A441" s="1" t="str">
        <f t="shared" si="6"/>
        <v>14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2658</v>
      </c>
    </row>
    <row r="442" spans="1:7" x14ac:dyDescent="0.35">
      <c r="A442" s="1" t="str">
        <f t="shared" si="6"/>
        <v>14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2659</v>
      </c>
      <c r="D442" s="1" t="s">
        <v>2660</v>
      </c>
      <c r="E442" s="1" t="s">
        <v>2661</v>
      </c>
      <c r="F442" s="1" t="s">
        <v>111</v>
      </c>
      <c r="G442" s="1">
        <v>2621500</v>
      </c>
    </row>
    <row r="443" spans="1:7" x14ac:dyDescent="0.35">
      <c r="A443" s="1" t="str">
        <f t="shared" si="6"/>
        <v>14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2662</v>
      </c>
      <c r="D443" s="1" t="s">
        <v>1656</v>
      </c>
      <c r="E443" s="1" t="s">
        <v>2663</v>
      </c>
      <c r="F443" s="1" t="s">
        <v>111</v>
      </c>
      <c r="G443" s="1">
        <v>2109023</v>
      </c>
    </row>
    <row r="444" spans="1:7" x14ac:dyDescent="0.35">
      <c r="A444" s="1" t="str">
        <f t="shared" si="6"/>
        <v>14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2664</v>
      </c>
      <c r="D444" s="1" t="s">
        <v>2665</v>
      </c>
      <c r="E444" s="1" t="s">
        <v>2666</v>
      </c>
      <c r="F444" s="1" t="s">
        <v>111</v>
      </c>
      <c r="G444" s="1">
        <v>1490192</v>
      </c>
    </row>
    <row r="445" spans="1:7" x14ac:dyDescent="0.35">
      <c r="A445" s="1" t="str">
        <f t="shared" si="6"/>
        <v>14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2667</v>
      </c>
      <c r="D445" s="1" t="s">
        <v>2668</v>
      </c>
      <c r="E445" s="1" t="s">
        <v>2669</v>
      </c>
      <c r="F445" s="1" t="s">
        <v>111</v>
      </c>
      <c r="G445" s="1">
        <v>1767595</v>
      </c>
    </row>
    <row r="446" spans="1:7" x14ac:dyDescent="0.35">
      <c r="A446" s="1" t="str">
        <f t="shared" si="6"/>
        <v>14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2670</v>
      </c>
      <c r="D446" s="1" t="s">
        <v>2671</v>
      </c>
      <c r="E446" s="1" t="s">
        <v>2672</v>
      </c>
      <c r="F446" s="1" t="s">
        <v>111</v>
      </c>
      <c r="G446" s="1">
        <v>3292373</v>
      </c>
    </row>
    <row r="447" spans="1:7" x14ac:dyDescent="0.35">
      <c r="A447" s="1" t="str">
        <f t="shared" si="6"/>
        <v>14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2673</v>
      </c>
      <c r="D447" s="1" t="s">
        <v>2674</v>
      </c>
      <c r="E447" s="1" t="s">
        <v>2675</v>
      </c>
      <c r="F447" s="1" t="s">
        <v>111</v>
      </c>
      <c r="G447" s="1">
        <v>3278443</v>
      </c>
    </row>
    <row r="448" spans="1:7" x14ac:dyDescent="0.35">
      <c r="A448" s="1" t="str">
        <f t="shared" si="6"/>
        <v>14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2676</v>
      </c>
      <c r="D448" s="1" t="s">
        <v>2677</v>
      </c>
      <c r="E448" s="1" t="s">
        <v>2678</v>
      </c>
      <c r="F448" s="1" t="s">
        <v>111</v>
      </c>
      <c r="G448" s="1">
        <v>2993166</v>
      </c>
    </row>
    <row r="449" spans="1:9" x14ac:dyDescent="0.35">
      <c r="A449" s="1" t="str">
        <f t="shared" si="6"/>
        <v>14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2679</v>
      </c>
      <c r="D449" s="1" t="s">
        <v>2680</v>
      </c>
      <c r="E449" s="1" t="s">
        <v>2681</v>
      </c>
      <c r="F449" s="1" t="s">
        <v>111</v>
      </c>
      <c r="G449" s="1">
        <v>3608148</v>
      </c>
    </row>
    <row r="450" spans="1:9" x14ac:dyDescent="0.35">
      <c r="A450" s="1" t="str">
        <f t="shared" ref="A450:A513" si="7">IFERROR(LEFT(RIGHT(C450,LEN(C450)-SEARCH("@",C450)),SEARCH("/",RIGHT(C450,LEN(C450)-SEARCH("@",C450)-1))),"")</f>
        <v>14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2682</v>
      </c>
      <c r="D450" s="1" t="s">
        <v>2683</v>
      </c>
      <c r="E450" s="1" t="s">
        <v>2684</v>
      </c>
      <c r="F450" s="1" t="s">
        <v>111</v>
      </c>
      <c r="G450" s="1">
        <v>3364162</v>
      </c>
    </row>
    <row r="451" spans="1:9" x14ac:dyDescent="0.35">
      <c r="A451" s="1" t="str">
        <f t="shared" si="7"/>
        <v>14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2685</v>
      </c>
      <c r="D451" s="1" t="s">
        <v>2686</v>
      </c>
      <c r="E451" s="1" t="s">
        <v>2687</v>
      </c>
      <c r="F451" s="1" t="s">
        <v>111</v>
      </c>
      <c r="G451" s="1">
        <v>3555392</v>
      </c>
    </row>
    <row r="452" spans="1:9" x14ac:dyDescent="0.35">
      <c r="A452" s="1" t="str">
        <f t="shared" si="7"/>
        <v>14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2688</v>
      </c>
      <c r="D452" s="1" t="s">
        <v>2689</v>
      </c>
      <c r="E452" s="1" t="s">
        <v>2690</v>
      </c>
      <c r="F452" s="1" t="s">
        <v>111</v>
      </c>
      <c r="G452" s="1">
        <v>3236806</v>
      </c>
    </row>
    <row r="453" spans="1:9" x14ac:dyDescent="0.35">
      <c r="A453" s="1" t="str">
        <f t="shared" si="7"/>
        <v>14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2691</v>
      </c>
      <c r="D453" s="1" t="s">
        <v>2692</v>
      </c>
      <c r="E453" s="1" t="s">
        <v>2693</v>
      </c>
      <c r="F453" s="1" t="s">
        <v>111</v>
      </c>
      <c r="G453" s="1">
        <v>2987672</v>
      </c>
    </row>
    <row r="454" spans="1:9" x14ac:dyDescent="0.35">
      <c r="A454" s="1" t="str">
        <f t="shared" si="7"/>
        <v>14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2694</v>
      </c>
      <c r="D454" s="1" t="s">
        <v>2695</v>
      </c>
      <c r="E454" s="1" t="s">
        <v>2696</v>
      </c>
      <c r="F454" s="1" t="s">
        <v>111</v>
      </c>
      <c r="G454" s="1">
        <v>3374350</v>
      </c>
    </row>
    <row r="455" spans="1:9" x14ac:dyDescent="0.3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111</v>
      </c>
    </row>
    <row r="456" spans="1:9" x14ac:dyDescent="0.3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234</v>
      </c>
      <c r="D456" s="1" t="s">
        <v>111</v>
      </c>
      <c r="E456" s="1" t="s">
        <v>235</v>
      </c>
      <c r="F456" s="1" t="s">
        <v>236</v>
      </c>
      <c r="G456" s="1" t="s">
        <v>237</v>
      </c>
      <c r="H456" s="1" t="s">
        <v>238</v>
      </c>
      <c r="I456" s="1" t="s">
        <v>239</v>
      </c>
    </row>
    <row r="457" spans="1:9" x14ac:dyDescent="0.35">
      <c r="A457" s="1" t="str">
        <f t="shared" si="7"/>
        <v>14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2697</v>
      </c>
      <c r="D457" s="1" t="s">
        <v>111</v>
      </c>
      <c r="E457" s="1" t="s">
        <v>2698</v>
      </c>
      <c r="F457" s="1" t="s">
        <v>2699</v>
      </c>
      <c r="G457" s="1" t="s">
        <v>2700</v>
      </c>
      <c r="H457" s="1" t="s">
        <v>2701</v>
      </c>
      <c r="I457" s="1">
        <v>24</v>
      </c>
    </row>
    <row r="458" spans="1:9" x14ac:dyDescent="0.3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111</v>
      </c>
    </row>
    <row r="459" spans="1:9" x14ac:dyDescent="0.3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111</v>
      </c>
    </row>
    <row r="460" spans="1:9" x14ac:dyDescent="0.3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111</v>
      </c>
    </row>
    <row r="461" spans="1:9" x14ac:dyDescent="0.3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111</v>
      </c>
    </row>
    <row r="462" spans="1:9" x14ac:dyDescent="0.3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111</v>
      </c>
    </row>
    <row r="463" spans="1:9" x14ac:dyDescent="0.3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245</v>
      </c>
      <c r="D463" s="1" t="s">
        <v>109</v>
      </c>
      <c r="E463" s="1" t="s">
        <v>110</v>
      </c>
      <c r="F463" s="1" t="s">
        <v>111</v>
      </c>
      <c r="G463" s="1" t="s">
        <v>112</v>
      </c>
    </row>
    <row r="464" spans="1:9" x14ac:dyDescent="0.35">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2702</v>
      </c>
      <c r="D464" s="1" t="s">
        <v>2703</v>
      </c>
      <c r="E464" s="1" t="s">
        <v>2704</v>
      </c>
      <c r="F464" s="1" t="s">
        <v>111</v>
      </c>
      <c r="G464" s="1">
        <v>5056615</v>
      </c>
    </row>
    <row r="465" spans="1:7" x14ac:dyDescent="0.35">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2705</v>
      </c>
      <c r="D465" s="1" t="s">
        <v>1635</v>
      </c>
      <c r="E465" s="1" t="s">
        <v>2706</v>
      </c>
      <c r="F465" s="1" t="s">
        <v>111</v>
      </c>
      <c r="G465" s="1">
        <v>4717653</v>
      </c>
    </row>
    <row r="466" spans="1:7" x14ac:dyDescent="0.35">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2707</v>
      </c>
      <c r="D466" s="1" t="s">
        <v>2708</v>
      </c>
      <c r="E466" s="1" t="s">
        <v>2709</v>
      </c>
      <c r="F466" s="1" t="s">
        <v>111</v>
      </c>
      <c r="G466" s="1">
        <v>4533366</v>
      </c>
    </row>
    <row r="467" spans="1:7" x14ac:dyDescent="0.35">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2710</v>
      </c>
      <c r="D467" s="1" t="s">
        <v>2711</v>
      </c>
      <c r="E467" s="1" t="s">
        <v>2712</v>
      </c>
      <c r="F467" s="1" t="s">
        <v>111</v>
      </c>
      <c r="G467" s="1">
        <v>4062354</v>
      </c>
    </row>
    <row r="468" spans="1:7" x14ac:dyDescent="0.35">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2713</v>
      </c>
      <c r="D468" s="1" t="s">
        <v>2714</v>
      </c>
      <c r="E468" s="1" t="s">
        <v>2715</v>
      </c>
      <c r="F468" s="1" t="s">
        <v>111</v>
      </c>
      <c r="G468" s="1">
        <v>4082686</v>
      </c>
    </row>
    <row r="469" spans="1:7" x14ac:dyDescent="0.35">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2716</v>
      </c>
      <c r="D469" s="1" t="s">
        <v>2717</v>
      </c>
      <c r="E469" s="1" t="s">
        <v>2718</v>
      </c>
      <c r="F469" s="1" t="s">
        <v>111</v>
      </c>
      <c r="G469" s="1">
        <v>4262582</v>
      </c>
    </row>
    <row r="470" spans="1:7" x14ac:dyDescent="0.35">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2719</v>
      </c>
      <c r="D470" s="1" t="s">
        <v>2720</v>
      </c>
      <c r="E470" s="1" t="s">
        <v>2721</v>
      </c>
      <c r="F470" s="1" t="s">
        <v>111</v>
      </c>
      <c r="G470" s="1">
        <v>4135420</v>
      </c>
    </row>
    <row r="471" spans="1:7" x14ac:dyDescent="0.35">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2722</v>
      </c>
      <c r="D471" s="1" t="s">
        <v>2723</v>
      </c>
      <c r="E471" s="1" t="s">
        <v>2724</v>
      </c>
      <c r="F471" s="1" t="s">
        <v>111</v>
      </c>
      <c r="G471" s="1">
        <v>3727610</v>
      </c>
    </row>
    <row r="472" spans="1:7" x14ac:dyDescent="0.35">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2725</v>
      </c>
      <c r="D472" s="1" t="s">
        <v>2726</v>
      </c>
      <c r="E472" s="1" t="s">
        <v>2727</v>
      </c>
      <c r="F472" s="1" t="s">
        <v>111</v>
      </c>
      <c r="G472" s="1">
        <v>3740847</v>
      </c>
    </row>
    <row r="473" spans="1:7" x14ac:dyDescent="0.35">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2728</v>
      </c>
      <c r="D473" s="1" t="s">
        <v>1659</v>
      </c>
      <c r="E473" s="1" t="s">
        <v>2729</v>
      </c>
      <c r="F473" s="1" t="s">
        <v>111</v>
      </c>
      <c r="G473" s="1">
        <v>3632762</v>
      </c>
    </row>
    <row r="474" spans="1:7" x14ac:dyDescent="0.35">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2730</v>
      </c>
      <c r="D474" s="1" t="s">
        <v>2731</v>
      </c>
      <c r="E474" s="1" t="s">
        <v>2732</v>
      </c>
      <c r="F474" s="1" t="s">
        <v>111</v>
      </c>
      <c r="G474" s="1">
        <v>3685648</v>
      </c>
    </row>
    <row r="475" spans="1:7" x14ac:dyDescent="0.35">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2733</v>
      </c>
      <c r="D475" s="1" t="s">
        <v>2734</v>
      </c>
      <c r="E475" s="1" t="s">
        <v>2735</v>
      </c>
      <c r="F475" s="1" t="s">
        <v>111</v>
      </c>
      <c r="G475" s="1">
        <v>3754993</v>
      </c>
    </row>
    <row r="476" spans="1:7" x14ac:dyDescent="0.35">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2736</v>
      </c>
      <c r="D476" s="1" t="s">
        <v>1657</v>
      </c>
      <c r="E476" s="1" t="s">
        <v>2737</v>
      </c>
      <c r="F476" s="1" t="s">
        <v>111</v>
      </c>
      <c r="G476" s="1">
        <v>3603973</v>
      </c>
    </row>
    <row r="477" spans="1:7" x14ac:dyDescent="0.35">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2738</v>
      </c>
      <c r="D477" s="1" t="s">
        <v>2739</v>
      </c>
      <c r="E477" s="1" t="s">
        <v>2740</v>
      </c>
      <c r="F477" s="1" t="s">
        <v>111</v>
      </c>
      <c r="G477" s="1">
        <v>3344825</v>
      </c>
    </row>
    <row r="478" spans="1:7" x14ac:dyDescent="0.35">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2741</v>
      </c>
      <c r="D478" s="1" t="s">
        <v>1701</v>
      </c>
      <c r="E478" s="1" t="s">
        <v>2742</v>
      </c>
      <c r="F478" s="1" t="s">
        <v>111</v>
      </c>
      <c r="G478" s="1">
        <v>3150459</v>
      </c>
    </row>
    <row r="479" spans="1:7" x14ac:dyDescent="0.35">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2743</v>
      </c>
      <c r="D479" s="1" t="s">
        <v>2744</v>
      </c>
      <c r="E479" s="1" t="s">
        <v>2745</v>
      </c>
      <c r="F479" s="1" t="s">
        <v>111</v>
      </c>
      <c r="G479" s="1">
        <v>7616903</v>
      </c>
    </row>
    <row r="480" spans="1:7" x14ac:dyDescent="0.35">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2746</v>
      </c>
      <c r="D480" s="1" t="s">
        <v>2747</v>
      </c>
      <c r="E480" s="1" t="s">
        <v>2748</v>
      </c>
      <c r="F480" s="1" t="s">
        <v>111</v>
      </c>
      <c r="G480" s="1">
        <v>7433632</v>
      </c>
    </row>
    <row r="481" spans="1:9" x14ac:dyDescent="0.35">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2749</v>
      </c>
      <c r="D481" s="1" t="s">
        <v>2750</v>
      </c>
      <c r="E481" s="1" t="s">
        <v>2751</v>
      </c>
      <c r="F481" s="1" t="s">
        <v>111</v>
      </c>
      <c r="G481" s="1">
        <v>7241754</v>
      </c>
    </row>
    <row r="482" spans="1:9" x14ac:dyDescent="0.35">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2752</v>
      </c>
      <c r="D482" s="1" t="s">
        <v>2753</v>
      </c>
      <c r="E482" s="1" t="s">
        <v>2754</v>
      </c>
      <c r="F482" s="1" t="s">
        <v>111</v>
      </c>
      <c r="G482" s="1">
        <v>4534578</v>
      </c>
    </row>
    <row r="483" spans="1:9" x14ac:dyDescent="0.35">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2755</v>
      </c>
      <c r="D483" s="1" t="s">
        <v>2756</v>
      </c>
      <c r="E483" s="1" t="s">
        <v>2757</v>
      </c>
      <c r="F483" s="1" t="s">
        <v>111</v>
      </c>
      <c r="G483" s="1">
        <v>4742938</v>
      </c>
    </row>
    <row r="484" spans="1:9" x14ac:dyDescent="0.35">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2758</v>
      </c>
      <c r="D484" s="1" t="s">
        <v>2759</v>
      </c>
      <c r="E484" s="1" t="s">
        <v>2760</v>
      </c>
      <c r="F484" s="1" t="s">
        <v>111</v>
      </c>
      <c r="G484" s="1">
        <v>3967420</v>
      </c>
    </row>
    <row r="485" spans="1:9" x14ac:dyDescent="0.35">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2761</v>
      </c>
      <c r="D485" s="1" t="s">
        <v>1063</v>
      </c>
      <c r="E485" s="1" t="s">
        <v>2762</v>
      </c>
      <c r="F485" s="1" t="s">
        <v>111</v>
      </c>
      <c r="G485" s="1">
        <v>1883142</v>
      </c>
    </row>
    <row r="486" spans="1:9" x14ac:dyDescent="0.35">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2763</v>
      </c>
      <c r="D486" s="1" t="s">
        <v>2764</v>
      </c>
      <c r="E486" s="1" t="s">
        <v>2765</v>
      </c>
      <c r="F486" s="1" t="s">
        <v>111</v>
      </c>
      <c r="G486" s="1">
        <v>1174222</v>
      </c>
    </row>
    <row r="487" spans="1:9" x14ac:dyDescent="0.35">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2766</v>
      </c>
      <c r="D487" s="1" t="s">
        <v>2767</v>
      </c>
      <c r="E487" s="1" t="s">
        <v>2768</v>
      </c>
      <c r="F487" s="1" t="s">
        <v>111</v>
      </c>
      <c r="G487" s="1">
        <v>1484719</v>
      </c>
    </row>
    <row r="488" spans="1:9" x14ac:dyDescent="0.3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111</v>
      </c>
    </row>
    <row r="489" spans="1:9" x14ac:dyDescent="0.3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234</v>
      </c>
      <c r="D489" s="1" t="s">
        <v>111</v>
      </c>
      <c r="E489" s="1" t="s">
        <v>235</v>
      </c>
      <c r="F489" s="1" t="s">
        <v>236</v>
      </c>
      <c r="G489" s="1" t="s">
        <v>237</v>
      </c>
      <c r="H489" s="1" t="s">
        <v>238</v>
      </c>
      <c r="I489" s="1" t="s">
        <v>239</v>
      </c>
    </row>
    <row r="490" spans="1:9" x14ac:dyDescent="0.35">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2769</v>
      </c>
      <c r="D490" s="1" t="s">
        <v>111</v>
      </c>
      <c r="E490" s="1" t="s">
        <v>2770</v>
      </c>
      <c r="F490" s="1" t="s">
        <v>2771</v>
      </c>
      <c r="G490" s="1" t="s">
        <v>2772</v>
      </c>
      <c r="H490" s="1" t="s">
        <v>2773</v>
      </c>
      <c r="I490" s="1">
        <v>24</v>
      </c>
    </row>
    <row r="491" spans="1:9" x14ac:dyDescent="0.3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111</v>
      </c>
    </row>
    <row r="492" spans="1:9" x14ac:dyDescent="0.3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111</v>
      </c>
    </row>
    <row r="493" spans="1:9" x14ac:dyDescent="0.3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111</v>
      </c>
    </row>
    <row r="494" spans="1:9" x14ac:dyDescent="0.3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111</v>
      </c>
    </row>
    <row r="495" spans="1:9" x14ac:dyDescent="0.3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111</v>
      </c>
    </row>
    <row r="496" spans="1:9" x14ac:dyDescent="0.3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245</v>
      </c>
      <c r="D496" s="1" t="s">
        <v>109</v>
      </c>
      <c r="E496" s="1" t="s">
        <v>110</v>
      </c>
      <c r="F496" s="1" t="s">
        <v>111</v>
      </c>
      <c r="G496" s="1" t="s">
        <v>112</v>
      </c>
    </row>
    <row r="497" spans="1:7" x14ac:dyDescent="0.35">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2774</v>
      </c>
      <c r="D497" s="1" t="s">
        <v>2775</v>
      </c>
      <c r="E497" s="1" t="s">
        <v>2776</v>
      </c>
      <c r="F497" s="1" t="s">
        <v>111</v>
      </c>
      <c r="G497" s="1">
        <v>280518</v>
      </c>
    </row>
    <row r="498" spans="1:7" x14ac:dyDescent="0.35">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2777</v>
      </c>
      <c r="D498" s="1" t="s">
        <v>2778</v>
      </c>
      <c r="E498" s="1" t="s">
        <v>2779</v>
      </c>
      <c r="F498" s="1" t="s">
        <v>111</v>
      </c>
      <c r="G498" s="1">
        <v>210178</v>
      </c>
    </row>
    <row r="499" spans="1:7" x14ac:dyDescent="0.35">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2780</v>
      </c>
      <c r="D499" s="1" t="s">
        <v>305</v>
      </c>
      <c r="E499" s="1" t="s">
        <v>2781</v>
      </c>
      <c r="F499" s="1" t="s">
        <v>111</v>
      </c>
      <c r="G499" s="1">
        <v>630295</v>
      </c>
    </row>
    <row r="500" spans="1:7" x14ac:dyDescent="0.35">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2782</v>
      </c>
      <c r="D500" s="1" t="s">
        <v>1663</v>
      </c>
      <c r="E500" s="1" t="s">
        <v>2783</v>
      </c>
      <c r="F500" s="1" t="s">
        <v>111</v>
      </c>
      <c r="G500" s="1">
        <v>282400</v>
      </c>
    </row>
    <row r="501" spans="1:7" x14ac:dyDescent="0.35">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2784</v>
      </c>
      <c r="D501" s="1" t="s">
        <v>1616</v>
      </c>
      <c r="E501" s="1">
        <v>66</v>
      </c>
      <c r="F501" s="1" t="s">
        <v>111</v>
      </c>
      <c r="G501" s="1">
        <v>172736</v>
      </c>
    </row>
    <row r="502" spans="1:7" x14ac:dyDescent="0.35">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2785</v>
      </c>
      <c r="D502" s="1" t="s">
        <v>807</v>
      </c>
      <c r="E502" s="1" t="s">
        <v>2786</v>
      </c>
      <c r="F502" s="1" t="s">
        <v>111</v>
      </c>
      <c r="G502" s="1">
        <v>114206</v>
      </c>
    </row>
    <row r="503" spans="1:7" x14ac:dyDescent="0.35">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2787</v>
      </c>
      <c r="D503" s="1" t="s">
        <v>1654</v>
      </c>
      <c r="E503" s="1" t="s">
        <v>732</v>
      </c>
      <c r="F503" s="1" t="s">
        <v>111</v>
      </c>
      <c r="G503" s="1">
        <v>143125</v>
      </c>
    </row>
    <row r="504" spans="1:7" x14ac:dyDescent="0.35">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2788</v>
      </c>
      <c r="D504" s="1" t="s">
        <v>2459</v>
      </c>
      <c r="E504" s="1" t="s">
        <v>2789</v>
      </c>
      <c r="F504" s="1" t="s">
        <v>111</v>
      </c>
      <c r="G504" s="1">
        <v>102764</v>
      </c>
    </row>
    <row r="505" spans="1:7" x14ac:dyDescent="0.35">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2790</v>
      </c>
      <c r="D505" s="1" t="s">
        <v>1648</v>
      </c>
      <c r="E505" s="1" t="s">
        <v>2791</v>
      </c>
      <c r="F505" s="1" t="s">
        <v>111</v>
      </c>
      <c r="G505" s="1">
        <v>287180</v>
      </c>
    </row>
    <row r="506" spans="1:7" x14ac:dyDescent="0.35">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2792</v>
      </c>
      <c r="D506" s="1" t="s">
        <v>173</v>
      </c>
      <c r="E506" s="1" t="s">
        <v>2793</v>
      </c>
      <c r="F506" s="1" t="s">
        <v>111</v>
      </c>
      <c r="G506" s="1">
        <v>37874</v>
      </c>
    </row>
    <row r="507" spans="1:7" x14ac:dyDescent="0.35">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2794</v>
      </c>
      <c r="D507" s="1" t="s">
        <v>2795</v>
      </c>
      <c r="E507" s="1" t="s">
        <v>2796</v>
      </c>
      <c r="F507" s="1" t="s">
        <v>111</v>
      </c>
      <c r="G507" s="1">
        <v>284433</v>
      </c>
    </row>
    <row r="508" spans="1:7" x14ac:dyDescent="0.35">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2797</v>
      </c>
      <c r="D508" s="1" t="s">
        <v>1637</v>
      </c>
      <c r="E508" s="1" t="s">
        <v>2798</v>
      </c>
      <c r="F508" s="1" t="s">
        <v>111</v>
      </c>
      <c r="G508" s="1">
        <v>156536</v>
      </c>
    </row>
    <row r="509" spans="1:7" x14ac:dyDescent="0.35">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2799</v>
      </c>
      <c r="D509" s="1" t="s">
        <v>827</v>
      </c>
      <c r="E509" s="1" t="s">
        <v>2800</v>
      </c>
      <c r="F509" s="1" t="s">
        <v>111</v>
      </c>
      <c r="G509" s="1">
        <v>441207</v>
      </c>
    </row>
    <row r="510" spans="1:7" x14ac:dyDescent="0.35">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2801</v>
      </c>
      <c r="D510" s="1" t="s">
        <v>1629</v>
      </c>
      <c r="E510" s="1" t="s">
        <v>2802</v>
      </c>
      <c r="F510" s="1" t="s">
        <v>111</v>
      </c>
      <c r="G510" s="1">
        <v>138323</v>
      </c>
    </row>
    <row r="511" spans="1:7" x14ac:dyDescent="0.35">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2803</v>
      </c>
      <c r="D511" s="1" t="s">
        <v>1621</v>
      </c>
      <c r="E511" s="1" t="s">
        <v>2804</v>
      </c>
      <c r="F511" s="1" t="s">
        <v>111</v>
      </c>
      <c r="G511" s="1">
        <v>325141</v>
      </c>
    </row>
    <row r="512" spans="1:7" x14ac:dyDescent="0.35">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2805</v>
      </c>
      <c r="D512" s="1" t="s">
        <v>173</v>
      </c>
      <c r="E512" s="1" t="s">
        <v>2806</v>
      </c>
      <c r="F512" s="1" t="s">
        <v>111</v>
      </c>
      <c r="G512" s="1">
        <v>39302</v>
      </c>
    </row>
    <row r="513" spans="1:9" x14ac:dyDescent="0.35">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2807</v>
      </c>
      <c r="D513" s="1" t="s">
        <v>173</v>
      </c>
      <c r="E513" s="1" t="s">
        <v>1614</v>
      </c>
      <c r="F513" s="1" t="s">
        <v>111</v>
      </c>
      <c r="G513" s="1">
        <v>39107</v>
      </c>
    </row>
    <row r="514" spans="1:9" x14ac:dyDescent="0.35">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2808</v>
      </c>
      <c r="D514" s="1" t="s">
        <v>721</v>
      </c>
      <c r="E514" s="1" t="s">
        <v>418</v>
      </c>
      <c r="F514" s="1" t="s">
        <v>111</v>
      </c>
      <c r="G514" s="1">
        <v>15184</v>
      </c>
    </row>
    <row r="515" spans="1:9" x14ac:dyDescent="0.35">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2809</v>
      </c>
      <c r="D515" s="1" t="s">
        <v>437</v>
      </c>
      <c r="E515" s="1" t="s">
        <v>2810</v>
      </c>
      <c r="F515" s="1" t="s">
        <v>111</v>
      </c>
      <c r="G515" s="1">
        <v>329467</v>
      </c>
    </row>
    <row r="516" spans="1:9" x14ac:dyDescent="0.35">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2811</v>
      </c>
      <c r="D516" s="1" t="s">
        <v>2795</v>
      </c>
      <c r="E516" s="1" t="s">
        <v>2812</v>
      </c>
      <c r="F516" s="1" t="s">
        <v>111</v>
      </c>
      <c r="G516" s="1">
        <v>290230</v>
      </c>
    </row>
    <row r="517" spans="1:9" x14ac:dyDescent="0.35">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2813</v>
      </c>
      <c r="D517" s="1" t="s">
        <v>477</v>
      </c>
      <c r="E517" s="1" t="s">
        <v>2814</v>
      </c>
      <c r="F517" s="1" t="s">
        <v>111</v>
      </c>
      <c r="G517" s="1">
        <v>110810</v>
      </c>
    </row>
    <row r="518" spans="1:9" x14ac:dyDescent="0.35">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2815</v>
      </c>
      <c r="D518" s="1" t="s">
        <v>480</v>
      </c>
      <c r="E518" s="1" t="s">
        <v>2816</v>
      </c>
      <c r="F518" s="1" t="s">
        <v>111</v>
      </c>
      <c r="G518" s="1">
        <v>86995</v>
      </c>
    </row>
    <row r="519" spans="1:9" x14ac:dyDescent="0.35">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2817</v>
      </c>
      <c r="D519" s="1" t="s">
        <v>2818</v>
      </c>
      <c r="E519" s="1" t="s">
        <v>2819</v>
      </c>
      <c r="F519" s="1" t="s">
        <v>111</v>
      </c>
      <c r="G519" s="1">
        <v>473435</v>
      </c>
    </row>
    <row r="520" spans="1:9" x14ac:dyDescent="0.35">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2820</v>
      </c>
      <c r="D520" s="1" t="s">
        <v>2821</v>
      </c>
      <c r="E520" s="1" t="s">
        <v>2822</v>
      </c>
      <c r="F520" s="1" t="s">
        <v>111</v>
      </c>
      <c r="G520" s="1">
        <v>213465</v>
      </c>
    </row>
    <row r="521" spans="1:9" x14ac:dyDescent="0.3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111</v>
      </c>
    </row>
    <row r="522" spans="1:9" x14ac:dyDescent="0.3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234</v>
      </c>
      <c r="D522" s="1" t="s">
        <v>111</v>
      </c>
      <c r="E522" s="1" t="s">
        <v>235</v>
      </c>
      <c r="F522" s="1" t="s">
        <v>236</v>
      </c>
      <c r="G522" s="1" t="s">
        <v>237</v>
      </c>
      <c r="H522" s="1" t="s">
        <v>238</v>
      </c>
      <c r="I522" s="1" t="s">
        <v>239</v>
      </c>
    </row>
    <row r="523" spans="1:9" x14ac:dyDescent="0.35">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2823</v>
      </c>
      <c r="D523" s="1" t="s">
        <v>111</v>
      </c>
      <c r="E523" s="1" t="s">
        <v>2824</v>
      </c>
      <c r="F523" s="1" t="s">
        <v>2825</v>
      </c>
      <c r="G523" s="1" t="s">
        <v>2826</v>
      </c>
      <c r="H523" s="1" t="s">
        <v>2827</v>
      </c>
      <c r="I523" s="1">
        <v>24</v>
      </c>
    </row>
    <row r="524" spans="1:9" x14ac:dyDescent="0.3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111</v>
      </c>
    </row>
    <row r="525" spans="1:9" x14ac:dyDescent="0.3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111</v>
      </c>
    </row>
    <row r="526" spans="1:9" x14ac:dyDescent="0.3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111</v>
      </c>
    </row>
    <row r="527" spans="1:9" x14ac:dyDescent="0.3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111</v>
      </c>
    </row>
    <row r="528" spans="1:9" x14ac:dyDescent="0.3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111</v>
      </c>
    </row>
    <row r="529" spans="1:7" x14ac:dyDescent="0.3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245</v>
      </c>
      <c r="D529" s="1" t="s">
        <v>109</v>
      </c>
      <c r="E529" s="1" t="s">
        <v>110</v>
      </c>
      <c r="F529" s="1" t="s">
        <v>111</v>
      </c>
      <c r="G529" s="1" t="s">
        <v>112</v>
      </c>
    </row>
    <row r="530" spans="1:7" x14ac:dyDescent="0.35">
      <c r="A530" s="1" t="str">
        <f t="shared" si="8"/>
        <v>17 Testo +  Saccharin 0,01</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2828</v>
      </c>
      <c r="D530" s="1" t="s">
        <v>743</v>
      </c>
      <c r="E530" s="1" t="s">
        <v>2829</v>
      </c>
      <c r="F530" s="1" t="s">
        <v>111</v>
      </c>
      <c r="G530" s="1">
        <v>175765</v>
      </c>
    </row>
    <row r="531" spans="1:7" x14ac:dyDescent="0.35">
      <c r="A531" s="1" t="str">
        <f t="shared" si="8"/>
        <v>17 Testo +  Saccharin 0,01</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2830</v>
      </c>
      <c r="D531" s="1" t="s">
        <v>2091</v>
      </c>
      <c r="E531" s="1" t="s">
        <v>2831</v>
      </c>
      <c r="F531" s="1" t="s">
        <v>111</v>
      </c>
      <c r="G531" s="1">
        <v>173861</v>
      </c>
    </row>
    <row r="532" spans="1:7" x14ac:dyDescent="0.35">
      <c r="A532" s="1" t="str">
        <f t="shared" si="8"/>
        <v>17 Testo +  Saccharin 0,01</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2832</v>
      </c>
      <c r="D532" s="1" t="s">
        <v>2833</v>
      </c>
      <c r="E532" s="1" t="s">
        <v>2834</v>
      </c>
      <c r="F532" s="1" t="s">
        <v>111</v>
      </c>
      <c r="G532" s="1">
        <v>165101</v>
      </c>
    </row>
    <row r="533" spans="1:7" x14ac:dyDescent="0.35">
      <c r="A533" s="1" t="str">
        <f t="shared" si="8"/>
        <v>17 Testo +  Saccharin 0,01</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2835</v>
      </c>
      <c r="D533" s="1" t="s">
        <v>1808</v>
      </c>
      <c r="E533" s="1" t="s">
        <v>2836</v>
      </c>
      <c r="F533" s="1" t="s">
        <v>111</v>
      </c>
      <c r="G533" s="1">
        <v>870603</v>
      </c>
    </row>
    <row r="534" spans="1:7" x14ac:dyDescent="0.35">
      <c r="A534" s="1" t="str">
        <f t="shared" si="8"/>
        <v>17 Testo +  Saccharin 0,01</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2837</v>
      </c>
      <c r="D534" s="1" t="s">
        <v>2838</v>
      </c>
      <c r="E534" s="1" t="s">
        <v>2839</v>
      </c>
      <c r="F534" s="1" t="s">
        <v>111</v>
      </c>
      <c r="G534" s="1">
        <v>584137</v>
      </c>
    </row>
    <row r="535" spans="1:7" x14ac:dyDescent="0.35">
      <c r="A535" s="1" t="str">
        <f t="shared" si="8"/>
        <v>17 Testo +  Saccharin 0,01</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2840</v>
      </c>
    </row>
    <row r="536" spans="1:7" x14ac:dyDescent="0.35">
      <c r="A536" s="1" t="str">
        <f t="shared" si="8"/>
        <v>17 Testo +  Saccharin 0,01</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2841</v>
      </c>
      <c r="D536" s="1" t="s">
        <v>2842</v>
      </c>
      <c r="E536" s="1" t="s">
        <v>2843</v>
      </c>
      <c r="F536" s="1" t="s">
        <v>111</v>
      </c>
      <c r="G536" s="1">
        <v>3823106</v>
      </c>
    </row>
    <row r="537" spans="1:7" x14ac:dyDescent="0.35">
      <c r="A537" s="1" t="str">
        <f t="shared" si="8"/>
        <v>17 Testo +  Saccharin 0,01</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2844</v>
      </c>
      <c r="D537" s="1" t="s">
        <v>2845</v>
      </c>
      <c r="E537" s="1" t="s">
        <v>2846</v>
      </c>
      <c r="F537" s="1" t="s">
        <v>111</v>
      </c>
      <c r="G537" s="1">
        <v>4020002</v>
      </c>
    </row>
    <row r="538" spans="1:7" x14ac:dyDescent="0.35">
      <c r="A538" s="1" t="str">
        <f t="shared" si="8"/>
        <v>17 Testo +  Saccharin 0,01</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2847</v>
      </c>
    </row>
    <row r="539" spans="1:7" x14ac:dyDescent="0.35">
      <c r="A539" s="1" t="str">
        <f t="shared" si="8"/>
        <v>17 Testo +  Saccharin 0,01</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2848</v>
      </c>
      <c r="D539" s="1" t="s">
        <v>2849</v>
      </c>
      <c r="E539" s="1" t="s">
        <v>2850</v>
      </c>
      <c r="F539" s="1" t="s">
        <v>111</v>
      </c>
      <c r="G539" s="1">
        <v>358926</v>
      </c>
    </row>
    <row r="540" spans="1:7" x14ac:dyDescent="0.35">
      <c r="A540" s="1" t="str">
        <f t="shared" si="8"/>
        <v>17 Testo +  Saccharin 0,01</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2851</v>
      </c>
      <c r="D540" s="1" t="s">
        <v>2852</v>
      </c>
      <c r="E540" s="1" t="s">
        <v>2853</v>
      </c>
      <c r="F540" s="1" t="s">
        <v>111</v>
      </c>
      <c r="G540" s="1">
        <v>209767</v>
      </c>
    </row>
    <row r="541" spans="1:7" x14ac:dyDescent="0.35">
      <c r="A541" s="1" t="str">
        <f t="shared" si="8"/>
        <v>17 Testo +  Saccharin 0,01</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2854</v>
      </c>
      <c r="D541" s="1" t="s">
        <v>1623</v>
      </c>
      <c r="E541" s="1" t="s">
        <v>2855</v>
      </c>
      <c r="F541" s="1" t="s">
        <v>111</v>
      </c>
      <c r="G541" s="1">
        <v>355487</v>
      </c>
    </row>
    <row r="542" spans="1:7" x14ac:dyDescent="0.35">
      <c r="A542" s="1" t="str">
        <f t="shared" si="8"/>
        <v>17 Testo +  Saccharin 0,01</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2856</v>
      </c>
      <c r="D542" s="1" t="s">
        <v>687</v>
      </c>
      <c r="E542" s="1">
        <v>63</v>
      </c>
      <c r="F542" s="1" t="s">
        <v>111</v>
      </c>
      <c r="G542" s="1">
        <v>8176</v>
      </c>
    </row>
    <row r="543" spans="1:7" x14ac:dyDescent="0.35">
      <c r="A543" s="1" t="str">
        <f t="shared" si="8"/>
        <v>17 Testo +  Saccharin 0,01</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2857</v>
      </c>
      <c r="D543" s="1" t="s">
        <v>708</v>
      </c>
      <c r="E543" s="1" t="s">
        <v>2858</v>
      </c>
      <c r="F543" s="1" t="s">
        <v>111</v>
      </c>
      <c r="G543" s="1">
        <v>9344</v>
      </c>
    </row>
    <row r="544" spans="1:7" x14ac:dyDescent="0.35">
      <c r="A544" s="1" t="str">
        <f t="shared" si="8"/>
        <v>17 Testo +  Saccharin 0,01</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2859</v>
      </c>
      <c r="D544" s="1" t="s">
        <v>708</v>
      </c>
      <c r="E544" s="1" t="s">
        <v>2860</v>
      </c>
      <c r="F544" s="1" t="s">
        <v>111</v>
      </c>
      <c r="G544" s="1">
        <v>9733</v>
      </c>
    </row>
    <row r="545" spans="1:9" x14ac:dyDescent="0.35">
      <c r="A545" s="1" t="str">
        <f t="shared" si="8"/>
        <v>17 Testo +  Saccharin 0,01</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2861</v>
      </c>
      <c r="D545" s="1" t="s">
        <v>2862</v>
      </c>
      <c r="E545" s="1" t="s">
        <v>2863</v>
      </c>
      <c r="F545" s="1" t="s">
        <v>111</v>
      </c>
      <c r="G545" s="1">
        <v>2936107</v>
      </c>
    </row>
    <row r="546" spans="1:9" x14ac:dyDescent="0.35">
      <c r="A546" s="1" t="str">
        <f t="shared" si="8"/>
        <v>17 Testo +  Saccharin 0,01</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2864</v>
      </c>
      <c r="D546" s="1" t="s">
        <v>2865</v>
      </c>
      <c r="E546" s="1" t="s">
        <v>2866</v>
      </c>
      <c r="F546" s="1" t="s">
        <v>111</v>
      </c>
      <c r="G546" s="1">
        <v>3089614</v>
      </c>
    </row>
    <row r="547" spans="1:9" x14ac:dyDescent="0.35">
      <c r="A547" s="1" t="str">
        <f t="shared" si="8"/>
        <v>17 Testo +  Saccharin 0,01</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2867</v>
      </c>
      <c r="D547" s="1" t="s">
        <v>2868</v>
      </c>
      <c r="E547" s="1" t="s">
        <v>2869</v>
      </c>
      <c r="F547" s="1" t="s">
        <v>111</v>
      </c>
      <c r="G547" s="1">
        <v>2925897</v>
      </c>
    </row>
    <row r="548" spans="1:9" x14ac:dyDescent="0.35">
      <c r="A548" s="1" t="str">
        <f t="shared" si="8"/>
        <v>17 Testo +  Saccharin 0,01</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2870</v>
      </c>
      <c r="D548" s="1" t="s">
        <v>2871</v>
      </c>
      <c r="E548" s="1" t="s">
        <v>2872</v>
      </c>
      <c r="F548" s="1" t="s">
        <v>111</v>
      </c>
      <c r="G548" s="1">
        <v>652076</v>
      </c>
    </row>
    <row r="549" spans="1:9" x14ac:dyDescent="0.35">
      <c r="A549" s="1" t="str">
        <f t="shared" si="8"/>
        <v>17 Testo +  Saccharin 0,01</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2873</v>
      </c>
      <c r="D549" s="1" t="s">
        <v>2874</v>
      </c>
      <c r="E549" s="1" t="s">
        <v>2875</v>
      </c>
      <c r="F549" s="1" t="s">
        <v>111</v>
      </c>
      <c r="G549" s="1">
        <v>504972</v>
      </c>
    </row>
    <row r="550" spans="1:9" x14ac:dyDescent="0.35">
      <c r="A550" s="1" t="str">
        <f t="shared" si="8"/>
        <v>17 Testo +  Saccharin 0,01</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2876</v>
      </c>
      <c r="D550" s="1" t="s">
        <v>2877</v>
      </c>
      <c r="E550" s="1" t="s">
        <v>2878</v>
      </c>
      <c r="F550" s="1" t="s">
        <v>111</v>
      </c>
      <c r="G550" s="1">
        <v>474841</v>
      </c>
    </row>
    <row r="551" spans="1:9" x14ac:dyDescent="0.35">
      <c r="A551" s="1" t="str">
        <f t="shared" si="8"/>
        <v>17 Testo +  Saccharin 0,01</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2879</v>
      </c>
      <c r="D551" s="1" t="s">
        <v>2880</v>
      </c>
      <c r="E551" s="1" t="s">
        <v>2881</v>
      </c>
      <c r="F551" s="1" t="s">
        <v>111</v>
      </c>
      <c r="G551" s="1">
        <v>3897296</v>
      </c>
    </row>
    <row r="552" spans="1:9" x14ac:dyDescent="0.35">
      <c r="A552" s="1" t="str">
        <f t="shared" si="8"/>
        <v>17 Testo +  Saccharin 0,01</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2882</v>
      </c>
      <c r="D552" s="1" t="s">
        <v>1661</v>
      </c>
      <c r="E552" s="1" t="s">
        <v>2883</v>
      </c>
      <c r="F552" s="1" t="s">
        <v>111</v>
      </c>
      <c r="G552" s="1">
        <v>4174159</v>
      </c>
    </row>
    <row r="553" spans="1:9" x14ac:dyDescent="0.35">
      <c r="A553" s="1" t="str">
        <f t="shared" si="8"/>
        <v>17 Testo +  Saccharin 0,01</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2884</v>
      </c>
      <c r="D553" s="1" t="s">
        <v>2885</v>
      </c>
      <c r="E553" s="1" t="s">
        <v>2886</v>
      </c>
      <c r="F553" s="1" t="s">
        <v>111</v>
      </c>
      <c r="G553" s="1">
        <v>4004494</v>
      </c>
    </row>
    <row r="554" spans="1:9" x14ac:dyDescent="0.3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111</v>
      </c>
    </row>
    <row r="555" spans="1:9" x14ac:dyDescent="0.3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234</v>
      </c>
      <c r="D555" s="1" t="s">
        <v>111</v>
      </c>
      <c r="E555" s="1" t="s">
        <v>235</v>
      </c>
      <c r="F555" s="1" t="s">
        <v>236</v>
      </c>
      <c r="G555" s="1" t="s">
        <v>237</v>
      </c>
      <c r="H555" s="1" t="s">
        <v>238</v>
      </c>
      <c r="I555" s="1" t="s">
        <v>239</v>
      </c>
    </row>
    <row r="556" spans="1:9" x14ac:dyDescent="0.35">
      <c r="A556" s="1" t="str">
        <f t="shared" si="8"/>
        <v>17 Testo +  Saccharin 0,01</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2887</v>
      </c>
      <c r="D556" s="1" t="s">
        <v>111</v>
      </c>
      <c r="E556" s="1" t="s">
        <v>2888</v>
      </c>
      <c r="F556" s="1" t="s">
        <v>2889</v>
      </c>
      <c r="G556" s="1" t="s">
        <v>2890</v>
      </c>
      <c r="H556" s="1" t="s">
        <v>2891</v>
      </c>
      <c r="I556" s="1">
        <v>24</v>
      </c>
    </row>
    <row r="557" spans="1:9" x14ac:dyDescent="0.3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111</v>
      </c>
    </row>
    <row r="558" spans="1:9" x14ac:dyDescent="0.3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111</v>
      </c>
    </row>
    <row r="559" spans="1:9" x14ac:dyDescent="0.3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111</v>
      </c>
    </row>
    <row r="560" spans="1:9" x14ac:dyDescent="0.3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111</v>
      </c>
    </row>
    <row r="561" spans="1:7" x14ac:dyDescent="0.3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111</v>
      </c>
    </row>
    <row r="562" spans="1:7" x14ac:dyDescent="0.3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245</v>
      </c>
      <c r="D562" s="1" t="s">
        <v>109</v>
      </c>
      <c r="E562" s="1" t="s">
        <v>110</v>
      </c>
      <c r="F562" s="1" t="s">
        <v>111</v>
      </c>
      <c r="G562" s="1" t="s">
        <v>112</v>
      </c>
    </row>
    <row r="563" spans="1:7" x14ac:dyDescent="0.35">
      <c r="A563" s="1" t="str">
        <f t="shared" si="8"/>
        <v>18  Testo +  Saccharin 0,1</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2892</v>
      </c>
      <c r="D563" s="1" t="s">
        <v>2893</v>
      </c>
      <c r="E563" s="1" t="s">
        <v>2894</v>
      </c>
      <c r="F563" s="1" t="s">
        <v>111</v>
      </c>
      <c r="G563" s="1">
        <v>3046160</v>
      </c>
    </row>
    <row r="564" spans="1:7" x14ac:dyDescent="0.35">
      <c r="A564" s="1" t="str">
        <f t="shared" si="8"/>
        <v>18  Testo +  Saccharin 0,1</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2895</v>
      </c>
      <c r="D564" s="1" t="s">
        <v>2896</v>
      </c>
      <c r="E564" s="1" t="s">
        <v>2897</v>
      </c>
      <c r="F564" s="1" t="s">
        <v>111</v>
      </c>
      <c r="G564" s="1">
        <v>2764084</v>
      </c>
    </row>
    <row r="565" spans="1:7" x14ac:dyDescent="0.35">
      <c r="A565" s="1" t="str">
        <f t="shared" si="8"/>
        <v>18  Testo +  Saccharin 0,1</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2898</v>
      </c>
      <c r="D565" s="1" t="s">
        <v>2899</v>
      </c>
      <c r="E565" s="1" t="s">
        <v>2900</v>
      </c>
      <c r="F565" s="1" t="s">
        <v>111</v>
      </c>
      <c r="G565" s="1">
        <v>2227620</v>
      </c>
    </row>
    <row r="566" spans="1:7" x14ac:dyDescent="0.35">
      <c r="A566" s="1" t="str">
        <f t="shared" si="8"/>
        <v>18  Testo +  Saccharin 0,1</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2901</v>
      </c>
      <c r="D566" s="1" t="s">
        <v>200</v>
      </c>
      <c r="E566" s="1" t="s">
        <v>2902</v>
      </c>
      <c r="F566" s="1" t="s">
        <v>111</v>
      </c>
      <c r="G566" s="1">
        <v>273315</v>
      </c>
    </row>
    <row r="567" spans="1:7" x14ac:dyDescent="0.35">
      <c r="A567" s="1" t="str">
        <f t="shared" si="8"/>
        <v>18  Testo +  Saccharin 0,1</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2903</v>
      </c>
      <c r="D567" s="1" t="s">
        <v>2106</v>
      </c>
      <c r="E567" s="1" t="s">
        <v>2904</v>
      </c>
      <c r="F567" s="1" t="s">
        <v>111</v>
      </c>
      <c r="G567" s="1">
        <v>373527</v>
      </c>
    </row>
    <row r="568" spans="1:7" x14ac:dyDescent="0.35">
      <c r="A568" s="1" t="str">
        <f t="shared" si="8"/>
        <v>18  Testo +  Saccharin 0,1</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2905</v>
      </c>
    </row>
    <row r="569" spans="1:7" x14ac:dyDescent="0.35">
      <c r="A569" s="1" t="str">
        <f t="shared" si="8"/>
        <v>18  Testo +  Saccharin 0,1</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2906</v>
      </c>
    </row>
    <row r="570" spans="1:7" x14ac:dyDescent="0.35">
      <c r="A570" s="1" t="str">
        <f t="shared" si="8"/>
        <v>18  Testo +  Saccharin 0,1</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2907</v>
      </c>
      <c r="D570" s="1" t="s">
        <v>1963</v>
      </c>
      <c r="E570" s="1" t="s">
        <v>2908</v>
      </c>
      <c r="F570" s="1" t="s">
        <v>111</v>
      </c>
      <c r="G570" s="1">
        <v>164236</v>
      </c>
    </row>
    <row r="571" spans="1:7" x14ac:dyDescent="0.35">
      <c r="A571" s="1" t="str">
        <f t="shared" si="8"/>
        <v>18  Testo +  Saccharin 0,1</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2909</v>
      </c>
      <c r="D571" s="1" t="s">
        <v>2778</v>
      </c>
      <c r="E571" s="1" t="s">
        <v>2910</v>
      </c>
      <c r="F571" s="1" t="s">
        <v>111</v>
      </c>
      <c r="G571" s="1">
        <v>210762</v>
      </c>
    </row>
    <row r="572" spans="1:7" x14ac:dyDescent="0.35">
      <c r="A572" s="1" t="str">
        <f t="shared" si="8"/>
        <v>18  Testo +  Saccharin 0,1</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2911</v>
      </c>
      <c r="D572" s="1" t="s">
        <v>2912</v>
      </c>
      <c r="E572" s="1" t="s">
        <v>2913</v>
      </c>
      <c r="F572" s="1" t="s">
        <v>111</v>
      </c>
      <c r="G572" s="1">
        <v>1144957</v>
      </c>
    </row>
    <row r="573" spans="1:7" x14ac:dyDescent="0.35">
      <c r="A573" s="1" t="str">
        <f t="shared" si="8"/>
        <v>18  Testo +  Saccharin 0,1</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2914</v>
      </c>
      <c r="D573" s="1" t="s">
        <v>2915</v>
      </c>
      <c r="E573" s="1" t="s">
        <v>2916</v>
      </c>
      <c r="F573" s="1" t="s">
        <v>111</v>
      </c>
      <c r="G573" s="1">
        <v>1052208</v>
      </c>
    </row>
    <row r="574" spans="1:7" x14ac:dyDescent="0.35">
      <c r="A574" s="1" t="str">
        <f t="shared" si="8"/>
        <v>18  Testo +  Saccharin 0,1</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2917</v>
      </c>
      <c r="D574" s="1" t="s">
        <v>2918</v>
      </c>
      <c r="E574" s="1" t="s">
        <v>2919</v>
      </c>
      <c r="F574" s="1" t="s">
        <v>111</v>
      </c>
      <c r="G574" s="1">
        <v>903935</v>
      </c>
    </row>
    <row r="575" spans="1:7" x14ac:dyDescent="0.35">
      <c r="A575" s="1" t="str">
        <f t="shared" si="8"/>
        <v>18  Testo +  Saccharin 0,1</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2920</v>
      </c>
      <c r="D575" s="1" t="s">
        <v>1272</v>
      </c>
      <c r="E575" s="1" t="s">
        <v>2921</v>
      </c>
      <c r="F575" s="1" t="s">
        <v>111</v>
      </c>
      <c r="G575" s="1">
        <v>2685330</v>
      </c>
    </row>
    <row r="576" spans="1:7" x14ac:dyDescent="0.35">
      <c r="A576" s="1" t="str">
        <f t="shared" si="8"/>
        <v>18  Testo +  Saccharin 0,1</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2922</v>
      </c>
      <c r="D576" s="1" t="s">
        <v>1655</v>
      </c>
      <c r="E576" s="1" t="s">
        <v>2923</v>
      </c>
      <c r="F576" s="1" t="s">
        <v>111</v>
      </c>
      <c r="G576" s="1">
        <v>2345762</v>
      </c>
    </row>
    <row r="577" spans="1:9" x14ac:dyDescent="0.35">
      <c r="A577" s="1" t="str">
        <f t="shared" si="8"/>
        <v>18  Testo +  Saccharin 0,1</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2924</v>
      </c>
      <c r="D577" s="1" t="s">
        <v>2925</v>
      </c>
      <c r="E577" s="1" t="s">
        <v>2926</v>
      </c>
      <c r="F577" s="1" t="s">
        <v>111</v>
      </c>
      <c r="G577" s="1">
        <v>2172247</v>
      </c>
    </row>
    <row r="578" spans="1:9" x14ac:dyDescent="0.35">
      <c r="A578" s="1" t="str">
        <f t="shared" ref="A578:A641" si="9">IFERROR(LEFT(RIGHT(C578,LEN(C578)-SEARCH("@",C578)),SEARCH("/",RIGHT(C578,LEN(C578)-SEARCH("@",C578)-1))),"")</f>
        <v>18  Testo +  Saccharin 0,1</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2927</v>
      </c>
      <c r="D578" s="1" t="s">
        <v>2928</v>
      </c>
      <c r="E578" s="1" t="s">
        <v>2929</v>
      </c>
      <c r="F578" s="1" t="s">
        <v>111</v>
      </c>
      <c r="G578" s="1">
        <v>4200612</v>
      </c>
    </row>
    <row r="579" spans="1:9" x14ac:dyDescent="0.35">
      <c r="A579" s="1" t="str">
        <f t="shared" si="9"/>
        <v>18  Testo +  Saccharin 0,1</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2930</v>
      </c>
      <c r="D579" s="1" t="s">
        <v>2931</v>
      </c>
      <c r="E579" s="1" t="s">
        <v>2932</v>
      </c>
      <c r="F579" s="1" t="s">
        <v>111</v>
      </c>
      <c r="G579" s="1">
        <v>3931233</v>
      </c>
    </row>
    <row r="580" spans="1:9" x14ac:dyDescent="0.35">
      <c r="A580" s="1" t="str">
        <f t="shared" si="9"/>
        <v>18  Testo +  Saccharin 0,1</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2933</v>
      </c>
      <c r="D580" s="1" t="s">
        <v>2934</v>
      </c>
      <c r="E580" s="1" t="s">
        <v>2935</v>
      </c>
      <c r="F580" s="1" t="s">
        <v>111</v>
      </c>
      <c r="G580" s="1">
        <v>4411482</v>
      </c>
    </row>
    <row r="581" spans="1:9" x14ac:dyDescent="0.35">
      <c r="A581" s="1" t="str">
        <f t="shared" si="9"/>
        <v>18  Testo +  Saccharin 0,1</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2936</v>
      </c>
      <c r="D581" s="1" t="s">
        <v>2937</v>
      </c>
      <c r="E581" s="1" t="s">
        <v>2938</v>
      </c>
      <c r="F581" s="1" t="s">
        <v>111</v>
      </c>
      <c r="G581" s="1">
        <v>306366</v>
      </c>
    </row>
    <row r="582" spans="1:9" x14ac:dyDescent="0.35">
      <c r="A582" s="1" t="str">
        <f t="shared" si="9"/>
        <v>18  Testo +  Saccharin 0,1</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2939</v>
      </c>
      <c r="D582" s="1" t="s">
        <v>460</v>
      </c>
      <c r="E582" s="1" t="s">
        <v>2940</v>
      </c>
      <c r="F582" s="1" t="s">
        <v>111</v>
      </c>
      <c r="G582" s="1">
        <v>187899</v>
      </c>
    </row>
    <row r="583" spans="1:9" x14ac:dyDescent="0.35">
      <c r="A583" s="1" t="str">
        <f t="shared" si="9"/>
        <v>18  Testo +  Saccharin 0,1</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2941</v>
      </c>
      <c r="D583" s="1" t="s">
        <v>149</v>
      </c>
      <c r="E583" s="1" t="s">
        <v>2358</v>
      </c>
      <c r="F583" s="1" t="s">
        <v>111</v>
      </c>
      <c r="G583" s="1">
        <v>229688</v>
      </c>
    </row>
    <row r="584" spans="1:9" x14ac:dyDescent="0.35">
      <c r="A584" s="1" t="str">
        <f t="shared" si="9"/>
        <v>18  Testo +  Saccharin 0,1</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2942</v>
      </c>
      <c r="D584" s="1" t="s">
        <v>2943</v>
      </c>
      <c r="E584" s="1" t="s">
        <v>2944</v>
      </c>
      <c r="F584" s="1" t="s">
        <v>111</v>
      </c>
      <c r="G584" s="1">
        <v>1656028</v>
      </c>
    </row>
    <row r="585" spans="1:9" x14ac:dyDescent="0.35">
      <c r="A585" s="1" t="str">
        <f t="shared" si="9"/>
        <v>18  Testo +  Saccharin 0,1</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2945</v>
      </c>
      <c r="D585" s="1" t="s">
        <v>2946</v>
      </c>
      <c r="E585" s="1" t="s">
        <v>2947</v>
      </c>
      <c r="F585" s="1" t="s">
        <v>111</v>
      </c>
      <c r="G585" s="1">
        <v>2019216</v>
      </c>
    </row>
    <row r="586" spans="1:9" x14ac:dyDescent="0.35">
      <c r="A586" s="1" t="str">
        <f t="shared" si="9"/>
        <v>18  Testo +  Saccharin 0,1</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2948</v>
      </c>
      <c r="D586" s="1" t="s">
        <v>2949</v>
      </c>
      <c r="E586" s="1" t="s">
        <v>2950</v>
      </c>
      <c r="F586" s="1" t="s">
        <v>111</v>
      </c>
      <c r="G586" s="1">
        <v>1776507</v>
      </c>
    </row>
    <row r="587" spans="1:9" x14ac:dyDescent="0.3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111</v>
      </c>
    </row>
    <row r="588" spans="1:9" x14ac:dyDescent="0.3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234</v>
      </c>
      <c r="D588" s="1" t="s">
        <v>111</v>
      </c>
      <c r="E588" s="1" t="s">
        <v>235</v>
      </c>
      <c r="F588" s="1" t="s">
        <v>236</v>
      </c>
      <c r="G588" s="1" t="s">
        <v>237</v>
      </c>
      <c r="H588" s="1" t="s">
        <v>238</v>
      </c>
      <c r="I588" s="1" t="s">
        <v>239</v>
      </c>
    </row>
    <row r="589" spans="1:9" x14ac:dyDescent="0.35">
      <c r="A589" s="1" t="str">
        <f t="shared" si="9"/>
        <v>18  Testo +  Saccharin 0,1</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2951</v>
      </c>
      <c r="D589" s="1" t="s">
        <v>111</v>
      </c>
      <c r="E589" s="1" t="s">
        <v>2952</v>
      </c>
      <c r="F589" s="1" t="s">
        <v>2953</v>
      </c>
      <c r="G589" s="1" t="s">
        <v>2954</v>
      </c>
      <c r="H589" s="1" t="s">
        <v>2955</v>
      </c>
      <c r="I589" s="1">
        <v>24</v>
      </c>
    </row>
    <row r="590" spans="1:9" x14ac:dyDescent="0.3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111</v>
      </c>
    </row>
    <row r="591" spans="1:9" x14ac:dyDescent="0.3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111</v>
      </c>
    </row>
    <row r="592" spans="1:9" x14ac:dyDescent="0.3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111</v>
      </c>
    </row>
    <row r="593" spans="1:7" x14ac:dyDescent="0.3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111</v>
      </c>
    </row>
    <row r="594" spans="1:7" x14ac:dyDescent="0.3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111</v>
      </c>
    </row>
    <row r="595" spans="1:7" x14ac:dyDescent="0.3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245</v>
      </c>
      <c r="D595" s="1" t="s">
        <v>109</v>
      </c>
      <c r="E595" s="1" t="s">
        <v>110</v>
      </c>
      <c r="F595" s="1" t="s">
        <v>111</v>
      </c>
      <c r="G595" s="1" t="s">
        <v>112</v>
      </c>
    </row>
    <row r="596" spans="1:7" x14ac:dyDescent="0.35">
      <c r="A596" s="1" t="str">
        <f t="shared" si="9"/>
        <v>19 Testo +  Saccharin 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2956</v>
      </c>
      <c r="D596" s="1" t="s">
        <v>1451</v>
      </c>
      <c r="E596" s="1" t="s">
        <v>2957</v>
      </c>
      <c r="F596" s="1" t="s">
        <v>111</v>
      </c>
      <c r="G596" s="1">
        <v>77543</v>
      </c>
    </row>
    <row r="597" spans="1:7" x14ac:dyDescent="0.35">
      <c r="A597" s="1" t="str">
        <f t="shared" si="9"/>
        <v>19 Testo +  Saccharin 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2958</v>
      </c>
      <c r="D597" s="1" t="s">
        <v>2959</v>
      </c>
      <c r="E597" s="1" t="s">
        <v>2960</v>
      </c>
      <c r="F597" s="1" t="s">
        <v>111</v>
      </c>
      <c r="G597" s="1">
        <v>424941</v>
      </c>
    </row>
    <row r="598" spans="1:7" x14ac:dyDescent="0.35">
      <c r="A598" s="1" t="str">
        <f t="shared" si="9"/>
        <v>19 Testo +  Saccharin 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2961</v>
      </c>
    </row>
    <row r="599" spans="1:7" x14ac:dyDescent="0.35">
      <c r="A599" s="1" t="str">
        <f t="shared" si="9"/>
        <v>19 Testo +  Saccharin 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2962</v>
      </c>
      <c r="D599" s="1" t="s">
        <v>2963</v>
      </c>
      <c r="E599" s="1" t="s">
        <v>2964</v>
      </c>
      <c r="F599" s="1" t="s">
        <v>111</v>
      </c>
      <c r="G599" s="1">
        <v>1767033</v>
      </c>
    </row>
    <row r="600" spans="1:7" x14ac:dyDescent="0.35">
      <c r="A600" s="1" t="str">
        <f t="shared" si="9"/>
        <v>19 Testo +  Saccharin 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2965</v>
      </c>
      <c r="D600" s="1" t="s">
        <v>2966</v>
      </c>
      <c r="E600" s="1" t="s">
        <v>2967</v>
      </c>
      <c r="F600" s="1" t="s">
        <v>111</v>
      </c>
      <c r="G600" s="1">
        <v>1413838</v>
      </c>
    </row>
    <row r="601" spans="1:7" x14ac:dyDescent="0.35">
      <c r="A601" s="1" t="str">
        <f t="shared" si="9"/>
        <v>19 Testo +  Saccharin 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2968</v>
      </c>
      <c r="D601" s="1" t="s">
        <v>2969</v>
      </c>
      <c r="E601" s="1" t="s">
        <v>2970</v>
      </c>
      <c r="F601" s="1" t="s">
        <v>111</v>
      </c>
      <c r="G601" s="1">
        <v>1348278</v>
      </c>
    </row>
    <row r="602" spans="1:7" x14ac:dyDescent="0.35">
      <c r="A602" s="1" t="str">
        <f t="shared" si="9"/>
        <v>19 Testo +  Saccharin 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2971</v>
      </c>
    </row>
    <row r="603" spans="1:7" x14ac:dyDescent="0.35">
      <c r="A603" s="1" t="str">
        <f t="shared" si="9"/>
        <v>19 Testo +  Saccharin 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2972</v>
      </c>
    </row>
    <row r="604" spans="1:7" x14ac:dyDescent="0.35">
      <c r="A604" s="1" t="str">
        <f t="shared" si="9"/>
        <v>19 Testo +  Saccharin 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2973</v>
      </c>
    </row>
    <row r="605" spans="1:7" x14ac:dyDescent="0.35">
      <c r="A605" s="1" t="str">
        <f t="shared" si="9"/>
        <v>19 Testo +  Saccharin 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2974</v>
      </c>
      <c r="D605" s="1" t="s">
        <v>2975</v>
      </c>
      <c r="E605" s="1" t="s">
        <v>2976</v>
      </c>
      <c r="F605" s="1" t="s">
        <v>111</v>
      </c>
      <c r="G605" s="1">
        <v>2182024</v>
      </c>
    </row>
    <row r="606" spans="1:7" x14ac:dyDescent="0.35">
      <c r="A606" s="1" t="str">
        <f t="shared" si="9"/>
        <v>19 Testo +  Saccharin 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2977</v>
      </c>
      <c r="D606" s="1" t="s">
        <v>1658</v>
      </c>
      <c r="E606" s="1" t="s">
        <v>2978</v>
      </c>
      <c r="F606" s="1" t="s">
        <v>111</v>
      </c>
      <c r="G606" s="1">
        <v>1948724</v>
      </c>
    </row>
    <row r="607" spans="1:7" x14ac:dyDescent="0.35">
      <c r="A607" s="1" t="str">
        <f t="shared" si="9"/>
        <v>19 Testo +  Saccharin 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2979</v>
      </c>
      <c r="D607" s="1" t="s">
        <v>2980</v>
      </c>
      <c r="E607" s="1" t="s">
        <v>2981</v>
      </c>
      <c r="F607" s="1" t="s">
        <v>111</v>
      </c>
      <c r="G607" s="1">
        <v>1981991</v>
      </c>
    </row>
    <row r="608" spans="1:7" x14ac:dyDescent="0.35">
      <c r="A608" s="1" t="str">
        <f t="shared" si="9"/>
        <v>19 Testo +  Saccharin 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2982</v>
      </c>
      <c r="D608" s="1" t="s">
        <v>1009</v>
      </c>
      <c r="E608" s="1" t="s">
        <v>2983</v>
      </c>
      <c r="F608" s="1" t="s">
        <v>111</v>
      </c>
      <c r="G608" s="1">
        <v>2373448</v>
      </c>
    </row>
    <row r="609" spans="1:9" x14ac:dyDescent="0.35">
      <c r="A609" s="1" t="str">
        <f t="shared" si="9"/>
        <v>19 Testo +  Saccharin 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2984</v>
      </c>
      <c r="D609" s="1" t="s">
        <v>2985</v>
      </c>
      <c r="E609" s="1" t="s">
        <v>2986</v>
      </c>
      <c r="F609" s="1" t="s">
        <v>111</v>
      </c>
      <c r="G609" s="1">
        <v>2569394</v>
      </c>
    </row>
    <row r="610" spans="1:9" x14ac:dyDescent="0.35">
      <c r="A610" s="1" t="str">
        <f t="shared" si="9"/>
        <v>19 Testo +  Saccharin 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2987</v>
      </c>
      <c r="D610" s="1" t="s">
        <v>1287</v>
      </c>
      <c r="E610" s="1" t="s">
        <v>2988</v>
      </c>
      <c r="F610" s="1" t="s">
        <v>111</v>
      </c>
      <c r="G610" s="1">
        <v>2596150</v>
      </c>
    </row>
    <row r="611" spans="1:9" x14ac:dyDescent="0.35">
      <c r="A611" s="1" t="str">
        <f t="shared" si="9"/>
        <v>19 Testo +  Saccharin 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2989</v>
      </c>
      <c r="D611" s="1" t="s">
        <v>1701</v>
      </c>
      <c r="E611" s="1" t="s">
        <v>2990</v>
      </c>
      <c r="F611" s="1" t="s">
        <v>111</v>
      </c>
      <c r="G611" s="1">
        <v>3054963</v>
      </c>
    </row>
    <row r="612" spans="1:9" x14ac:dyDescent="0.35">
      <c r="A612" s="1" t="str">
        <f t="shared" si="9"/>
        <v>19 Testo +  Saccharin 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2991</v>
      </c>
      <c r="D612" s="1" t="s">
        <v>2992</v>
      </c>
      <c r="E612" s="1" t="s">
        <v>2993</v>
      </c>
      <c r="F612" s="1" t="s">
        <v>111</v>
      </c>
      <c r="G612" s="1">
        <v>2559357</v>
      </c>
    </row>
    <row r="613" spans="1:9" x14ac:dyDescent="0.35">
      <c r="A613" s="1" t="str">
        <f t="shared" si="9"/>
        <v>19 Testo +  Saccharin 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2994</v>
      </c>
      <c r="D613" s="1" t="s">
        <v>1144</v>
      </c>
      <c r="E613" s="1" t="s">
        <v>2995</v>
      </c>
      <c r="F613" s="1" t="s">
        <v>111</v>
      </c>
      <c r="G613" s="1">
        <v>2993058</v>
      </c>
    </row>
    <row r="614" spans="1:9" x14ac:dyDescent="0.35">
      <c r="A614" s="1" t="str">
        <f t="shared" si="9"/>
        <v>19 Testo +  Saccharin 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2996</v>
      </c>
      <c r="D614" s="1" t="s">
        <v>429</v>
      </c>
      <c r="E614" s="1" t="s">
        <v>2997</v>
      </c>
      <c r="F614" s="1" t="s">
        <v>111</v>
      </c>
      <c r="G614" s="1">
        <v>457429</v>
      </c>
    </row>
    <row r="615" spans="1:9" x14ac:dyDescent="0.35">
      <c r="A615" s="1" t="str">
        <f t="shared" si="9"/>
        <v>19 Testo +  Saccharin 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2998</v>
      </c>
      <c r="D615" s="1" t="s">
        <v>2999</v>
      </c>
      <c r="E615" s="1" t="s">
        <v>3000</v>
      </c>
      <c r="F615" s="1" t="s">
        <v>111</v>
      </c>
      <c r="G615" s="1">
        <v>397190</v>
      </c>
    </row>
    <row r="616" spans="1:9" x14ac:dyDescent="0.35">
      <c r="A616" s="1" t="str">
        <f t="shared" si="9"/>
        <v>19 Testo +  Saccharin 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3001</v>
      </c>
      <c r="D616" s="1" t="s">
        <v>3002</v>
      </c>
      <c r="E616" s="1" t="s">
        <v>3003</v>
      </c>
      <c r="F616" s="1" t="s">
        <v>111</v>
      </c>
      <c r="G616" s="1">
        <v>609141</v>
      </c>
    </row>
    <row r="617" spans="1:9" x14ac:dyDescent="0.35">
      <c r="A617" s="1" t="str">
        <f t="shared" si="9"/>
        <v>19 Testo +  Saccharin 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3004</v>
      </c>
      <c r="D617" s="1" t="s">
        <v>3005</v>
      </c>
      <c r="E617" s="1" t="s">
        <v>3006</v>
      </c>
      <c r="F617" s="1" t="s">
        <v>111</v>
      </c>
      <c r="G617" s="1">
        <v>1546191</v>
      </c>
    </row>
    <row r="618" spans="1:9" x14ac:dyDescent="0.35">
      <c r="A618" s="1" t="str">
        <f t="shared" si="9"/>
        <v>19 Testo +  Saccharin 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3007</v>
      </c>
      <c r="D618" s="1" t="s">
        <v>3008</v>
      </c>
      <c r="E618" s="1" t="s">
        <v>3009</v>
      </c>
      <c r="F618" s="1" t="s">
        <v>111</v>
      </c>
      <c r="G618" s="1">
        <v>1479442</v>
      </c>
    </row>
    <row r="619" spans="1:9" x14ac:dyDescent="0.35">
      <c r="A619" s="1" t="str">
        <f t="shared" si="9"/>
        <v>19 Testo +  Saccharin 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3010</v>
      </c>
      <c r="D619" s="1" t="s">
        <v>3011</v>
      </c>
      <c r="E619" s="1" t="s">
        <v>3012</v>
      </c>
      <c r="F619" s="1" t="s">
        <v>111</v>
      </c>
      <c r="G619" s="1">
        <v>1279646</v>
      </c>
    </row>
    <row r="620" spans="1:9" x14ac:dyDescent="0.3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111</v>
      </c>
    </row>
    <row r="621" spans="1:9" x14ac:dyDescent="0.3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234</v>
      </c>
      <c r="D621" s="1" t="s">
        <v>111</v>
      </c>
      <c r="E621" s="1" t="s">
        <v>235</v>
      </c>
      <c r="F621" s="1" t="s">
        <v>236</v>
      </c>
      <c r="G621" s="1" t="s">
        <v>237</v>
      </c>
      <c r="H621" s="1" t="s">
        <v>238</v>
      </c>
      <c r="I621" s="1" t="s">
        <v>239</v>
      </c>
    </row>
    <row r="622" spans="1:9" x14ac:dyDescent="0.35">
      <c r="A622" s="1" t="str">
        <f t="shared" si="9"/>
        <v>19 Testo +  Saccharin 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3013</v>
      </c>
      <c r="D622" s="1" t="s">
        <v>111</v>
      </c>
      <c r="E622" s="1" t="s">
        <v>3014</v>
      </c>
      <c r="F622" s="1" t="s">
        <v>3015</v>
      </c>
      <c r="G622" s="1" t="s">
        <v>3016</v>
      </c>
      <c r="H622" s="1" t="s">
        <v>3017</v>
      </c>
      <c r="I622" s="1">
        <v>24</v>
      </c>
    </row>
    <row r="623" spans="1:9" x14ac:dyDescent="0.3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111</v>
      </c>
    </row>
    <row r="624" spans="1:9" x14ac:dyDescent="0.3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111</v>
      </c>
    </row>
    <row r="625" spans="1:7" x14ac:dyDescent="0.3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111</v>
      </c>
    </row>
    <row r="626" spans="1:7" x14ac:dyDescent="0.3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111</v>
      </c>
    </row>
    <row r="627" spans="1:7" x14ac:dyDescent="0.3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111</v>
      </c>
    </row>
    <row r="628" spans="1:7" x14ac:dyDescent="0.3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245</v>
      </c>
      <c r="D628" s="1" t="s">
        <v>109</v>
      </c>
      <c r="E628" s="1" t="s">
        <v>110</v>
      </c>
      <c r="F628" s="1" t="s">
        <v>111</v>
      </c>
      <c r="G628" s="1" t="s">
        <v>112</v>
      </c>
    </row>
    <row r="629" spans="1:7" x14ac:dyDescent="0.35">
      <c r="A629" s="1" t="str">
        <f t="shared" si="9"/>
        <v>20 Testo +  Saccharin 10</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3018</v>
      </c>
      <c r="D629" s="1" t="s">
        <v>3019</v>
      </c>
      <c r="E629" s="1" t="s">
        <v>3020</v>
      </c>
      <c r="F629" s="1" t="s">
        <v>111</v>
      </c>
      <c r="G629" s="1">
        <v>3236870</v>
      </c>
    </row>
    <row r="630" spans="1:7" x14ac:dyDescent="0.35">
      <c r="A630" s="1" t="str">
        <f t="shared" si="9"/>
        <v>20 Testo +  Saccharin 10</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3021</v>
      </c>
      <c r="D630" s="1" t="s">
        <v>3022</v>
      </c>
      <c r="E630" s="1" t="s">
        <v>3023</v>
      </c>
      <c r="F630" s="1" t="s">
        <v>111</v>
      </c>
      <c r="G630" s="1">
        <v>3347767</v>
      </c>
    </row>
    <row r="631" spans="1:7" x14ac:dyDescent="0.35">
      <c r="A631" s="1" t="str">
        <f t="shared" si="9"/>
        <v>20 Testo +  Saccharin 10</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3024</v>
      </c>
      <c r="D631" s="1" t="s">
        <v>3025</v>
      </c>
      <c r="E631" s="1" t="s">
        <v>3026</v>
      </c>
      <c r="F631" s="1" t="s">
        <v>111</v>
      </c>
      <c r="G631" s="1">
        <v>2702136</v>
      </c>
    </row>
    <row r="632" spans="1:7" x14ac:dyDescent="0.35">
      <c r="A632" s="1" t="str">
        <f t="shared" si="9"/>
        <v>20 Testo +  Saccharin 10</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3027</v>
      </c>
      <c r="D632" s="1" t="s">
        <v>3028</v>
      </c>
      <c r="E632" s="1" t="s">
        <v>3029</v>
      </c>
      <c r="F632" s="1" t="s">
        <v>111</v>
      </c>
      <c r="G632" s="1">
        <v>1331363</v>
      </c>
    </row>
    <row r="633" spans="1:7" x14ac:dyDescent="0.35">
      <c r="A633" s="1" t="str">
        <f t="shared" si="9"/>
        <v>20 Testo +  Saccharin 10</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3030</v>
      </c>
      <c r="D633" s="1" t="s">
        <v>576</v>
      </c>
      <c r="E633" s="1" t="s">
        <v>3031</v>
      </c>
      <c r="F633" s="1" t="s">
        <v>111</v>
      </c>
      <c r="G633" s="1">
        <v>1303439</v>
      </c>
    </row>
    <row r="634" spans="1:7" x14ac:dyDescent="0.35">
      <c r="A634" s="1" t="str">
        <f t="shared" si="9"/>
        <v>20 Testo +  Saccharin 10</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3032</v>
      </c>
      <c r="D634" s="1" t="s">
        <v>3033</v>
      </c>
      <c r="E634" s="1" t="s">
        <v>3034</v>
      </c>
      <c r="F634" s="1" t="s">
        <v>111</v>
      </c>
      <c r="G634" s="1">
        <v>1120818</v>
      </c>
    </row>
    <row r="635" spans="1:7" x14ac:dyDescent="0.35">
      <c r="A635" s="1" t="str">
        <f t="shared" si="9"/>
        <v>20 Testo +  Saccharin 10</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3035</v>
      </c>
      <c r="D635" s="1" t="s">
        <v>3036</v>
      </c>
      <c r="E635" s="1" t="s">
        <v>3037</v>
      </c>
      <c r="F635" s="1" t="s">
        <v>111</v>
      </c>
      <c r="G635" s="1">
        <v>1563863</v>
      </c>
    </row>
    <row r="636" spans="1:7" x14ac:dyDescent="0.35">
      <c r="A636" s="1" t="str">
        <f t="shared" si="9"/>
        <v>20 Testo +  Saccharin 10</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3038</v>
      </c>
      <c r="D636" s="1" t="s">
        <v>1247</v>
      </c>
      <c r="E636" s="1" t="s">
        <v>3039</v>
      </c>
      <c r="F636" s="1" t="s">
        <v>111</v>
      </c>
      <c r="G636" s="1">
        <v>1850892</v>
      </c>
    </row>
    <row r="637" spans="1:7" x14ac:dyDescent="0.35">
      <c r="A637" s="1" t="str">
        <f t="shared" si="9"/>
        <v>20 Testo +  Saccharin 10</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3040</v>
      </c>
      <c r="D637" s="1" t="s">
        <v>3041</v>
      </c>
      <c r="E637" s="1" t="s">
        <v>3042</v>
      </c>
      <c r="F637" s="1" t="s">
        <v>111</v>
      </c>
      <c r="G637" s="1">
        <v>1953742</v>
      </c>
    </row>
    <row r="638" spans="1:7" x14ac:dyDescent="0.35">
      <c r="A638" s="1" t="str">
        <f t="shared" si="9"/>
        <v>20 Testo +  Saccharin 10</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3043</v>
      </c>
      <c r="D638" s="1" t="s">
        <v>644</v>
      </c>
      <c r="E638" s="1" t="s">
        <v>3044</v>
      </c>
      <c r="F638" s="1" t="s">
        <v>111</v>
      </c>
      <c r="G638" s="1">
        <v>5476689</v>
      </c>
    </row>
    <row r="639" spans="1:7" x14ac:dyDescent="0.35">
      <c r="A639" s="1" t="str">
        <f t="shared" si="9"/>
        <v>20 Testo +  Saccharin 10</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3045</v>
      </c>
      <c r="D639" s="1" t="s">
        <v>3046</v>
      </c>
      <c r="E639" s="1" t="s">
        <v>3047</v>
      </c>
      <c r="F639" s="1" t="s">
        <v>111</v>
      </c>
      <c r="G639" s="1">
        <v>5054020</v>
      </c>
    </row>
    <row r="640" spans="1:7" x14ac:dyDescent="0.35">
      <c r="A640" s="1" t="str">
        <f t="shared" si="9"/>
        <v>20 Testo +  Saccharin 10</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3048</v>
      </c>
      <c r="D640" s="1" t="s">
        <v>3049</v>
      </c>
      <c r="E640" s="1" t="s">
        <v>3050</v>
      </c>
      <c r="F640" s="1" t="s">
        <v>111</v>
      </c>
      <c r="G640" s="1">
        <v>4779601</v>
      </c>
    </row>
    <row r="641" spans="1:9" x14ac:dyDescent="0.35">
      <c r="A641" s="1" t="str">
        <f t="shared" si="9"/>
        <v>20 Testo +  Saccharin 10</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3051</v>
      </c>
      <c r="D641" s="1" t="s">
        <v>362</v>
      </c>
      <c r="E641" s="1" t="s">
        <v>3052</v>
      </c>
      <c r="F641" s="1" t="s">
        <v>111</v>
      </c>
      <c r="G641" s="1">
        <v>230704</v>
      </c>
    </row>
    <row r="642" spans="1:9" x14ac:dyDescent="0.35">
      <c r="A642" s="1" t="str">
        <f t="shared" ref="A642:A705" si="10">IFERROR(LEFT(RIGHT(C642,LEN(C642)-SEARCH("@",C642)),SEARCH("/",RIGHT(C642,LEN(C642)-SEARCH("@",C642)-1))),"")</f>
        <v>20 Testo +  Saccharin 10</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3053</v>
      </c>
      <c r="D642" s="1" t="s">
        <v>1624</v>
      </c>
      <c r="E642" s="1" t="s">
        <v>1625</v>
      </c>
      <c r="F642" s="1" t="s">
        <v>111</v>
      </c>
      <c r="G642" s="1">
        <v>211454</v>
      </c>
    </row>
    <row r="643" spans="1:9" x14ac:dyDescent="0.35">
      <c r="A643" s="1" t="str">
        <f t="shared" si="10"/>
        <v>20 Testo +  Saccharin 10</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3054</v>
      </c>
      <c r="D643" s="1" t="s">
        <v>426</v>
      </c>
      <c r="E643" s="1" t="s">
        <v>3055</v>
      </c>
      <c r="F643" s="1" t="s">
        <v>111</v>
      </c>
      <c r="G643" s="1">
        <v>235074</v>
      </c>
    </row>
    <row r="644" spans="1:9" x14ac:dyDescent="0.35">
      <c r="A644" s="1" t="str">
        <f t="shared" si="10"/>
        <v>20 Testo +  Saccharin 10</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3056</v>
      </c>
      <c r="D644" s="1" t="s">
        <v>3019</v>
      </c>
      <c r="E644" s="1" t="s">
        <v>3057</v>
      </c>
      <c r="F644" s="1" t="s">
        <v>111</v>
      </c>
      <c r="G644" s="1">
        <v>3316252</v>
      </c>
    </row>
    <row r="645" spans="1:9" x14ac:dyDescent="0.35">
      <c r="A645" s="1" t="str">
        <f t="shared" si="10"/>
        <v>20 Testo +  Saccharin 10</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3058</v>
      </c>
      <c r="D645" s="1" t="s">
        <v>3059</v>
      </c>
      <c r="E645" s="1" t="s">
        <v>3060</v>
      </c>
      <c r="F645" s="1" t="s">
        <v>111</v>
      </c>
      <c r="G645" s="1">
        <v>2782015</v>
      </c>
    </row>
    <row r="646" spans="1:9" x14ac:dyDescent="0.35">
      <c r="A646" s="1" t="str">
        <f t="shared" si="10"/>
        <v>20 Testo +  Saccharin 10</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3061</v>
      </c>
      <c r="D646" s="1" t="s">
        <v>3062</v>
      </c>
      <c r="E646" s="1" t="s">
        <v>3063</v>
      </c>
      <c r="F646" s="1" t="s">
        <v>111</v>
      </c>
      <c r="G646" s="1">
        <v>3320708</v>
      </c>
    </row>
    <row r="647" spans="1:9" x14ac:dyDescent="0.35">
      <c r="A647" s="1" t="str">
        <f t="shared" si="10"/>
        <v>20 Testo +  Saccharin 10</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3064</v>
      </c>
      <c r="D647" s="1" t="s">
        <v>3065</v>
      </c>
      <c r="E647" s="1" t="s">
        <v>3066</v>
      </c>
      <c r="F647" s="1" t="s">
        <v>111</v>
      </c>
      <c r="G647" s="1">
        <v>2389065</v>
      </c>
    </row>
    <row r="648" spans="1:9" x14ac:dyDescent="0.35">
      <c r="A648" s="1" t="str">
        <f t="shared" si="10"/>
        <v>20 Testo +  Saccharin 10</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3067</v>
      </c>
      <c r="D648" s="1" t="s">
        <v>3068</v>
      </c>
      <c r="E648" s="1" t="s">
        <v>3069</v>
      </c>
      <c r="F648" s="1" t="s">
        <v>111</v>
      </c>
      <c r="G648" s="1">
        <v>2645769</v>
      </c>
    </row>
    <row r="649" spans="1:9" x14ac:dyDescent="0.35">
      <c r="A649" s="1" t="str">
        <f t="shared" si="10"/>
        <v>20 Testo +  Saccharin 10</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3070</v>
      </c>
      <c r="D649" s="1" t="s">
        <v>1856</v>
      </c>
      <c r="E649" s="1" t="s">
        <v>3071</v>
      </c>
      <c r="F649" s="1" t="s">
        <v>111</v>
      </c>
      <c r="G649" s="1">
        <v>2738734</v>
      </c>
    </row>
    <row r="650" spans="1:9" x14ac:dyDescent="0.35">
      <c r="A650" s="1" t="str">
        <f t="shared" si="10"/>
        <v>20 Testo +  Saccharin 10</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3072</v>
      </c>
      <c r="D650" s="1" t="s">
        <v>3073</v>
      </c>
      <c r="E650" s="1" t="s">
        <v>3074</v>
      </c>
      <c r="F650" s="1" t="s">
        <v>111</v>
      </c>
      <c r="G650" s="1">
        <v>1152895</v>
      </c>
    </row>
    <row r="651" spans="1:9" x14ac:dyDescent="0.35">
      <c r="A651" s="1" t="str">
        <f t="shared" si="10"/>
        <v>20 Testo +  Saccharin 10</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3075</v>
      </c>
      <c r="D651" s="1" t="s">
        <v>3076</v>
      </c>
      <c r="E651" s="1" t="s">
        <v>3077</v>
      </c>
      <c r="F651" s="1" t="s">
        <v>111</v>
      </c>
      <c r="G651" s="1">
        <v>1298702</v>
      </c>
    </row>
    <row r="652" spans="1:9" x14ac:dyDescent="0.35">
      <c r="A652" s="1" t="str">
        <f t="shared" si="10"/>
        <v>20 Testo +  Saccharin 10</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3078</v>
      </c>
      <c r="D652" s="1" t="s">
        <v>3079</v>
      </c>
      <c r="E652" s="1" t="s">
        <v>3080</v>
      </c>
      <c r="F652" s="1" t="s">
        <v>111</v>
      </c>
      <c r="G652" s="1">
        <v>1006742</v>
      </c>
    </row>
    <row r="653" spans="1:9" x14ac:dyDescent="0.3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111</v>
      </c>
    </row>
    <row r="654" spans="1:9" x14ac:dyDescent="0.3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234</v>
      </c>
      <c r="D654" s="1" t="s">
        <v>111</v>
      </c>
      <c r="E654" s="1" t="s">
        <v>235</v>
      </c>
      <c r="F654" s="1" t="s">
        <v>236</v>
      </c>
      <c r="G654" s="1" t="s">
        <v>237</v>
      </c>
      <c r="H654" s="1" t="s">
        <v>238</v>
      </c>
      <c r="I654" s="1" t="s">
        <v>239</v>
      </c>
    </row>
    <row r="655" spans="1:9" x14ac:dyDescent="0.35">
      <c r="A655" s="1" t="str">
        <f t="shared" si="10"/>
        <v>20 Testo +  Saccharin 10</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3081</v>
      </c>
      <c r="D655" s="1" t="s">
        <v>111</v>
      </c>
      <c r="E655" s="1" t="s">
        <v>3082</v>
      </c>
      <c r="F655" s="1" t="s">
        <v>3083</v>
      </c>
      <c r="G655" s="1" t="s">
        <v>3084</v>
      </c>
      <c r="H655" s="1" t="s">
        <v>3085</v>
      </c>
      <c r="I655" s="1">
        <v>24</v>
      </c>
    </row>
    <row r="656" spans="1:9" x14ac:dyDescent="0.3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111</v>
      </c>
    </row>
    <row r="657" spans="1:7" x14ac:dyDescent="0.3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111</v>
      </c>
    </row>
    <row r="658" spans="1:7" x14ac:dyDescent="0.3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111</v>
      </c>
    </row>
    <row r="659" spans="1:7" x14ac:dyDescent="0.3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111</v>
      </c>
    </row>
    <row r="660" spans="1:7" x14ac:dyDescent="0.3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111</v>
      </c>
    </row>
    <row r="661" spans="1:7" x14ac:dyDescent="0.3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245</v>
      </c>
      <c r="D661" s="1" t="s">
        <v>109</v>
      </c>
      <c r="E661" s="1" t="s">
        <v>110</v>
      </c>
      <c r="F661" s="1" t="s">
        <v>111</v>
      </c>
      <c r="G661" s="1" t="s">
        <v>112</v>
      </c>
    </row>
    <row r="662" spans="1:7" x14ac:dyDescent="0.35">
      <c r="A662" s="1" t="str">
        <f t="shared" si="10"/>
        <v>21 Testo +   Saccharin 100</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3086</v>
      </c>
      <c r="D662" s="1" t="s">
        <v>918</v>
      </c>
      <c r="E662" s="1" t="s">
        <v>3087</v>
      </c>
      <c r="F662" s="1" t="s">
        <v>111</v>
      </c>
      <c r="G662" s="1">
        <v>154308</v>
      </c>
    </row>
    <row r="663" spans="1:7" x14ac:dyDescent="0.35">
      <c r="A663" s="1" t="str">
        <f t="shared" si="10"/>
        <v>21 Testo +   Saccharin 100</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3088</v>
      </c>
      <c r="D663" s="1" t="s">
        <v>1615</v>
      </c>
      <c r="E663" s="1" t="s">
        <v>3089</v>
      </c>
      <c r="F663" s="1" t="s">
        <v>111</v>
      </c>
      <c r="G663" s="1">
        <v>172542</v>
      </c>
    </row>
    <row r="664" spans="1:7" x14ac:dyDescent="0.35">
      <c r="A664" s="1" t="str">
        <f t="shared" si="10"/>
        <v>21 Testo +   Saccharin 100</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3090</v>
      </c>
      <c r="D664" s="1" t="s">
        <v>1216</v>
      </c>
      <c r="E664" s="1" t="s">
        <v>3091</v>
      </c>
      <c r="F664" s="1" t="s">
        <v>111</v>
      </c>
      <c r="G664" s="1">
        <v>62921</v>
      </c>
    </row>
    <row r="665" spans="1:7" x14ac:dyDescent="0.35">
      <c r="A665" s="1" t="str">
        <f t="shared" si="10"/>
        <v>21 Testo +   Saccharin 100</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3092</v>
      </c>
      <c r="D665" s="1" t="s">
        <v>3093</v>
      </c>
      <c r="E665" s="1" t="s">
        <v>3094</v>
      </c>
      <c r="F665" s="1" t="s">
        <v>111</v>
      </c>
      <c r="G665" s="1">
        <v>1290223</v>
      </c>
    </row>
    <row r="666" spans="1:7" x14ac:dyDescent="0.35">
      <c r="A666" s="1" t="str">
        <f t="shared" si="10"/>
        <v>21 Testo +   Saccharin 100</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3095</v>
      </c>
      <c r="D666" s="1" t="s">
        <v>1634</v>
      </c>
      <c r="E666" s="1" t="s">
        <v>3096</v>
      </c>
      <c r="F666" s="1" t="s">
        <v>111</v>
      </c>
      <c r="G666" s="1">
        <v>1281247</v>
      </c>
    </row>
    <row r="667" spans="1:7" x14ac:dyDescent="0.35">
      <c r="A667" s="1" t="str">
        <f t="shared" si="10"/>
        <v>21 Testo +   Saccharin 100</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3097</v>
      </c>
      <c r="D667" s="1" t="s">
        <v>3098</v>
      </c>
      <c r="E667" s="1" t="s">
        <v>3099</v>
      </c>
      <c r="F667" s="1" t="s">
        <v>111</v>
      </c>
      <c r="G667" s="1">
        <v>1611838</v>
      </c>
    </row>
    <row r="668" spans="1:7" x14ac:dyDescent="0.35">
      <c r="A668" s="1" t="str">
        <f t="shared" si="10"/>
        <v>21 Testo +   Saccharin 100</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3100</v>
      </c>
      <c r="D668" s="1" t="s">
        <v>3101</v>
      </c>
      <c r="E668" s="1" t="s">
        <v>3102</v>
      </c>
      <c r="F668" s="1" t="s">
        <v>111</v>
      </c>
      <c r="G668" s="1">
        <v>1653497</v>
      </c>
    </row>
    <row r="669" spans="1:7" x14ac:dyDescent="0.35">
      <c r="A669" s="1" t="str">
        <f t="shared" si="10"/>
        <v>21 Testo +   Saccharin 100</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3103</v>
      </c>
      <c r="D669" s="1" t="s">
        <v>3104</v>
      </c>
      <c r="E669" s="1" t="s">
        <v>3105</v>
      </c>
      <c r="F669" s="1" t="s">
        <v>111</v>
      </c>
      <c r="G669" s="1">
        <v>1632062</v>
      </c>
    </row>
    <row r="670" spans="1:7" x14ac:dyDescent="0.35">
      <c r="A670" s="1" t="str">
        <f t="shared" si="10"/>
        <v>21 Testo +   Saccharin 100</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3106</v>
      </c>
      <c r="D670" s="1" t="s">
        <v>3107</v>
      </c>
      <c r="E670" s="1" t="s">
        <v>3108</v>
      </c>
      <c r="F670" s="1" t="s">
        <v>111</v>
      </c>
      <c r="G670" s="1">
        <v>1703938</v>
      </c>
    </row>
    <row r="671" spans="1:7" x14ac:dyDescent="0.35">
      <c r="A671" s="1" t="str">
        <f t="shared" si="10"/>
        <v>21 Testo +   Saccharin 100</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3109</v>
      </c>
      <c r="D671" s="1" t="s">
        <v>1420</v>
      </c>
      <c r="E671" s="1" t="s">
        <v>3110</v>
      </c>
      <c r="F671" s="1" t="s">
        <v>111</v>
      </c>
      <c r="G671" s="1">
        <v>2555421</v>
      </c>
    </row>
    <row r="672" spans="1:7" x14ac:dyDescent="0.35">
      <c r="A672" s="1" t="str">
        <f t="shared" si="10"/>
        <v>21 Testo +   Saccharin 100</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3111</v>
      </c>
      <c r="D672" s="1" t="s">
        <v>1240</v>
      </c>
      <c r="E672" s="1" t="s">
        <v>3112</v>
      </c>
      <c r="F672" s="1" t="s">
        <v>111</v>
      </c>
      <c r="G672" s="1">
        <v>2917375</v>
      </c>
    </row>
    <row r="673" spans="1:9" x14ac:dyDescent="0.35">
      <c r="A673" s="1" t="str">
        <f t="shared" si="10"/>
        <v>21 Testo +   Saccharin 100</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3113</v>
      </c>
      <c r="D673" s="1" t="s">
        <v>3114</v>
      </c>
      <c r="E673" s="1" t="s">
        <v>3115</v>
      </c>
      <c r="F673" s="1" t="s">
        <v>111</v>
      </c>
      <c r="G673" s="1">
        <v>2827417</v>
      </c>
    </row>
    <row r="674" spans="1:9" x14ac:dyDescent="0.35">
      <c r="A674" s="1" t="str">
        <f t="shared" si="10"/>
        <v>21 Testo +   Saccharin 100</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3116</v>
      </c>
      <c r="D674" s="1" t="s">
        <v>1480</v>
      </c>
      <c r="E674" s="1" t="s">
        <v>3117</v>
      </c>
      <c r="F674" s="1" t="s">
        <v>111</v>
      </c>
      <c r="G674" s="1">
        <v>1303590</v>
      </c>
    </row>
    <row r="675" spans="1:9" x14ac:dyDescent="0.35">
      <c r="A675" s="1" t="str">
        <f t="shared" si="10"/>
        <v>21 Testo +   Saccharin 100</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3118</v>
      </c>
      <c r="D675" s="1" t="s">
        <v>1331</v>
      </c>
      <c r="E675" s="1" t="s">
        <v>3119</v>
      </c>
      <c r="F675" s="1" t="s">
        <v>111</v>
      </c>
      <c r="G675" s="1">
        <v>1233877</v>
      </c>
    </row>
    <row r="676" spans="1:9" x14ac:dyDescent="0.35">
      <c r="A676" s="1" t="str">
        <f t="shared" si="10"/>
        <v>21 Testo +   Saccharin 100</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3120</v>
      </c>
    </row>
    <row r="677" spans="1:9" x14ac:dyDescent="0.35">
      <c r="A677" s="1" t="str">
        <f t="shared" si="10"/>
        <v>21 Testo +   Saccharin 100</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3121</v>
      </c>
      <c r="D677" s="1" t="s">
        <v>3122</v>
      </c>
      <c r="E677" s="1" t="s">
        <v>3123</v>
      </c>
      <c r="F677" s="1" t="s">
        <v>111</v>
      </c>
      <c r="G677" s="1">
        <v>2912033</v>
      </c>
    </row>
    <row r="678" spans="1:9" x14ac:dyDescent="0.35">
      <c r="A678" s="1" t="str">
        <f t="shared" si="10"/>
        <v>21 Testo +   Saccharin 100</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3124</v>
      </c>
      <c r="D678" s="1" t="s">
        <v>3125</v>
      </c>
      <c r="E678" s="1" t="s">
        <v>3126</v>
      </c>
      <c r="F678" s="1" t="s">
        <v>111</v>
      </c>
      <c r="G678" s="1">
        <v>3149551</v>
      </c>
    </row>
    <row r="679" spans="1:9" x14ac:dyDescent="0.35">
      <c r="A679" s="1" t="str">
        <f t="shared" si="10"/>
        <v>21 Testo +   Saccharin 100</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3127</v>
      </c>
      <c r="D679" s="1" t="s">
        <v>1243</v>
      </c>
      <c r="E679" s="1" t="s">
        <v>3128</v>
      </c>
      <c r="F679" s="1" t="s">
        <v>111</v>
      </c>
      <c r="G679" s="1">
        <v>2609322</v>
      </c>
    </row>
    <row r="680" spans="1:9" x14ac:dyDescent="0.35">
      <c r="A680" s="1" t="str">
        <f t="shared" si="10"/>
        <v>21 Testo +   Saccharin 100</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3129</v>
      </c>
      <c r="D680" s="1" t="s">
        <v>365</v>
      </c>
      <c r="E680" s="1" t="s">
        <v>3130</v>
      </c>
      <c r="F680" s="1" t="s">
        <v>111</v>
      </c>
      <c r="G680" s="1">
        <v>27859</v>
      </c>
    </row>
    <row r="681" spans="1:9" x14ac:dyDescent="0.35">
      <c r="A681" s="1" t="str">
        <f t="shared" si="10"/>
        <v>21 Testo +   Saccharin 100</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3131</v>
      </c>
      <c r="D681" s="1" t="s">
        <v>278</v>
      </c>
      <c r="E681" s="1" t="s">
        <v>3132</v>
      </c>
      <c r="F681" s="1" t="s">
        <v>111</v>
      </c>
      <c r="G681" s="1">
        <v>12502</v>
      </c>
    </row>
    <row r="682" spans="1:9" x14ac:dyDescent="0.35">
      <c r="A682" s="1" t="str">
        <f t="shared" si="10"/>
        <v>21 Testo +   Saccharin 100</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3133</v>
      </c>
      <c r="D682" s="1" t="s">
        <v>687</v>
      </c>
      <c r="E682" s="1" t="s">
        <v>688</v>
      </c>
      <c r="F682" s="1" t="s">
        <v>111</v>
      </c>
      <c r="G682" s="1">
        <v>8284</v>
      </c>
    </row>
    <row r="683" spans="1:9" x14ac:dyDescent="0.35">
      <c r="A683" s="1" t="str">
        <f t="shared" si="10"/>
        <v>21 Testo +   Saccharin 100</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3134</v>
      </c>
      <c r="D683" s="1" t="s">
        <v>3135</v>
      </c>
      <c r="E683" s="1" t="s">
        <v>3136</v>
      </c>
      <c r="F683" s="1" t="s">
        <v>111</v>
      </c>
      <c r="G683" s="1">
        <v>3308487</v>
      </c>
    </row>
    <row r="684" spans="1:9" x14ac:dyDescent="0.35">
      <c r="A684" s="1" t="str">
        <f t="shared" si="10"/>
        <v>21 Testo +   Saccharin 100</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3137</v>
      </c>
      <c r="D684" s="1" t="s">
        <v>3138</v>
      </c>
      <c r="E684" s="1" t="s">
        <v>3139</v>
      </c>
      <c r="F684" s="1" t="s">
        <v>111</v>
      </c>
      <c r="G684" s="1">
        <v>2834663</v>
      </c>
    </row>
    <row r="685" spans="1:9" x14ac:dyDescent="0.35">
      <c r="A685" s="1" t="str">
        <f t="shared" si="10"/>
        <v>21 Testo +   Saccharin 100</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3140</v>
      </c>
      <c r="D685" s="1" t="s">
        <v>2198</v>
      </c>
      <c r="E685" s="1" t="s">
        <v>3141</v>
      </c>
      <c r="F685" s="1" t="s">
        <v>111</v>
      </c>
      <c r="G685" s="1">
        <v>3288631</v>
      </c>
    </row>
    <row r="686" spans="1:9" x14ac:dyDescent="0.3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111</v>
      </c>
    </row>
    <row r="687" spans="1:9" x14ac:dyDescent="0.3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234</v>
      </c>
      <c r="D687" s="1" t="s">
        <v>111</v>
      </c>
      <c r="E687" s="1" t="s">
        <v>235</v>
      </c>
      <c r="F687" s="1" t="s">
        <v>236</v>
      </c>
      <c r="G687" s="1" t="s">
        <v>237</v>
      </c>
      <c r="H687" s="1" t="s">
        <v>238</v>
      </c>
      <c r="I687" s="1" t="s">
        <v>239</v>
      </c>
    </row>
    <row r="688" spans="1:9" x14ac:dyDescent="0.35">
      <c r="A688" s="1" t="str">
        <f t="shared" si="10"/>
        <v>21 Testo +   Saccharin 100</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3142</v>
      </c>
      <c r="D688" s="1" t="s">
        <v>111</v>
      </c>
      <c r="E688" s="1" t="s">
        <v>3143</v>
      </c>
      <c r="F688" s="1" t="s">
        <v>3144</v>
      </c>
      <c r="G688" s="1" t="s">
        <v>3145</v>
      </c>
      <c r="H688" s="1" t="s">
        <v>3146</v>
      </c>
      <c r="I688" s="1">
        <v>24</v>
      </c>
    </row>
    <row r="689" spans="1:4" x14ac:dyDescent="0.3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111</v>
      </c>
    </row>
    <row r="690" spans="1:4" x14ac:dyDescent="0.3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111</v>
      </c>
    </row>
    <row r="691" spans="1:4" x14ac:dyDescent="0.3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111</v>
      </c>
    </row>
    <row r="692" spans="1:4" x14ac:dyDescent="0.3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111</v>
      </c>
    </row>
    <row r="693" spans="1:4" x14ac:dyDescent="0.3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 t="s">
        <v>111</v>
      </c>
    </row>
    <row r="694" spans="1:4" x14ac:dyDescent="0.3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111</v>
      </c>
    </row>
    <row r="695" spans="1:4" x14ac:dyDescent="0.3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5" s="1" t="s">
        <v>1579</v>
      </c>
    </row>
    <row r="696" spans="1:4" x14ac:dyDescent="0.3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6" s="1">
        <v>504</v>
      </c>
    </row>
    <row r="697" spans="1:4" x14ac:dyDescent="0.3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4" x14ac:dyDescent="0.3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4" x14ac:dyDescent="0.3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4" x14ac:dyDescent="0.3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4" x14ac:dyDescent="0.3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4" x14ac:dyDescent="0.3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4" x14ac:dyDescent="0.3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4" x14ac:dyDescent="0.3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J19" zoomScale="70" zoomScaleNormal="70" zoomScaleSheetLayoutView="40" zoomScalePageLayoutView="30" workbookViewId="0">
      <selection activeCell="R65" sqref="R65"/>
    </sheetView>
  </sheetViews>
  <sheetFormatPr baseColWidth="10" defaultColWidth="9.1796875" defaultRowHeight="14.5" x14ac:dyDescent="0.35"/>
  <cols>
    <col min="1" max="1" width="33.54296875" style="1" customWidth="1"/>
    <col min="2" max="2" width="14.81640625" style="1" customWidth="1"/>
    <col min="3" max="5" width="25.81640625" style="1" bestFit="1" customWidth="1"/>
    <col min="6" max="8" width="26.453125" style="1" bestFit="1" customWidth="1"/>
    <col min="9" max="9" width="26.453125" style="1" customWidth="1"/>
    <col min="10" max="10" width="25.81640625" style="1" bestFit="1" customWidth="1"/>
    <col min="11" max="11" width="26.453125" style="1" bestFit="1" customWidth="1"/>
    <col min="12" max="13" width="26.453125" style="1" customWidth="1"/>
    <col min="14" max="14" width="11.7265625" style="1" customWidth="1"/>
    <col min="15" max="15" width="14.81640625" style="1" customWidth="1"/>
    <col min="16" max="16" width="17.7265625" style="1" customWidth="1"/>
    <col min="17" max="18" width="25.81640625" style="1" bestFit="1" customWidth="1"/>
    <col min="19" max="22" width="25.81640625" style="1" customWidth="1"/>
    <col min="23" max="16384" width="9.1796875" style="1"/>
  </cols>
  <sheetData>
    <row r="1" spans="1:22" ht="26.5" thickBot="1" x14ac:dyDescent="0.65">
      <c r="A1" s="210" t="s">
        <v>43</v>
      </c>
      <c r="B1" s="211"/>
      <c r="C1" s="211"/>
      <c r="D1" s="211"/>
      <c r="E1" s="211"/>
      <c r="F1" s="211"/>
      <c r="G1" s="211"/>
      <c r="H1" s="211"/>
      <c r="I1" s="211"/>
      <c r="J1" s="211"/>
      <c r="K1" s="211"/>
      <c r="L1" s="211"/>
      <c r="M1" s="211"/>
      <c r="N1" s="211"/>
      <c r="O1" s="211"/>
      <c r="P1" s="211"/>
      <c r="Q1" s="211"/>
      <c r="R1" s="211"/>
      <c r="S1" s="211"/>
      <c r="T1" s="211"/>
      <c r="U1" s="211"/>
      <c r="V1" s="211"/>
    </row>
    <row r="2" spans="1:22" ht="15" thickBot="1" x14ac:dyDescent="0.4"/>
    <row r="3" spans="1:22" ht="15" thickBot="1" x14ac:dyDescent="0.4">
      <c r="A3" s="152" t="s">
        <v>22</v>
      </c>
      <c r="B3" s="218" t="s">
        <v>6</v>
      </c>
      <c r="C3" s="219"/>
      <c r="D3" s="219"/>
      <c r="E3" s="219"/>
      <c r="F3" s="219"/>
      <c r="G3" s="219"/>
      <c r="H3" s="219"/>
      <c r="I3" s="219"/>
      <c r="J3" s="219"/>
      <c r="K3" s="219"/>
      <c r="L3" s="219"/>
      <c r="M3" s="219"/>
      <c r="O3" s="218" t="s">
        <v>3</v>
      </c>
      <c r="P3" s="219"/>
      <c r="Q3" s="219"/>
      <c r="R3" s="219"/>
      <c r="S3" s="219"/>
      <c r="T3" s="219"/>
      <c r="U3" s="219"/>
      <c r="V3" s="219"/>
    </row>
    <row r="4" spans="1:22" x14ac:dyDescent="0.3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Saccharin-0,01mg/L</v>
      </c>
      <c r="J4" s="35" t="str">
        <f>'Page de garde'!A15</f>
        <v>Saccharin-0,1mg/L</v>
      </c>
      <c r="K4" s="35" t="str">
        <f>'Page de garde'!A16</f>
        <v>Saccharin-1mg/L</v>
      </c>
      <c r="L4" s="35" t="str">
        <f>'Page de garde'!A17</f>
        <v>Saccharin-10mg/L</v>
      </c>
      <c r="M4" s="35" t="str">
        <f>'Page de garde'!A18</f>
        <v>Saccharin-100mg/L</v>
      </c>
      <c r="N4" s="3"/>
      <c r="O4" s="36" t="str">
        <f>'Page de garde'!A35</f>
        <v>Testo -30µg/L</v>
      </c>
      <c r="P4" s="36" t="str">
        <f>'Page de garde'!A36</f>
        <v>Testo 30µg/L + EE2 -64ng/L</v>
      </c>
      <c r="Q4" s="36" t="str">
        <f>'Page de garde'!A37</f>
        <v>Testo 30µg/L + FAD-10mg/L</v>
      </c>
      <c r="R4" s="36" t="str">
        <f>'Page de garde'!A38</f>
        <v>Saccharin-0,01mg/L + Testostérone</v>
      </c>
      <c r="S4" s="36" t="str">
        <f>'Page de garde'!A39</f>
        <v>Saccharin-0,1mg/L + Testostérone</v>
      </c>
      <c r="T4" s="36" t="str">
        <f>'Page de garde'!A40</f>
        <v>Saccharin-1mg/L + Testostérone</v>
      </c>
      <c r="U4" s="36" t="str">
        <f>'Page de garde'!A41</f>
        <v>Saccharin-10mg/L + Testostérone</v>
      </c>
      <c r="V4" s="36" t="str">
        <f>'Page de garde'!A42</f>
        <v>Saccharin-100mg/L + Testostérone</v>
      </c>
    </row>
    <row r="5" spans="1:22" x14ac:dyDescent="0.35">
      <c r="A5" s="220" t="s">
        <v>33</v>
      </c>
      <c r="B5" s="32">
        <v>84991</v>
      </c>
      <c r="C5" s="32">
        <v>77392</v>
      </c>
      <c r="D5" s="32">
        <v>480602</v>
      </c>
      <c r="E5" s="32">
        <v>214532.33333333334</v>
      </c>
      <c r="F5" s="32">
        <v>462022</v>
      </c>
      <c r="G5" s="32">
        <v>1765071.6666666667</v>
      </c>
      <c r="H5" s="32">
        <v>4584723</v>
      </c>
      <c r="I5" s="32">
        <v>244389</v>
      </c>
      <c r="J5" s="32">
        <v>47694</v>
      </c>
      <c r="K5" s="13">
        <v>43649</v>
      </c>
      <c r="L5" s="13">
        <v>194041.66666666666</v>
      </c>
      <c r="M5" s="13">
        <v>195339.66666666666</v>
      </c>
      <c r="N5" s="3"/>
      <c r="O5" s="32">
        <v>191933</v>
      </c>
      <c r="P5" s="13">
        <v>4769211.333333333</v>
      </c>
      <c r="Q5" s="13">
        <v>373663.66666666669</v>
      </c>
      <c r="R5" s="32">
        <v>171575.66666666666</v>
      </c>
      <c r="S5" s="32">
        <v>2679288</v>
      </c>
      <c r="T5" s="32">
        <v>251242</v>
      </c>
      <c r="U5" s="32">
        <v>3095591</v>
      </c>
      <c r="V5" s="32">
        <v>129923.66666666667</v>
      </c>
    </row>
    <row r="6" spans="1:22" ht="16.5" x14ac:dyDescent="0.35">
      <c r="A6" s="220"/>
      <c r="B6" s="14">
        <v>133607.66666666666</v>
      </c>
      <c r="C6" s="13">
        <v>422100</v>
      </c>
      <c r="D6" s="32">
        <v>96534</v>
      </c>
      <c r="E6" s="32">
        <v>27397.666666666668</v>
      </c>
      <c r="F6" s="32">
        <v>4129817.6666666665</v>
      </c>
      <c r="G6" s="32">
        <v>2948883</v>
      </c>
      <c r="H6" s="32">
        <v>4530763.666666667</v>
      </c>
      <c r="I6" s="32">
        <v>121553</v>
      </c>
      <c r="J6" s="32">
        <v>30584.5</v>
      </c>
      <c r="K6" s="13">
        <v>302725</v>
      </c>
      <c r="L6" s="13">
        <v>269133.66666666669</v>
      </c>
      <c r="M6" s="13">
        <v>17405</v>
      </c>
      <c r="N6" s="3"/>
      <c r="O6" s="32">
        <v>169751.33333333334</v>
      </c>
      <c r="P6" s="13">
        <v>4135874</v>
      </c>
      <c r="Q6" s="13">
        <v>189780.66666666666</v>
      </c>
      <c r="R6" s="32">
        <v>727370</v>
      </c>
      <c r="S6" s="32">
        <v>323421</v>
      </c>
      <c r="T6" s="32">
        <v>1509716.3333333333</v>
      </c>
      <c r="U6" s="32">
        <v>1251873.3333333333</v>
      </c>
      <c r="V6" s="32">
        <v>1394436</v>
      </c>
    </row>
    <row r="7" spans="1:22" ht="16.5" x14ac:dyDescent="0.35">
      <c r="A7" s="220"/>
      <c r="B7" s="14">
        <v>308961.33333333331</v>
      </c>
      <c r="C7" s="13">
        <v>353742.66666666669</v>
      </c>
      <c r="D7" s="32">
        <v>317786.33333333331</v>
      </c>
      <c r="E7" s="32">
        <v>510235</v>
      </c>
      <c r="F7" s="32">
        <v>222744.33333333334</v>
      </c>
      <c r="G7" s="32">
        <v>711263</v>
      </c>
      <c r="H7" s="32">
        <v>6242330</v>
      </c>
      <c r="I7" s="32">
        <v>88177.666666666672</v>
      </c>
      <c r="J7" s="32">
        <v>210430</v>
      </c>
      <c r="K7" s="13">
        <v>182653.5</v>
      </c>
      <c r="L7" s="13">
        <v>32607</v>
      </c>
      <c r="M7" s="13">
        <v>229637.33333333334</v>
      </c>
      <c r="N7" s="3"/>
      <c r="O7" s="32"/>
      <c r="P7" s="13">
        <v>3867959</v>
      </c>
      <c r="Q7" s="13">
        <v>177689.66666666666</v>
      </c>
      <c r="R7" s="32">
        <v>3921554</v>
      </c>
      <c r="S7" s="32">
        <v>187499</v>
      </c>
      <c r="T7" s="32"/>
      <c r="U7" s="32">
        <v>1789499</v>
      </c>
      <c r="V7" s="32">
        <v>1663165.6666666667</v>
      </c>
    </row>
    <row r="8" spans="1:22" ht="16.5" x14ac:dyDescent="0.35">
      <c r="A8" s="220"/>
      <c r="B8" s="14">
        <v>336431.33333333331</v>
      </c>
      <c r="C8" s="13">
        <v>48537.5</v>
      </c>
      <c r="D8" s="32">
        <v>147970.33333333334</v>
      </c>
      <c r="E8" s="32">
        <v>605593.66666666663</v>
      </c>
      <c r="F8" s="32">
        <v>1541411</v>
      </c>
      <c r="G8" s="32">
        <v>3175420</v>
      </c>
      <c r="H8" s="32">
        <v>5161354.333333333</v>
      </c>
      <c r="I8" s="32">
        <v>307995</v>
      </c>
      <c r="J8" s="32">
        <v>633705.33333333337</v>
      </c>
      <c r="K8" s="13">
        <v>153399.33333333334</v>
      </c>
      <c r="L8" s="13">
        <v>129815.33333333333</v>
      </c>
      <c r="M8" s="13">
        <v>153896.5</v>
      </c>
      <c r="N8" s="3"/>
      <c r="O8" s="32">
        <v>370239</v>
      </c>
      <c r="P8" s="13">
        <v>3691134.3333333335</v>
      </c>
      <c r="Q8" s="13">
        <v>159614.33333333334</v>
      </c>
      <c r="R8" s="32">
        <v>308060</v>
      </c>
      <c r="S8" s="32">
        <v>1033700</v>
      </c>
      <c r="T8" s="32">
        <v>2037579.6666666667</v>
      </c>
      <c r="U8" s="32">
        <v>5103436.666666667</v>
      </c>
      <c r="V8" s="32">
        <v>2766737.6666666665</v>
      </c>
    </row>
    <row r="9" spans="1:22" ht="16.5" x14ac:dyDescent="0.35">
      <c r="A9" s="220"/>
      <c r="B9" s="14">
        <v>115994</v>
      </c>
      <c r="C9" s="13">
        <v>215332.66666666666</v>
      </c>
      <c r="D9" s="32">
        <v>343756.33333333331</v>
      </c>
      <c r="E9" s="32">
        <v>828915.33333333337</v>
      </c>
      <c r="F9" s="32">
        <v>471322.66666666669</v>
      </c>
      <c r="G9" s="32">
        <v>2361645.6666666665</v>
      </c>
      <c r="H9" s="32">
        <v>3967658</v>
      </c>
      <c r="I9" s="32">
        <v>124472.66666666667</v>
      </c>
      <c r="J9" s="32">
        <v>13648.333333333334</v>
      </c>
      <c r="K9" s="13">
        <v>16669.666666666668</v>
      </c>
      <c r="L9" s="13">
        <v>428170.66666666669</v>
      </c>
      <c r="M9" s="13">
        <v>269400.66666666669</v>
      </c>
      <c r="N9" s="3"/>
      <c r="O9" s="32">
        <v>2455591.6666666665</v>
      </c>
      <c r="P9" s="13">
        <v>3366419</v>
      </c>
      <c r="Q9" s="13">
        <v>301557</v>
      </c>
      <c r="R9" s="32">
        <v>9084.3333333333339</v>
      </c>
      <c r="S9" s="32">
        <v>2401113</v>
      </c>
      <c r="T9" s="32">
        <v>2512997.3333333335</v>
      </c>
      <c r="U9" s="32">
        <v>225744</v>
      </c>
      <c r="V9" s="32">
        <v>1268733.5</v>
      </c>
    </row>
    <row r="10" spans="1:22" ht="16.5" x14ac:dyDescent="0.35">
      <c r="A10" s="220"/>
      <c r="B10" s="14">
        <v>45855.5</v>
      </c>
      <c r="C10" s="13">
        <v>581346.5</v>
      </c>
      <c r="D10" s="32">
        <v>916026.33333333337</v>
      </c>
      <c r="E10" s="32">
        <v>236299</v>
      </c>
      <c r="F10" s="32">
        <v>554713</v>
      </c>
      <c r="G10" s="32">
        <v>1303359.6666666667</v>
      </c>
      <c r="H10" s="32">
        <v>5456905.333333333</v>
      </c>
      <c r="I10" s="32">
        <v>75502.666666666672</v>
      </c>
      <c r="J10" s="32">
        <v>432432.33333333331</v>
      </c>
      <c r="K10" s="13">
        <v>178829</v>
      </c>
      <c r="L10" s="13">
        <v>92868</v>
      </c>
      <c r="M10" s="13">
        <v>76029</v>
      </c>
      <c r="N10" s="3"/>
      <c r="O10" s="32">
        <v>4495914.5</v>
      </c>
      <c r="P10" s="13">
        <v>7430763</v>
      </c>
      <c r="Q10" s="13">
        <v>31197.666666666668</v>
      </c>
      <c r="R10" s="32">
        <v>2983872.6666666665</v>
      </c>
      <c r="S10" s="32">
        <v>4181109</v>
      </c>
      <c r="T10" s="32">
        <v>2869126</v>
      </c>
      <c r="U10" s="32">
        <v>3139658.3333333335</v>
      </c>
      <c r="V10" s="32">
        <v>2890302</v>
      </c>
    </row>
    <row r="11" spans="1:22" ht="16.5" x14ac:dyDescent="0.35">
      <c r="A11" s="220"/>
      <c r="B11" s="14">
        <v>285312.66666666669</v>
      </c>
      <c r="C11" s="13">
        <v>340180.66666666669</v>
      </c>
      <c r="D11" s="32">
        <v>399093.33333333331</v>
      </c>
      <c r="E11" s="32">
        <v>71292</v>
      </c>
      <c r="F11" s="32">
        <v>295681</v>
      </c>
      <c r="G11" s="32">
        <v>2438684</v>
      </c>
      <c r="H11" s="32">
        <v>7565293.666666667</v>
      </c>
      <c r="I11" s="32">
        <v>342120</v>
      </c>
      <c r="J11" s="32">
        <v>192625</v>
      </c>
      <c r="K11" s="13">
        <v>300432.33333333331</v>
      </c>
      <c r="L11" s="13">
        <v>355595.33333333331</v>
      </c>
      <c r="M11" s="13">
        <v>12769</v>
      </c>
      <c r="N11" s="3"/>
      <c r="O11" s="32">
        <v>3018228.3333333335</v>
      </c>
      <c r="P11" s="13">
        <v>4414978.666666667</v>
      </c>
      <c r="Q11" s="13">
        <v>243502.33333333334</v>
      </c>
      <c r="R11" s="32">
        <v>543963</v>
      </c>
      <c r="S11" s="32">
        <v>241317.66666666666</v>
      </c>
      <c r="T11" s="32">
        <v>487920</v>
      </c>
      <c r="U11" s="32">
        <v>2591189.3333333335</v>
      </c>
      <c r="V11" s="32">
        <v>16215</v>
      </c>
    </row>
    <row r="12" spans="1:22" ht="16.5" x14ac:dyDescent="0.35">
      <c r="A12" s="220"/>
      <c r="B12" s="14">
        <v>186651.66666666666</v>
      </c>
      <c r="C12" s="13">
        <v>799214</v>
      </c>
      <c r="D12" s="32">
        <v>231519.33333333334</v>
      </c>
      <c r="E12" s="32">
        <v>467544.66666666669</v>
      </c>
      <c r="F12" s="32">
        <v>536774.66666666663</v>
      </c>
      <c r="G12" s="32">
        <v>3963981</v>
      </c>
      <c r="H12" s="32">
        <v>3849566.3333333335</v>
      </c>
      <c r="I12" s="32">
        <v>446174.33333333331</v>
      </c>
      <c r="J12" s="32"/>
      <c r="K12" s="13">
        <v>41450</v>
      </c>
      <c r="L12" s="13">
        <v>44420.666666666664</v>
      </c>
      <c r="M12" s="13">
        <v>648550.66666666663</v>
      </c>
      <c r="N12" s="3"/>
      <c r="O12" s="32">
        <v>289934.66666666669</v>
      </c>
      <c r="P12" s="13">
        <v>1514027.6666666667</v>
      </c>
      <c r="Q12" s="13">
        <v>257965</v>
      </c>
      <c r="R12" s="32">
        <v>4025316.3333333335</v>
      </c>
      <c r="S12" s="32">
        <v>1817250.3333333333</v>
      </c>
      <c r="T12" s="32">
        <v>1435093</v>
      </c>
      <c r="U12" s="32">
        <v>1152779.6666666667</v>
      </c>
      <c r="V12" s="32">
        <v>3143927</v>
      </c>
    </row>
    <row r="13" spans="1:22" ht="16.5" x14ac:dyDescent="0.35">
      <c r="A13" s="220"/>
      <c r="B13" s="14"/>
      <c r="C13" s="13"/>
      <c r="D13" s="32"/>
      <c r="E13" s="32"/>
      <c r="F13" s="32"/>
      <c r="G13" s="32"/>
      <c r="H13" s="32"/>
      <c r="I13" s="32"/>
      <c r="J13" s="32"/>
      <c r="K13" s="13"/>
      <c r="L13" s="13"/>
      <c r="M13" s="13"/>
      <c r="N13" s="3"/>
      <c r="O13" s="32">
        <v>4417718.333333333</v>
      </c>
      <c r="P13" s="13"/>
      <c r="Q13" s="13"/>
      <c r="R13" s="32"/>
      <c r="S13" s="32"/>
      <c r="T13" s="32"/>
      <c r="U13" s="32"/>
      <c r="V13" s="32"/>
    </row>
    <row r="14" spans="1:22" ht="16.5" x14ac:dyDescent="0.35">
      <c r="A14" s="220"/>
      <c r="B14" s="14"/>
      <c r="C14" s="32"/>
      <c r="D14" s="32"/>
      <c r="E14" s="32"/>
      <c r="F14" s="32"/>
      <c r="G14" s="32"/>
      <c r="H14" s="32"/>
      <c r="I14" s="32"/>
      <c r="J14" s="32"/>
      <c r="K14" s="13"/>
      <c r="L14" s="13"/>
      <c r="M14" s="13"/>
      <c r="N14" s="3"/>
      <c r="O14" s="32">
        <v>4547923.333333333</v>
      </c>
      <c r="P14" s="13"/>
      <c r="Q14" s="13"/>
      <c r="R14" s="32"/>
      <c r="S14" s="32"/>
      <c r="T14" s="32"/>
      <c r="U14" s="32"/>
      <c r="V14" s="32"/>
    </row>
    <row r="15" spans="1:22" ht="16.5" x14ac:dyDescent="0.35">
      <c r="A15" s="220"/>
      <c r="B15" s="14"/>
      <c r="C15" s="32"/>
      <c r="D15" s="32"/>
      <c r="E15" s="32"/>
      <c r="F15" s="32"/>
      <c r="G15" s="32"/>
      <c r="H15" s="32"/>
      <c r="I15" s="32"/>
      <c r="J15" s="32"/>
      <c r="K15" s="13"/>
      <c r="L15" s="13"/>
      <c r="M15" s="13"/>
      <c r="N15" s="3"/>
      <c r="O15" s="32">
        <v>4869462.5</v>
      </c>
      <c r="P15" s="13"/>
      <c r="Q15" s="13"/>
      <c r="R15" s="32"/>
      <c r="S15" s="32"/>
      <c r="T15" s="32"/>
      <c r="U15" s="32"/>
      <c r="V15" s="32"/>
    </row>
    <row r="16" spans="1:22" ht="16.5" x14ac:dyDescent="0.35">
      <c r="A16" s="220"/>
      <c r="B16" s="14"/>
      <c r="C16" s="32"/>
      <c r="D16" s="32"/>
      <c r="E16" s="32"/>
      <c r="F16" s="32"/>
      <c r="G16" s="32"/>
      <c r="H16" s="32"/>
      <c r="I16" s="32"/>
      <c r="J16" s="32"/>
      <c r="K16" s="13"/>
      <c r="L16" s="13"/>
      <c r="M16" s="13"/>
      <c r="N16" s="3"/>
      <c r="O16" s="32">
        <v>2694490</v>
      </c>
      <c r="P16" s="13"/>
      <c r="Q16" s="13"/>
      <c r="R16" s="32"/>
      <c r="S16" s="32"/>
      <c r="T16" s="32"/>
      <c r="U16" s="32"/>
      <c r="V16" s="32"/>
    </row>
    <row r="17" spans="1:22" ht="16.5" x14ac:dyDescent="0.35">
      <c r="A17" s="220"/>
      <c r="B17" s="14"/>
      <c r="C17" s="32"/>
      <c r="D17" s="32"/>
      <c r="E17" s="32"/>
      <c r="F17" s="32"/>
      <c r="G17" s="32"/>
      <c r="H17" s="32"/>
      <c r="I17" s="32"/>
      <c r="J17" s="32"/>
      <c r="K17" s="13"/>
      <c r="L17" s="13"/>
      <c r="M17" s="13"/>
      <c r="N17" s="3"/>
      <c r="O17" s="32">
        <v>1788936.6666666667</v>
      </c>
      <c r="P17" s="13"/>
      <c r="Q17" s="13"/>
      <c r="R17" s="32"/>
      <c r="S17" s="32"/>
      <c r="T17" s="32"/>
      <c r="U17" s="32"/>
      <c r="V17" s="32"/>
    </row>
    <row r="18" spans="1:22" ht="16.5" x14ac:dyDescent="0.35">
      <c r="A18" s="220"/>
      <c r="B18" s="14"/>
      <c r="C18" s="32"/>
      <c r="D18" s="32"/>
      <c r="E18" s="32"/>
      <c r="F18" s="32"/>
      <c r="G18" s="32"/>
      <c r="H18" s="32"/>
      <c r="I18" s="32"/>
      <c r="J18" s="32"/>
      <c r="K18" s="13"/>
      <c r="L18" s="13"/>
      <c r="M18" s="13"/>
      <c r="N18" s="3"/>
      <c r="O18" s="32">
        <v>3187994</v>
      </c>
      <c r="P18" s="13"/>
      <c r="Q18" s="13"/>
      <c r="R18" s="32"/>
      <c r="S18" s="32"/>
      <c r="T18" s="32"/>
      <c r="U18" s="32"/>
      <c r="V18" s="32"/>
    </row>
    <row r="19" spans="1:22" ht="16.5" x14ac:dyDescent="0.35">
      <c r="A19" s="220"/>
      <c r="B19" s="14"/>
      <c r="C19" s="32"/>
      <c r="D19" s="32"/>
      <c r="E19" s="32"/>
      <c r="F19" s="32"/>
      <c r="G19" s="32"/>
      <c r="H19" s="32"/>
      <c r="I19" s="32"/>
      <c r="J19" s="32"/>
      <c r="K19" s="13"/>
      <c r="L19" s="13"/>
      <c r="M19" s="13"/>
      <c r="N19" s="3"/>
      <c r="O19" s="32">
        <v>3509234</v>
      </c>
      <c r="P19" s="13"/>
      <c r="Q19" s="13"/>
      <c r="R19" s="32"/>
      <c r="S19" s="32"/>
      <c r="T19" s="32"/>
      <c r="U19" s="32"/>
      <c r="V19" s="32"/>
    </row>
    <row r="20" spans="1:22" ht="16.5" x14ac:dyDescent="0.35">
      <c r="A20" s="220"/>
      <c r="B20" s="14"/>
      <c r="C20" s="32"/>
      <c r="D20" s="32"/>
      <c r="E20" s="32"/>
      <c r="F20" s="32"/>
      <c r="G20" s="32"/>
      <c r="H20" s="32"/>
      <c r="I20" s="32"/>
      <c r="J20" s="32"/>
      <c r="K20" s="13"/>
      <c r="L20" s="13"/>
      <c r="M20" s="13"/>
      <c r="N20" s="3"/>
      <c r="O20" s="32">
        <v>3199609.3333333335</v>
      </c>
      <c r="P20" s="13"/>
      <c r="Q20" s="13"/>
      <c r="R20" s="32"/>
      <c r="S20" s="32"/>
      <c r="T20" s="32"/>
      <c r="U20" s="32"/>
      <c r="V20" s="32"/>
    </row>
    <row r="21" spans="1:22" x14ac:dyDescent="0.35">
      <c r="A21" s="3"/>
      <c r="B21" s="7"/>
      <c r="C21" s="7"/>
      <c r="D21" s="7"/>
      <c r="E21" s="7"/>
      <c r="F21" s="7"/>
      <c r="G21" s="7"/>
      <c r="H21" s="7"/>
      <c r="I21" s="7"/>
      <c r="J21" s="7"/>
      <c r="N21" s="3"/>
      <c r="O21" s="7"/>
      <c r="R21" s="7"/>
      <c r="S21" s="7"/>
      <c r="T21" s="7"/>
      <c r="U21" s="7"/>
      <c r="V21" s="7"/>
    </row>
    <row r="22" spans="1:22" x14ac:dyDescent="0.3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Saccharin-0,01mg/L</v>
      </c>
      <c r="J22" s="3" t="str">
        <f t="shared" si="0"/>
        <v>Saccharin-0,1mg/L</v>
      </c>
      <c r="K22" s="3" t="str">
        <f t="shared" si="0"/>
        <v>Saccharin-1mg/L</v>
      </c>
      <c r="L22" s="3" t="str">
        <f t="shared" si="0"/>
        <v>Saccharin-10mg/L</v>
      </c>
      <c r="M22" s="3" t="str">
        <f t="shared" si="0"/>
        <v>Saccharin-100mg/L</v>
      </c>
      <c r="N22" s="3" t="s">
        <v>41</v>
      </c>
      <c r="O22" s="3" t="str">
        <f t="shared" si="0"/>
        <v>Testo -30µg/L</v>
      </c>
      <c r="P22" s="3" t="str">
        <f t="shared" si="0"/>
        <v>Testo 30µg/L + EE2 -64ng/L</v>
      </c>
      <c r="Q22" s="3" t="str">
        <f t="shared" si="0"/>
        <v>Testo 30µg/L + FAD-10mg/L</v>
      </c>
      <c r="R22" s="3" t="str">
        <f t="shared" si="0"/>
        <v>Saccharin-0,01mg/L + Testostérone</v>
      </c>
      <c r="S22" s="3" t="str">
        <f t="shared" si="0"/>
        <v>Saccharin-0,1mg/L + Testostérone</v>
      </c>
      <c r="T22" s="3" t="str">
        <f t="shared" si="0"/>
        <v>Saccharin-1mg/L + Testostérone</v>
      </c>
      <c r="U22" s="3" t="str">
        <f t="shared" si="0"/>
        <v>Saccharin-10mg/L + Testostérone</v>
      </c>
      <c r="V22" s="3" t="str">
        <f t="shared" si="0"/>
        <v>Saccharin-100mg/L + Testostérone</v>
      </c>
    </row>
    <row r="23" spans="1:22" x14ac:dyDescent="0.35">
      <c r="A23" s="5" t="s">
        <v>0</v>
      </c>
      <c r="B23" s="5">
        <f t="shared" ref="B23:J23" si="1">AVERAGE(B5:B20)</f>
        <v>187225.64583333334</v>
      </c>
      <c r="C23" s="5">
        <f t="shared" si="1"/>
        <v>354730.75</v>
      </c>
      <c r="D23" s="5">
        <f t="shared" si="1"/>
        <v>366661.00000000006</v>
      </c>
      <c r="E23" s="5">
        <f t="shared" si="1"/>
        <v>370226.20833333331</v>
      </c>
      <c r="F23" s="5">
        <f t="shared" si="1"/>
        <v>1026810.7916666666</v>
      </c>
      <c r="G23" s="5">
        <f t="shared" si="1"/>
        <v>2333538.5</v>
      </c>
      <c r="H23" s="5">
        <f t="shared" si="1"/>
        <v>5169824.291666667</v>
      </c>
      <c r="I23" s="5">
        <f t="shared" si="1"/>
        <v>218798.04166666666</v>
      </c>
      <c r="J23" s="5">
        <f t="shared" si="1"/>
        <v>223017.07142857142</v>
      </c>
      <c r="K23" s="5"/>
      <c r="L23" s="5">
        <f>AVERAGE(L5:L20)</f>
        <v>193331.54166666669</v>
      </c>
      <c r="M23" s="5"/>
      <c r="N23" s="5" t="s">
        <v>0</v>
      </c>
      <c r="O23" s="5">
        <f>AVERAGE(O5:O20)</f>
        <v>2613797.3777777776</v>
      </c>
      <c r="P23" s="5">
        <f>AVERAGE(P5:P20)</f>
        <v>4148795.875</v>
      </c>
      <c r="Q23" s="5">
        <f>AVERAGE(Q5:Q20)</f>
        <v>216871.29166666669</v>
      </c>
      <c r="R23" s="5">
        <f>AVERAGE(R5:R20)</f>
        <v>1586349.5</v>
      </c>
      <c r="S23" s="5">
        <f>AVERAGE(S5:S20)</f>
        <v>1608087.25</v>
      </c>
      <c r="T23" s="5">
        <f t="shared" ref="T23:V23" si="2">AVERAGE(T5:T20)</f>
        <v>1586239.1904761905</v>
      </c>
      <c r="U23" s="5">
        <f t="shared" si="2"/>
        <v>2293721.416666667</v>
      </c>
      <c r="V23" s="5">
        <f t="shared" si="2"/>
        <v>1659180.0625</v>
      </c>
    </row>
    <row r="24" spans="1:22" x14ac:dyDescent="0.35">
      <c r="A24" s="3" t="s">
        <v>1</v>
      </c>
      <c r="B24" s="3">
        <f t="shared" ref="B24:J24" si="3">STDEV(B5:B20)</f>
        <v>110252.68633017219</v>
      </c>
      <c r="C24" s="3">
        <f t="shared" si="3"/>
        <v>251786.26678537152</v>
      </c>
      <c r="D24" s="3">
        <f t="shared" si="3"/>
        <v>255736.33405111745</v>
      </c>
      <c r="E24" s="3">
        <f t="shared" si="3"/>
        <v>278756.69054098619</v>
      </c>
      <c r="F24" s="3">
        <f t="shared" si="3"/>
        <v>1318283.724463803</v>
      </c>
      <c r="G24" s="3">
        <f t="shared" si="3"/>
        <v>1053823.1361276449</v>
      </c>
      <c r="H24" s="3">
        <f t="shared" si="3"/>
        <v>1248430.7955501883</v>
      </c>
      <c r="I24" s="3">
        <f t="shared" si="3"/>
        <v>137044.51795090106</v>
      </c>
      <c r="J24" s="3">
        <f t="shared" si="3"/>
        <v>232810.88719216373</v>
      </c>
      <c r="K24" s="3"/>
      <c r="L24" s="3">
        <f>STDEV(L5:L20)</f>
        <v>146072.13387389877</v>
      </c>
      <c r="M24" s="3"/>
      <c r="N24" s="3" t="s">
        <v>1</v>
      </c>
      <c r="O24" s="3">
        <f>STDEV(O5:O20)</f>
        <v>1695545.1788023093</v>
      </c>
      <c r="P24" s="3">
        <f>STDEV(P5:P20)</f>
        <v>1650527.3757721025</v>
      </c>
      <c r="Q24" s="3">
        <f>STDEV(Q5:Q20)</f>
        <v>102939.3575277994</v>
      </c>
      <c r="R24" s="3">
        <f>STDEV(R5:R20)</f>
        <v>1744485.1930079455</v>
      </c>
      <c r="S24" s="3">
        <f>STDEV(S5:S20)</f>
        <v>1429633.7775399012</v>
      </c>
      <c r="T24" s="3">
        <f t="shared" ref="T24:V24" si="4">STDEV(T5:T20)</f>
        <v>976866.66679392278</v>
      </c>
      <c r="U24" s="3">
        <f t="shared" si="4"/>
        <v>1524071.4920489485</v>
      </c>
      <c r="V24" s="3">
        <f t="shared" si="4"/>
        <v>1207555.4812800954</v>
      </c>
    </row>
    <row r="25" spans="1:22" ht="15" thickBot="1" x14ac:dyDescent="0.4"/>
    <row r="26" spans="1:22" ht="15" thickBot="1" x14ac:dyDescent="0.4">
      <c r="B26" s="218" t="s">
        <v>6</v>
      </c>
      <c r="C26" s="219"/>
      <c r="D26" s="219"/>
      <c r="E26" s="219"/>
      <c r="F26" s="219"/>
      <c r="G26" s="219"/>
      <c r="H26" s="219"/>
      <c r="I26" s="219"/>
      <c r="J26" s="219"/>
      <c r="K26" s="219"/>
      <c r="L26" s="219"/>
      <c r="M26" s="219"/>
      <c r="O26" s="218" t="s">
        <v>3</v>
      </c>
      <c r="P26" s="219"/>
      <c r="Q26" s="219"/>
      <c r="R26" s="219"/>
      <c r="S26" s="219"/>
      <c r="T26" s="219"/>
      <c r="U26" s="219"/>
      <c r="V26" s="219"/>
    </row>
    <row r="27" spans="1:22" x14ac:dyDescent="0.3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Saccharin-0,01mg/L</v>
      </c>
      <c r="J27" s="35" t="str">
        <f t="shared" si="5"/>
        <v>Saccharin-0,1mg/L</v>
      </c>
      <c r="K27" s="35" t="str">
        <f t="shared" si="5"/>
        <v>Saccharin-1mg/L</v>
      </c>
      <c r="L27" s="35" t="str">
        <f t="shared" si="5"/>
        <v>Saccharin-10mg/L</v>
      </c>
      <c r="M27" s="35" t="str">
        <f t="shared" si="5"/>
        <v>Saccharin-100mg/L</v>
      </c>
      <c r="N27" s="3"/>
      <c r="O27" s="36" t="str">
        <f>O4</f>
        <v>Testo -30µg/L</v>
      </c>
      <c r="P27" s="36" t="str">
        <f t="shared" ref="P27:V27" si="6">P4</f>
        <v>Testo 30µg/L + EE2 -64ng/L</v>
      </c>
      <c r="Q27" s="36" t="str">
        <f t="shared" si="6"/>
        <v>Testo 30µg/L + FAD-10mg/L</v>
      </c>
      <c r="R27" s="36" t="str">
        <f t="shared" si="6"/>
        <v>Saccharin-0,01mg/L + Testostérone</v>
      </c>
      <c r="S27" s="36" t="str">
        <f t="shared" si="6"/>
        <v>Saccharin-0,1mg/L + Testostérone</v>
      </c>
      <c r="T27" s="36" t="str">
        <f t="shared" si="6"/>
        <v>Saccharin-1mg/L + Testostérone</v>
      </c>
      <c r="U27" s="36" t="str">
        <f t="shared" si="6"/>
        <v>Saccharin-10mg/L + Testostérone</v>
      </c>
      <c r="V27" s="36" t="str">
        <f t="shared" si="6"/>
        <v>Saccharin-100mg/L + Testostérone</v>
      </c>
    </row>
    <row r="28" spans="1:22" x14ac:dyDescent="0.35">
      <c r="A28" s="221" t="s">
        <v>34</v>
      </c>
      <c r="B28" s="11">
        <f t="shared" ref="B28:M28" si="7">IF(B5="","",(B5/$O$23))</f>
        <v>3.2516292472624039E-2</v>
      </c>
      <c r="C28" s="11">
        <f t="shared" si="7"/>
        <v>2.9609028097578798E-2</v>
      </c>
      <c r="D28" s="11">
        <f t="shared" si="7"/>
        <v>0.18387117688847124</v>
      </c>
      <c r="E28" s="11">
        <f t="shared" si="7"/>
        <v>8.2076879851997714E-2</v>
      </c>
      <c r="F28" s="11">
        <f t="shared" si="7"/>
        <v>0.17676274524110439</v>
      </c>
      <c r="G28" s="11">
        <f t="shared" si="7"/>
        <v>0.67529016658793639</v>
      </c>
      <c r="H28" s="11">
        <f t="shared" si="7"/>
        <v>1.754046828181411</v>
      </c>
      <c r="I28" s="11">
        <f t="shared" si="7"/>
        <v>9.349959644070685E-2</v>
      </c>
      <c r="J28" s="11">
        <f t="shared" si="7"/>
        <v>1.8247015015582013E-2</v>
      </c>
      <c r="K28" s="11">
        <f t="shared" si="7"/>
        <v>1.6699458179543325E-2</v>
      </c>
      <c r="L28" s="11">
        <f t="shared" si="7"/>
        <v>7.4237455556573712E-2</v>
      </c>
      <c r="M28" s="11">
        <f t="shared" si="7"/>
        <v>7.4734051050560898E-2</v>
      </c>
      <c r="N28" s="6"/>
      <c r="O28" s="11">
        <f t="shared" ref="O28:V37" si="8">IF(O5="","",(O5/$O$23))</f>
        <v>7.3430711053501546E-2</v>
      </c>
      <c r="P28" s="11">
        <f t="shared" si="8"/>
        <v>1.8246293204976987</v>
      </c>
      <c r="Q28" s="11">
        <f t="shared" si="8"/>
        <v>0.14295816111972365</v>
      </c>
      <c r="R28" s="11">
        <f t="shared" si="8"/>
        <v>6.5642298108255975E-2</v>
      </c>
      <c r="S28" s="11">
        <f t="shared" si="8"/>
        <v>1.0250557379768672</v>
      </c>
      <c r="T28" s="11">
        <f t="shared" si="8"/>
        <v>9.6121452311503666E-2</v>
      </c>
      <c r="U28" s="11">
        <f t="shared" si="8"/>
        <v>1.1843270738269078</v>
      </c>
      <c r="V28" s="11">
        <f t="shared" si="8"/>
        <v>4.9706862426010377E-2</v>
      </c>
    </row>
    <row r="29" spans="1:22" x14ac:dyDescent="0.35">
      <c r="A29" s="221"/>
      <c r="B29" s="11">
        <f t="shared" ref="B29:M29" si="9">IF(B6="","",(B6/$O$23))</f>
        <v>5.1116306031440913E-2</v>
      </c>
      <c r="C29" s="11">
        <f t="shared" si="9"/>
        <v>0.16148918182742417</v>
      </c>
      <c r="D29" s="11">
        <f t="shared" si="9"/>
        <v>3.6932472585947791E-2</v>
      </c>
      <c r="E29" s="11">
        <f t="shared" si="9"/>
        <v>1.0481939763043098E-2</v>
      </c>
      <c r="F29" s="11">
        <f t="shared" si="9"/>
        <v>1.5800068137560812</v>
      </c>
      <c r="G29" s="11">
        <f t="shared" si="9"/>
        <v>1.1281987751120588</v>
      </c>
      <c r="H29" s="11">
        <f t="shared" si="9"/>
        <v>1.7334027898209439</v>
      </c>
      <c r="I29" s="11">
        <f t="shared" si="9"/>
        <v>4.6504369861807365E-2</v>
      </c>
      <c r="J29" s="11">
        <f t="shared" si="9"/>
        <v>1.1701174796495746E-2</v>
      </c>
      <c r="K29" s="11">
        <f t="shared" si="9"/>
        <v>0.11581808237078176</v>
      </c>
      <c r="L29" s="11">
        <f t="shared" si="9"/>
        <v>0.10296653786357428</v>
      </c>
      <c r="M29" s="11">
        <f t="shared" si="9"/>
        <v>6.6588941239192545E-3</v>
      </c>
      <c r="N29" s="6"/>
      <c r="O29" s="11">
        <f t="shared" si="8"/>
        <v>6.4944335309439369E-2</v>
      </c>
      <c r="P29" s="11">
        <f t="shared" si="8"/>
        <v>1.5823238768095618</v>
      </c>
      <c r="Q29" s="11">
        <f t="shared" si="8"/>
        <v>7.2607260333245924E-2</v>
      </c>
      <c r="R29" s="11">
        <f t="shared" si="8"/>
        <v>0.27828094334473708</v>
      </c>
      <c r="S29" s="11">
        <f t="shared" si="8"/>
        <v>0.12373606414548056</v>
      </c>
      <c r="T29" s="11">
        <f t="shared" si="8"/>
        <v>0.57759501412342751</v>
      </c>
      <c r="U29" s="11">
        <f t="shared" si="8"/>
        <v>0.47894811739296428</v>
      </c>
      <c r="V29" s="11">
        <f t="shared" si="8"/>
        <v>0.53349047323076526</v>
      </c>
    </row>
    <row r="30" spans="1:22" x14ac:dyDescent="0.35">
      <c r="A30" s="221"/>
      <c r="B30" s="11">
        <f t="shared" ref="B30:M30" si="10">IF(B7="","",(B7/$O$23))</f>
        <v>0.11820401074700324</v>
      </c>
      <c r="C30" s="11">
        <f t="shared" si="10"/>
        <v>0.13533668281793707</v>
      </c>
      <c r="D30" s="11">
        <f t="shared" si="10"/>
        <v>0.12158032448693931</v>
      </c>
      <c r="E30" s="11">
        <f t="shared" si="10"/>
        <v>0.19520832193725601</v>
      </c>
      <c r="F30" s="11">
        <f t="shared" si="10"/>
        <v>8.5218668909488371E-2</v>
      </c>
      <c r="G30" s="11">
        <f t="shared" si="10"/>
        <v>0.27211864471480501</v>
      </c>
      <c r="H30" s="11">
        <f t="shared" si="10"/>
        <v>2.3882226116957703</v>
      </c>
      <c r="I30" s="11">
        <f t="shared" si="10"/>
        <v>3.3735463741888967E-2</v>
      </c>
      <c r="J30" s="11">
        <f t="shared" si="10"/>
        <v>8.0507388135382288E-2</v>
      </c>
      <c r="K30" s="11">
        <f t="shared" si="10"/>
        <v>6.9880512373644676E-2</v>
      </c>
      <c r="L30" s="11">
        <f t="shared" si="10"/>
        <v>1.247495321451509E-2</v>
      </c>
      <c r="M30" s="11">
        <f t="shared" si="10"/>
        <v>8.7855828185338727E-2</v>
      </c>
      <c r="N30" s="6"/>
      <c r="O30" s="11" t="str">
        <f t="shared" si="8"/>
        <v/>
      </c>
      <c r="P30" s="11">
        <f t="shared" si="8"/>
        <v>1.4798235826866186</v>
      </c>
      <c r="Q30" s="11">
        <f t="shared" si="8"/>
        <v>6.7981423570688745E-2</v>
      </c>
      <c r="R30" s="11">
        <f t="shared" si="8"/>
        <v>1.5003282325327234</v>
      </c>
      <c r="S30" s="11">
        <f t="shared" si="8"/>
        <v>7.1734328603317229E-2</v>
      </c>
      <c r="T30" s="11" t="str">
        <f t="shared" si="8"/>
        <v/>
      </c>
      <c r="U30" s="11">
        <f t="shared" si="8"/>
        <v>0.68463570099737903</v>
      </c>
      <c r="V30" s="11">
        <f t="shared" si="8"/>
        <v>0.63630244670329894</v>
      </c>
    </row>
    <row r="31" spans="1:22" x14ac:dyDescent="0.35">
      <c r="A31" s="221"/>
      <c r="B31" s="11">
        <f t="shared" ref="B31:M31" si="11">IF(B8="","",(B8/$O$23))</f>
        <v>0.12871362416751814</v>
      </c>
      <c r="C31" s="11">
        <f t="shared" si="11"/>
        <v>1.8569725569648424E-2</v>
      </c>
      <c r="D31" s="11">
        <f t="shared" si="11"/>
        <v>5.6611248672663421E-2</v>
      </c>
      <c r="E31" s="11">
        <f t="shared" si="11"/>
        <v>0.23169112947138076</v>
      </c>
      <c r="F31" s="11">
        <f t="shared" si="11"/>
        <v>0.58972092217434657</v>
      </c>
      <c r="G31" s="11">
        <f t="shared" si="11"/>
        <v>1.2148684618773731</v>
      </c>
      <c r="H31" s="11">
        <f t="shared" si="11"/>
        <v>1.9746573996954044</v>
      </c>
      <c r="I31" s="11">
        <f t="shared" si="11"/>
        <v>0.11783430598658494</v>
      </c>
      <c r="J31" s="11">
        <f t="shared" si="11"/>
        <v>0.2424462350146295</v>
      </c>
      <c r="K31" s="11">
        <f t="shared" si="11"/>
        <v>5.868830332355441E-2</v>
      </c>
      <c r="L31" s="11">
        <f t="shared" si="11"/>
        <v>4.9665415703990384E-2</v>
      </c>
      <c r="M31" s="11">
        <f t="shared" si="11"/>
        <v>5.8878511895532296E-2</v>
      </c>
      <c r="N31" s="6"/>
      <c r="O31" s="11">
        <f t="shared" si="8"/>
        <v>0.14164793459039018</v>
      </c>
      <c r="P31" s="11">
        <f t="shared" si="8"/>
        <v>1.4121730952502125</v>
      </c>
      <c r="Q31" s="11">
        <f t="shared" si="8"/>
        <v>6.1066069883747354E-2</v>
      </c>
      <c r="R31" s="11">
        <f t="shared" si="8"/>
        <v>0.11785917401979694</v>
      </c>
      <c r="S31" s="11">
        <f t="shared" si="8"/>
        <v>0.39547824509596863</v>
      </c>
      <c r="T31" s="11">
        <f t="shared" si="8"/>
        <v>0.77954767419615179</v>
      </c>
      <c r="U31" s="11">
        <f t="shared" si="8"/>
        <v>1.9524989618765147</v>
      </c>
      <c r="V31" s="11">
        <f t="shared" si="8"/>
        <v>1.0585126797467816</v>
      </c>
    </row>
    <row r="32" spans="1:22" x14ac:dyDescent="0.35">
      <c r="A32" s="221"/>
      <c r="B32" s="11">
        <f t="shared" ref="B32:M32" si="12">IF(B9="","",(B9/$O$23))</f>
        <v>4.4377579144492391E-2</v>
      </c>
      <c r="C32" s="11">
        <f t="shared" si="12"/>
        <v>8.2383075481443843E-2</v>
      </c>
      <c r="D32" s="11">
        <f t="shared" si="12"/>
        <v>0.13151606021794668</v>
      </c>
      <c r="E32" s="11">
        <f t="shared" si="12"/>
        <v>0.31713067752714186</v>
      </c>
      <c r="F32" s="11">
        <f t="shared" si="12"/>
        <v>0.1803210419728021</v>
      </c>
      <c r="G32" s="11">
        <f t="shared" si="12"/>
        <v>0.90353050574812044</v>
      </c>
      <c r="H32" s="11">
        <f t="shared" si="12"/>
        <v>1.5179669371974274</v>
      </c>
      <c r="I32" s="11">
        <f t="shared" si="12"/>
        <v>4.7621390902339945E-2</v>
      </c>
      <c r="J32" s="11">
        <f t="shared" si="12"/>
        <v>5.2216493326414613E-3</v>
      </c>
      <c r="K32" s="11">
        <f t="shared" si="12"/>
        <v>6.3775665276851103E-3</v>
      </c>
      <c r="L32" s="11">
        <f t="shared" si="12"/>
        <v>0.16381172860104895</v>
      </c>
      <c r="M32" s="11">
        <f t="shared" si="12"/>
        <v>0.10306868809230661</v>
      </c>
      <c r="N32" s="6"/>
      <c r="O32" s="11">
        <f t="shared" si="8"/>
        <v>0.93947284802710462</v>
      </c>
      <c r="P32" s="11">
        <f t="shared" si="8"/>
        <v>1.2879418384228747</v>
      </c>
      <c r="Q32" s="11">
        <f t="shared" si="8"/>
        <v>0.11537122294321854</v>
      </c>
      <c r="R32" s="11">
        <f t="shared" si="8"/>
        <v>3.4755308160331604E-3</v>
      </c>
      <c r="S32" s="11">
        <f t="shared" si="8"/>
        <v>0.91863012045769221</v>
      </c>
      <c r="T32" s="11">
        <f t="shared" si="8"/>
        <v>0.96143540226130941</v>
      </c>
      <c r="U32" s="11">
        <f t="shared" si="8"/>
        <v>8.6366296760128025E-2</v>
      </c>
      <c r="V32" s="11">
        <f t="shared" si="8"/>
        <v>0.4853985663872169</v>
      </c>
    </row>
    <row r="33" spans="1:22" x14ac:dyDescent="0.35">
      <c r="A33" s="221"/>
      <c r="B33" s="11">
        <f t="shared" ref="B33:M33" si="13">IF(B10="","",(B10/$O$23))</f>
        <v>1.7543632260808927E-2</v>
      </c>
      <c r="C33" s="11">
        <f t="shared" si="13"/>
        <v>0.2224145241488667</v>
      </c>
      <c r="D33" s="11">
        <f t="shared" si="13"/>
        <v>0.35045805046760325</v>
      </c>
      <c r="E33" s="11">
        <f t="shared" si="13"/>
        <v>9.0404482768629474E-2</v>
      </c>
      <c r="F33" s="11">
        <f t="shared" si="13"/>
        <v>0.21222494318653384</v>
      </c>
      <c r="G33" s="11">
        <f t="shared" si="13"/>
        <v>0.4986460227359969</v>
      </c>
      <c r="H33" s="11">
        <f t="shared" si="13"/>
        <v>2.0877308163698349</v>
      </c>
      <c r="I33" s="11">
        <f t="shared" si="13"/>
        <v>2.8886197265550181E-2</v>
      </c>
      <c r="J33" s="11">
        <f t="shared" si="13"/>
        <v>0.16544217888112758</v>
      </c>
      <c r="K33" s="11">
        <f t="shared" si="13"/>
        <v>6.8417315557963598E-2</v>
      </c>
      <c r="L33" s="11">
        <f t="shared" si="13"/>
        <v>3.5529915512791346E-2</v>
      </c>
      <c r="M33" s="11">
        <f t="shared" si="13"/>
        <v>2.9087564570379604E-2</v>
      </c>
      <c r="N33" s="6"/>
      <c r="O33" s="11">
        <f t="shared" si="8"/>
        <v>1.7200700169889902</v>
      </c>
      <c r="P33" s="11">
        <f t="shared" si="8"/>
        <v>2.8428994011454534</v>
      </c>
      <c r="Q33" s="11">
        <f t="shared" si="8"/>
        <v>1.1935763243128887E-2</v>
      </c>
      <c r="R33" s="11">
        <f t="shared" si="8"/>
        <v>1.1415853011542627</v>
      </c>
      <c r="S33" s="11">
        <f t="shared" si="8"/>
        <v>1.5996301149994778</v>
      </c>
      <c r="T33" s="11">
        <f t="shared" si="8"/>
        <v>1.0976849331906897</v>
      </c>
      <c r="U33" s="11">
        <f t="shared" si="8"/>
        <v>1.201186580117636</v>
      </c>
      <c r="V33" s="11">
        <f t="shared" si="8"/>
        <v>1.1057865558260311</v>
      </c>
    </row>
    <row r="34" spans="1:22" x14ac:dyDescent="0.35">
      <c r="A34" s="221"/>
      <c r="B34" s="11">
        <f t="shared" ref="B34:M34" si="14">IF(B11="","",(B11/$O$23))</f>
        <v>0.10915638262260269</v>
      </c>
      <c r="C34" s="11">
        <f t="shared" si="14"/>
        <v>0.13014806333453613</v>
      </c>
      <c r="D34" s="11">
        <f t="shared" si="14"/>
        <v>0.15268717335413282</v>
      </c>
      <c r="E34" s="11">
        <f t="shared" si="14"/>
        <v>2.7275258826914766E-2</v>
      </c>
      <c r="F34" s="11">
        <f t="shared" si="14"/>
        <v>0.1131231527408543</v>
      </c>
      <c r="G34" s="11">
        <f t="shared" si="14"/>
        <v>0.93300422623935098</v>
      </c>
      <c r="H34" s="11">
        <f t="shared" si="14"/>
        <v>2.8943688332485045</v>
      </c>
      <c r="I34" s="11">
        <f t="shared" si="14"/>
        <v>0.13089002342288167</v>
      </c>
      <c r="J34" s="11">
        <f t="shared" si="14"/>
        <v>7.3695459960927689E-2</v>
      </c>
      <c r="K34" s="11">
        <f t="shared" si="14"/>
        <v>0.11494094220446333</v>
      </c>
      <c r="L34" s="11">
        <f t="shared" si="14"/>
        <v>0.13604548552866658</v>
      </c>
      <c r="M34" s="11">
        <f t="shared" si="14"/>
        <v>4.8852294782145917E-3</v>
      </c>
      <c r="N34" s="6"/>
      <c r="O34" s="11">
        <f t="shared" si="8"/>
        <v>1.1547292682263683</v>
      </c>
      <c r="P34" s="11">
        <f t="shared" si="8"/>
        <v>1.6891051709678562</v>
      </c>
      <c r="Q34" s="11">
        <f t="shared" si="8"/>
        <v>9.3160370962020178E-2</v>
      </c>
      <c r="R34" s="11">
        <f t="shared" si="8"/>
        <v>0.20811215307839642</v>
      </c>
      <c r="S34" s="11">
        <f t="shared" si="8"/>
        <v>9.2324549989346277E-2</v>
      </c>
      <c r="T34" s="11">
        <f t="shared" si="8"/>
        <v>0.18667093484301539</v>
      </c>
      <c r="U34" s="11">
        <f t="shared" si="8"/>
        <v>0.99135049845995893</v>
      </c>
      <c r="V34" s="11">
        <f t="shared" si="8"/>
        <v>6.2036178235766E-3</v>
      </c>
    </row>
    <row r="35" spans="1:22" x14ac:dyDescent="0.35">
      <c r="A35" s="221"/>
      <c r="B35" s="11">
        <f t="shared" ref="B35:M35" si="15">IF(B12="","",(B12/$O$23))</f>
        <v>7.1410151472933184E-2</v>
      </c>
      <c r="C35" s="11">
        <f t="shared" si="15"/>
        <v>0.30576738916139062</v>
      </c>
      <c r="D35" s="11">
        <f t="shared" si="15"/>
        <v>8.8575853393107543E-2</v>
      </c>
      <c r="E35" s="11">
        <f t="shared" si="15"/>
        <v>0.17887563536549575</v>
      </c>
      <c r="F35" s="11">
        <f t="shared" si="15"/>
        <v>0.20536200366190077</v>
      </c>
      <c r="G35" s="11">
        <f t="shared" si="15"/>
        <v>1.5165601716878812</v>
      </c>
      <c r="H35" s="11">
        <f t="shared" si="15"/>
        <v>1.4727868219862525</v>
      </c>
      <c r="I35" s="11">
        <f t="shared" si="15"/>
        <v>0.17069966368726941</v>
      </c>
      <c r="J35" s="11" t="str">
        <f t="shared" si="15"/>
        <v/>
      </c>
      <c r="K35" s="11">
        <f t="shared" si="15"/>
        <v>1.5858153486725257E-2</v>
      </c>
      <c r="L35" s="11">
        <f t="shared" si="15"/>
        <v>1.6994686368701096E-2</v>
      </c>
      <c r="M35" s="11">
        <f t="shared" si="15"/>
        <v>0.24812583874349795</v>
      </c>
      <c r="N35" s="6"/>
      <c r="O35" s="11">
        <f t="shared" si="8"/>
        <v>0.11092469107653861</v>
      </c>
      <c r="P35" s="11">
        <f t="shared" si="8"/>
        <v>0.57924446613144775</v>
      </c>
      <c r="Q35" s="11">
        <f t="shared" si="8"/>
        <v>9.869357211587651E-2</v>
      </c>
      <c r="R35" s="11">
        <f t="shared" si="8"/>
        <v>1.5400261579402204</v>
      </c>
      <c r="S35" s="11">
        <f t="shared" si="8"/>
        <v>0.69525294836677043</v>
      </c>
      <c r="T35" s="11">
        <f t="shared" si="8"/>
        <v>0.54904523671230421</v>
      </c>
      <c r="U35" s="11">
        <f t="shared" si="8"/>
        <v>0.44103635441196576</v>
      </c>
      <c r="V35" s="11">
        <f t="shared" si="8"/>
        <v>1.202819708493599</v>
      </c>
    </row>
    <row r="36" spans="1:22" x14ac:dyDescent="0.35">
      <c r="A36" s="221"/>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1.6901533266856474</v>
      </c>
      <c r="P36" s="11" t="str">
        <f t="shared" si="8"/>
        <v/>
      </c>
      <c r="Q36" s="11" t="str">
        <f t="shared" si="8"/>
        <v/>
      </c>
      <c r="R36" s="11" t="str">
        <f t="shared" si="8"/>
        <v/>
      </c>
      <c r="S36" s="11" t="str">
        <f t="shared" si="8"/>
        <v/>
      </c>
      <c r="T36" s="11" t="str">
        <f t="shared" si="8"/>
        <v/>
      </c>
      <c r="U36" s="11" t="str">
        <f t="shared" si="8"/>
        <v/>
      </c>
      <c r="V36" s="11" t="str">
        <f t="shared" si="8"/>
        <v/>
      </c>
    </row>
    <row r="37" spans="1:22" x14ac:dyDescent="0.35">
      <c r="A37" s="221"/>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1.7399678230605344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5">
      <c r="A38" s="221"/>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ref="O38:V43" si="19">IF(O15="","",(O15/$O$23))</f>
        <v>1.8629839257624341</v>
      </c>
      <c r="P38" s="11" t="str">
        <f t="shared" si="19"/>
        <v/>
      </c>
      <c r="Q38" s="11" t="str">
        <f t="shared" si="19"/>
        <v/>
      </c>
      <c r="R38" s="11" t="str">
        <f t="shared" si="19"/>
        <v/>
      </c>
      <c r="S38" s="11" t="str">
        <f t="shared" si="19"/>
        <v/>
      </c>
      <c r="T38" s="11" t="str">
        <f t="shared" si="19"/>
        <v/>
      </c>
      <c r="U38" s="11" t="str">
        <f t="shared" si="19"/>
        <v/>
      </c>
      <c r="V38" s="11" t="str">
        <f t="shared" si="19"/>
        <v/>
      </c>
    </row>
    <row r="39" spans="1:22" x14ac:dyDescent="0.35">
      <c r="A39" s="221"/>
      <c r="B39" s="11" t="str">
        <f t="shared" ref="B39:M39" si="20">IF(B16="","",(B16/$O$23))</f>
        <v/>
      </c>
      <c r="C39" s="11" t="str">
        <f t="shared" si="20"/>
        <v/>
      </c>
      <c r="D39" s="11" t="str">
        <f t="shared" si="20"/>
        <v/>
      </c>
      <c r="E39" s="11" t="str">
        <f t="shared" si="20"/>
        <v/>
      </c>
      <c r="F39" s="11" t="str">
        <f t="shared" si="20"/>
        <v/>
      </c>
      <c r="G39" s="11" t="str">
        <f t="shared" si="20"/>
        <v/>
      </c>
      <c r="H39" s="11" t="str">
        <f t="shared" si="20"/>
        <v/>
      </c>
      <c r="I39" s="11" t="str">
        <f t="shared" si="20"/>
        <v/>
      </c>
      <c r="J39" s="11" t="str">
        <f t="shared" si="20"/>
        <v/>
      </c>
      <c r="K39" s="11" t="str">
        <f t="shared" si="20"/>
        <v/>
      </c>
      <c r="L39" s="11" t="str">
        <f t="shared" si="20"/>
        <v/>
      </c>
      <c r="M39" s="11" t="str">
        <f t="shared" si="20"/>
        <v/>
      </c>
      <c r="N39" s="6"/>
      <c r="O39" s="11">
        <f t="shared" si="19"/>
        <v>1.030871797067463</v>
      </c>
      <c r="P39" s="11" t="str">
        <f t="shared" si="19"/>
        <v/>
      </c>
      <c r="Q39" s="11" t="str">
        <f t="shared" si="19"/>
        <v/>
      </c>
      <c r="R39" s="11" t="str">
        <f t="shared" si="19"/>
        <v/>
      </c>
      <c r="S39" s="11" t="str">
        <f t="shared" si="19"/>
        <v/>
      </c>
      <c r="T39" s="11" t="str">
        <f t="shared" si="19"/>
        <v/>
      </c>
      <c r="U39" s="11" t="str">
        <f t="shared" si="19"/>
        <v/>
      </c>
      <c r="V39" s="11" t="str">
        <f t="shared" si="19"/>
        <v/>
      </c>
    </row>
    <row r="40" spans="1:22" x14ac:dyDescent="0.35">
      <c r="A40" s="221"/>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si="19"/>
        <v>0.6844205606280015</v>
      </c>
      <c r="P40" s="11" t="str">
        <f t="shared" si="19"/>
        <v/>
      </c>
      <c r="Q40" s="11" t="str">
        <f t="shared" si="19"/>
        <v/>
      </c>
      <c r="R40" s="11" t="str">
        <f t="shared" si="19"/>
        <v/>
      </c>
      <c r="S40" s="11" t="str">
        <f t="shared" si="19"/>
        <v/>
      </c>
      <c r="T40" s="11" t="str">
        <f t="shared" si="19"/>
        <v/>
      </c>
      <c r="U40" s="11" t="str">
        <f t="shared" si="19"/>
        <v/>
      </c>
      <c r="V40" s="11" t="str">
        <f t="shared" si="19"/>
        <v/>
      </c>
    </row>
    <row r="41" spans="1:22" x14ac:dyDescent="0.35">
      <c r="A41" s="221"/>
      <c r="B41" s="11" t="str">
        <f t="shared" ref="B41:M41" si="22">IF(B18="","",(B18/$O$23))</f>
        <v/>
      </c>
      <c r="C41" s="11" t="str">
        <f t="shared" si="22"/>
        <v/>
      </c>
      <c r="D41" s="11" t="str">
        <f t="shared" si="22"/>
        <v/>
      </c>
      <c r="E41" s="11" t="str">
        <f t="shared" si="22"/>
        <v/>
      </c>
      <c r="F41" s="11" t="str">
        <f t="shared" si="22"/>
        <v/>
      </c>
      <c r="G41" s="11" t="str">
        <f t="shared" si="22"/>
        <v/>
      </c>
      <c r="H41" s="11" t="str">
        <f t="shared" si="22"/>
        <v/>
      </c>
      <c r="I41" s="11" t="str">
        <f t="shared" si="22"/>
        <v/>
      </c>
      <c r="J41" s="11" t="str">
        <f t="shared" si="22"/>
        <v/>
      </c>
      <c r="K41" s="11" t="str">
        <f t="shared" si="22"/>
        <v/>
      </c>
      <c r="L41" s="11" t="str">
        <f t="shared" si="22"/>
        <v/>
      </c>
      <c r="M41" s="11" t="str">
        <f t="shared" si="22"/>
        <v/>
      </c>
      <c r="N41" s="6"/>
      <c r="O41" s="11">
        <f t="shared" si="19"/>
        <v>1.2196790872559518</v>
      </c>
      <c r="P41" s="11" t="str">
        <f t="shared" si="19"/>
        <v/>
      </c>
      <c r="Q41" s="11" t="str">
        <f t="shared" si="19"/>
        <v/>
      </c>
      <c r="R41" s="11" t="str">
        <f t="shared" si="19"/>
        <v/>
      </c>
      <c r="S41" s="11" t="str">
        <f t="shared" si="19"/>
        <v/>
      </c>
      <c r="T41" s="11" t="str">
        <f t="shared" si="19"/>
        <v/>
      </c>
      <c r="U41" s="11" t="str">
        <f t="shared" si="19"/>
        <v/>
      </c>
      <c r="V41" s="11" t="str">
        <f t="shared" si="19"/>
        <v/>
      </c>
    </row>
    <row r="42" spans="1:22" x14ac:dyDescent="0.35">
      <c r="A42" s="221"/>
      <c r="B42" s="11" t="str">
        <f t="shared" ref="B42:M42" si="23">IF(B19="","",(B19/$O$23))</f>
        <v/>
      </c>
      <c r="C42" s="11" t="str">
        <f t="shared" si="23"/>
        <v/>
      </c>
      <c r="D42" s="11" t="str">
        <f t="shared" si="23"/>
        <v/>
      </c>
      <c r="E42" s="11" t="str">
        <f t="shared" si="23"/>
        <v/>
      </c>
      <c r="F42" s="11" t="str">
        <f t="shared" si="23"/>
        <v/>
      </c>
      <c r="G42" s="11" t="str">
        <f t="shared" si="23"/>
        <v/>
      </c>
      <c r="H42" s="11" t="str">
        <f t="shared" si="23"/>
        <v/>
      </c>
      <c r="I42" s="11" t="str">
        <f t="shared" si="23"/>
        <v/>
      </c>
      <c r="J42" s="11" t="str">
        <f t="shared" si="23"/>
        <v/>
      </c>
      <c r="K42" s="11" t="str">
        <f t="shared" si="23"/>
        <v/>
      </c>
      <c r="L42" s="11" t="str">
        <f t="shared" si="23"/>
        <v/>
      </c>
      <c r="M42" s="11" t="str">
        <f t="shared" si="23"/>
        <v/>
      </c>
      <c r="N42" s="6"/>
      <c r="O42" s="11">
        <f t="shared" si="19"/>
        <v>1.3425807332408883</v>
      </c>
      <c r="P42" s="11" t="str">
        <f t="shared" si="19"/>
        <v/>
      </c>
      <c r="Q42" s="11" t="str">
        <f t="shared" si="19"/>
        <v/>
      </c>
      <c r="R42" s="11" t="str">
        <f t="shared" si="19"/>
        <v/>
      </c>
      <c r="S42" s="11" t="str">
        <f t="shared" si="19"/>
        <v/>
      </c>
      <c r="T42" s="11" t="str">
        <f t="shared" si="19"/>
        <v/>
      </c>
      <c r="U42" s="11" t="str">
        <f t="shared" si="19"/>
        <v/>
      </c>
      <c r="V42" s="11" t="str">
        <f t="shared" si="19"/>
        <v/>
      </c>
    </row>
    <row r="43" spans="1:22" x14ac:dyDescent="0.35">
      <c r="A43" s="221"/>
      <c r="B43" s="11" t="str">
        <f t="shared" ref="B43:M43" si="24">IF(B20="","",(B20/$O$23))</f>
        <v/>
      </c>
      <c r="C43" s="11" t="str">
        <f t="shared" si="24"/>
        <v/>
      </c>
      <c r="D43" s="11" t="str">
        <f t="shared" si="24"/>
        <v/>
      </c>
      <c r="E43" s="11" t="str">
        <f t="shared" si="24"/>
        <v/>
      </c>
      <c r="F43" s="11" t="str">
        <f t="shared" si="24"/>
        <v/>
      </c>
      <c r="G43" s="11" t="str">
        <f t="shared" si="24"/>
        <v/>
      </c>
      <c r="H43" s="11" t="str">
        <f t="shared" si="24"/>
        <v/>
      </c>
      <c r="I43" s="11" t="str">
        <f t="shared" si="24"/>
        <v/>
      </c>
      <c r="J43" s="11" t="str">
        <f t="shared" si="24"/>
        <v/>
      </c>
      <c r="K43" s="11" t="str">
        <f t="shared" si="24"/>
        <v/>
      </c>
      <c r="L43" s="11" t="str">
        <f t="shared" si="24"/>
        <v/>
      </c>
      <c r="M43" s="11" t="str">
        <f t="shared" si="24"/>
        <v/>
      </c>
      <c r="N43" s="6"/>
      <c r="O43" s="11">
        <f t="shared" si="19"/>
        <v>1.2241229410267473</v>
      </c>
      <c r="P43" s="11" t="str">
        <f t="shared" si="19"/>
        <v/>
      </c>
      <c r="Q43" s="11" t="str">
        <f t="shared" si="19"/>
        <v/>
      </c>
      <c r="R43" s="11" t="str">
        <f t="shared" si="19"/>
        <v/>
      </c>
      <c r="S43" s="11" t="str">
        <f t="shared" si="19"/>
        <v/>
      </c>
      <c r="T43" s="11" t="str">
        <f t="shared" si="19"/>
        <v/>
      </c>
      <c r="U43" s="11" t="str">
        <f t="shared" si="19"/>
        <v/>
      </c>
      <c r="V43" s="11" t="str">
        <f t="shared" si="19"/>
        <v/>
      </c>
    </row>
    <row r="44" spans="1:22" x14ac:dyDescent="0.35">
      <c r="A44" s="7"/>
      <c r="B44" s="3"/>
      <c r="C44" s="3"/>
      <c r="D44" s="3"/>
      <c r="E44" s="3"/>
      <c r="F44" s="3"/>
      <c r="G44" s="3"/>
      <c r="H44" s="3"/>
      <c r="I44" s="3"/>
      <c r="J44" s="3"/>
      <c r="K44" s="3"/>
      <c r="L44" s="3"/>
      <c r="M44" s="3"/>
      <c r="N44" s="7"/>
      <c r="O44" s="3"/>
      <c r="P44" s="3"/>
      <c r="Q44" s="3"/>
      <c r="R44" s="3"/>
      <c r="S44" s="3"/>
      <c r="T44" s="3"/>
      <c r="U44" s="3"/>
      <c r="V44" s="3"/>
    </row>
    <row r="45" spans="1:22" x14ac:dyDescent="0.35">
      <c r="A45" s="7" t="str">
        <f>A4</f>
        <v>Noms des groupes</v>
      </c>
      <c r="B45" s="7" t="str">
        <f t="shared" ref="B45:V45" si="25">B4</f>
        <v>Témoin solvant</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Saccharin-0,01mg/L</v>
      </c>
      <c r="J45" s="7" t="str">
        <f t="shared" si="25"/>
        <v>Saccharin-0,1mg/L</v>
      </c>
      <c r="K45" s="7" t="str">
        <f t="shared" si="25"/>
        <v>Saccharin-1mg/L</v>
      </c>
      <c r="L45" s="7" t="str">
        <f t="shared" si="25"/>
        <v>Saccharin-10mg/L</v>
      </c>
      <c r="M45" s="7" t="str">
        <f t="shared" si="25"/>
        <v>Saccharin-100mg/L</v>
      </c>
      <c r="N45" s="7"/>
      <c r="O45" s="7" t="str">
        <f t="shared" si="25"/>
        <v>Testo -30µg/L</v>
      </c>
      <c r="P45" s="7" t="str">
        <f t="shared" si="25"/>
        <v>Testo 30µg/L + EE2 -64ng/L</v>
      </c>
      <c r="Q45" s="7" t="str">
        <f t="shared" si="25"/>
        <v>Testo 30µg/L + FAD-10mg/L</v>
      </c>
      <c r="R45" s="7" t="str">
        <f t="shared" si="25"/>
        <v>Saccharin-0,01mg/L + Testostérone</v>
      </c>
      <c r="S45" s="7" t="str">
        <f t="shared" si="25"/>
        <v>Saccharin-0,1mg/L + Testostérone</v>
      </c>
      <c r="T45" s="7" t="str">
        <f t="shared" si="25"/>
        <v>Saccharin-1mg/L + Testostérone</v>
      </c>
      <c r="U45" s="7" t="str">
        <f t="shared" si="25"/>
        <v>Saccharin-10mg/L + Testostérone</v>
      </c>
      <c r="V45" s="7" t="str">
        <f t="shared" si="25"/>
        <v>Saccharin-100mg/L + Testostérone</v>
      </c>
    </row>
    <row r="46" spans="1:22" x14ac:dyDescent="0.35">
      <c r="A46" s="8" t="s">
        <v>0</v>
      </c>
      <c r="B46" s="10">
        <f t="shared" ref="B46:H46" si="26">AVERAGE(B28:B43)</f>
        <v>7.1629747364927929E-2</v>
      </c>
      <c r="C46" s="10">
        <f t="shared" si="26"/>
        <v>0.13571470880485323</v>
      </c>
      <c r="D46" s="10">
        <f t="shared" si="26"/>
        <v>0.14027904500835151</v>
      </c>
      <c r="E46" s="10">
        <f t="shared" si="26"/>
        <v>0.14164304068898242</v>
      </c>
      <c r="F46" s="10">
        <f t="shared" si="26"/>
        <v>0.39284253645538897</v>
      </c>
      <c r="G46" s="10">
        <f t="shared" si="26"/>
        <v>0.89277712183794034</v>
      </c>
      <c r="H46" s="10">
        <f t="shared" si="26"/>
        <v>1.9778978797744435</v>
      </c>
      <c r="I46" s="10">
        <f>AVERAGE(I28:I43)</f>
        <v>8.3708876413628674E-2</v>
      </c>
      <c r="J46" s="9">
        <f>AVERAGE(J28:J43)</f>
        <v>8.5323014448112328E-2</v>
      </c>
      <c r="K46" s="9">
        <f t="shared" ref="K46:M46" si="27">AVERAGE(K28:K43)</f>
        <v>5.8335041753045186E-2</v>
      </c>
      <c r="L46" s="9">
        <f t="shared" si="27"/>
        <v>7.3965772293732676E-2</v>
      </c>
      <c r="M46" s="9">
        <f t="shared" si="27"/>
        <v>7.666182576746873E-2</v>
      </c>
      <c r="N46" s="8" t="s">
        <v>0</v>
      </c>
      <c r="O46" s="10">
        <f t="shared" ref="O46:V46" si="28">AVERAGE(O28:O43)</f>
        <v>1.0000000000000002</v>
      </c>
      <c r="P46" s="10">
        <f t="shared" si="28"/>
        <v>1.5872675939889653</v>
      </c>
      <c r="Q46" s="10">
        <f t="shared" si="28"/>
        <v>8.2971730521456219E-2</v>
      </c>
      <c r="R46" s="10">
        <f t="shared" si="28"/>
        <v>0.60691372387430331</v>
      </c>
      <c r="S46" s="10">
        <f t="shared" si="28"/>
        <v>0.61523026370436495</v>
      </c>
      <c r="T46" s="10">
        <f t="shared" si="28"/>
        <v>0.60687152109120024</v>
      </c>
      <c r="U46" s="10">
        <f t="shared" si="28"/>
        <v>0.87754369798043186</v>
      </c>
      <c r="V46" s="10">
        <f t="shared" si="28"/>
        <v>0.63477761382966003</v>
      </c>
    </row>
    <row r="47" spans="1:22" x14ac:dyDescent="0.35">
      <c r="A47" s="8" t="s">
        <v>1</v>
      </c>
      <c r="B47" s="8">
        <f t="shared" ref="B47:M47" si="29">STDEV(B28:B43)</f>
        <v>4.2181037928773146E-2</v>
      </c>
      <c r="C47" s="8">
        <f t="shared" si="29"/>
        <v>9.6329680688346825E-2</v>
      </c>
      <c r="D47" s="8">
        <f t="shared" si="29"/>
        <v>9.7840917672257291E-2</v>
      </c>
      <c r="E47" s="8">
        <f t="shared" si="29"/>
        <v>0.1066481636682879</v>
      </c>
      <c r="F47" s="8">
        <f t="shared" si="29"/>
        <v>0.50435574527379534</v>
      </c>
      <c r="G47" s="8">
        <f t="shared" si="29"/>
        <v>0.4031770576736875</v>
      </c>
      <c r="H47" s="8">
        <f t="shared" si="29"/>
        <v>0.47763105364027603</v>
      </c>
      <c r="I47" s="8">
        <f t="shared" si="29"/>
        <v>5.2431194214225867E-2</v>
      </c>
      <c r="J47" s="8">
        <f t="shared" si="29"/>
        <v>8.9069982689360963E-2</v>
      </c>
      <c r="K47" s="8">
        <f t="shared" si="29"/>
        <v>4.306305997907732E-2</v>
      </c>
      <c r="L47" s="8">
        <f t="shared" si="29"/>
        <v>5.5885025792660227E-2</v>
      </c>
      <c r="M47" s="8">
        <f t="shared" si="29"/>
        <v>7.8246952403871375E-2</v>
      </c>
      <c r="N47" s="8" t="s">
        <v>1</v>
      </c>
      <c r="O47" s="8">
        <f t="shared" ref="O47:V47" si="30">STDEV(O28:O43)</f>
        <v>0.64869036644448796</v>
      </c>
      <c r="P47" s="8">
        <f t="shared" si="30"/>
        <v>0.63146722458470106</v>
      </c>
      <c r="Q47" s="8">
        <f t="shared" si="30"/>
        <v>3.9383067104963317E-2</v>
      </c>
      <c r="R47" s="8">
        <f t="shared" si="30"/>
        <v>0.66741408796235302</v>
      </c>
      <c r="S47" s="8">
        <f t="shared" si="30"/>
        <v>0.54695661939769824</v>
      </c>
      <c r="T47" s="8">
        <f t="shared" si="30"/>
        <v>0.373734657131091</v>
      </c>
      <c r="U47" s="8">
        <f t="shared" si="30"/>
        <v>0.58308708433424861</v>
      </c>
      <c r="V47" s="8">
        <f t="shared" si="30"/>
        <v>0.46199276636613112</v>
      </c>
    </row>
    <row r="48" spans="1:22" x14ac:dyDescent="0.35">
      <c r="A48" s="8" t="s">
        <v>2</v>
      </c>
      <c r="B48" s="8">
        <f t="shared" ref="B48:M48" si="31" xml:space="preserve"> B47/SQRT(COUNT(B28:B43))</f>
        <v>1.4913248978461226E-2</v>
      </c>
      <c r="C48" s="8">
        <f t="shared" si="31"/>
        <v>3.4057685222132421E-2</v>
      </c>
      <c r="D48" s="8">
        <f t="shared" si="31"/>
        <v>3.4591988181783918E-2</v>
      </c>
      <c r="E48" s="8">
        <f t="shared" si="31"/>
        <v>3.7705819865469579E-2</v>
      </c>
      <c r="F48" s="8">
        <f t="shared" si="31"/>
        <v>0.17831668380674784</v>
      </c>
      <c r="G48" s="8">
        <f t="shared" si="31"/>
        <v>0.14254461574995209</v>
      </c>
      <c r="H48" s="8">
        <f t="shared" si="31"/>
        <v>0.1688680784671574</v>
      </c>
      <c r="I48" s="8">
        <f t="shared" si="31"/>
        <v>1.853722648729399E-2</v>
      </c>
      <c r="J48" s="8">
        <f t="shared" si="31"/>
        <v>3.3665289068125305E-2</v>
      </c>
      <c r="K48" s="8">
        <f t="shared" si="31"/>
        <v>1.5225090864924297E-2</v>
      </c>
      <c r="L48" s="8">
        <f t="shared" si="31"/>
        <v>1.975834035238758E-2</v>
      </c>
      <c r="M48" s="8">
        <f t="shared" si="31"/>
        <v>2.7664475325979238E-2</v>
      </c>
      <c r="N48" s="8" t="s">
        <v>2</v>
      </c>
      <c r="O48" s="8">
        <f t="shared" ref="O48:V48" si="32" xml:space="preserve"> O47/SQRT(COUNT(O28:O43))</f>
        <v>0.16749113240564589</v>
      </c>
      <c r="P48" s="8">
        <f t="shared" si="32"/>
        <v>0.22325737830044531</v>
      </c>
      <c r="Q48" s="8">
        <f t="shared" si="32"/>
        <v>1.3924016906922207E-2</v>
      </c>
      <c r="R48" s="8">
        <f t="shared" si="32"/>
        <v>0.23596651372880736</v>
      </c>
      <c r="S48" s="8">
        <f t="shared" si="32"/>
        <v>0.19337836729549096</v>
      </c>
      <c r="T48" s="8">
        <f t="shared" si="32"/>
        <v>0.14125842272783704</v>
      </c>
      <c r="U48" s="8">
        <f t="shared" si="32"/>
        <v>0.20615241567751974</v>
      </c>
      <c r="V48" s="8">
        <f t="shared" si="32"/>
        <v>0.1633391089783118</v>
      </c>
    </row>
    <row r="49" spans="1:22" ht="15" thickBot="1" x14ac:dyDescent="0.4">
      <c r="A49" s="8"/>
      <c r="B49" s="8"/>
      <c r="C49" s="8"/>
      <c r="D49" s="8"/>
      <c r="E49" s="8"/>
      <c r="F49" s="8"/>
      <c r="G49" s="8"/>
      <c r="H49" s="8"/>
      <c r="I49" s="8"/>
      <c r="J49" s="8"/>
      <c r="K49" s="8"/>
      <c r="L49" s="8"/>
      <c r="M49" s="8"/>
      <c r="N49" s="8"/>
      <c r="O49" s="8"/>
      <c r="P49" s="8"/>
      <c r="Q49" s="8"/>
      <c r="R49" s="8"/>
      <c r="S49" s="8"/>
      <c r="T49" s="8"/>
      <c r="U49" s="8"/>
      <c r="V49" s="8"/>
    </row>
    <row r="50" spans="1:22" ht="26.5" thickBot="1" x14ac:dyDescent="0.65">
      <c r="A50" s="212" t="s">
        <v>44</v>
      </c>
      <c r="B50" s="213"/>
      <c r="C50" s="213"/>
      <c r="D50" s="213"/>
      <c r="E50" s="213"/>
      <c r="F50" s="213"/>
      <c r="G50" s="213"/>
      <c r="H50" s="213"/>
      <c r="I50" s="213"/>
      <c r="J50" s="213"/>
      <c r="K50" s="213"/>
      <c r="L50" s="213"/>
      <c r="M50" s="213"/>
      <c r="N50" s="213"/>
      <c r="O50" s="213"/>
      <c r="P50" s="213"/>
      <c r="Q50" s="213"/>
      <c r="R50" s="213"/>
      <c r="S50" s="213"/>
      <c r="T50" s="213"/>
      <c r="U50" s="213"/>
      <c r="V50" s="213"/>
    </row>
    <row r="51" spans="1:22" ht="15" thickBot="1" x14ac:dyDescent="0.4"/>
    <row r="52" spans="1:22" x14ac:dyDescent="0.35">
      <c r="A52" s="45" t="str">
        <f t="shared" ref="A52:H52" si="33">A27</f>
        <v>Noms des groupes</v>
      </c>
      <c r="B52" s="46" t="str">
        <f t="shared" si="33"/>
        <v>Témoin solvant</v>
      </c>
      <c r="C52" s="46" t="str">
        <f t="shared" si="33"/>
        <v>EE2-33,8ng/L</v>
      </c>
      <c r="D52" s="46" t="str">
        <f t="shared" si="33"/>
        <v>EE2-50,6ng/L</v>
      </c>
      <c r="E52" s="46" t="str">
        <f t="shared" si="33"/>
        <v>EE2-76ng/L</v>
      </c>
      <c r="F52" s="46" t="str">
        <f t="shared" si="33"/>
        <v>EE2-114ng/L</v>
      </c>
      <c r="G52" s="46" t="str">
        <f t="shared" si="33"/>
        <v>EE2-170,9ng/L</v>
      </c>
      <c r="H52" s="46" t="str">
        <f t="shared" si="33"/>
        <v>EE2-488ng/L</v>
      </c>
      <c r="I52" s="46" t="str">
        <f>I4</f>
        <v>Saccharin-0,01mg/L</v>
      </c>
      <c r="J52" s="46" t="str">
        <f>J4</f>
        <v>Saccharin-0,1mg/L</v>
      </c>
      <c r="K52" s="46" t="str">
        <f t="shared" ref="K52:M52" si="34">K4</f>
        <v>Saccharin-1mg/L</v>
      </c>
      <c r="L52" s="46" t="str">
        <f t="shared" si="34"/>
        <v>Saccharin-10mg/L</v>
      </c>
      <c r="M52" s="46" t="str">
        <f t="shared" si="34"/>
        <v>Saccharin-100mg/L</v>
      </c>
      <c r="N52" s="47"/>
      <c r="O52" s="46" t="str">
        <f>O27</f>
        <v>Testo -30µg/L</v>
      </c>
      <c r="P52" s="46" t="str">
        <f>P27</f>
        <v>Testo 30µg/L + EE2 -64ng/L</v>
      </c>
      <c r="Q52" s="46" t="str">
        <f>Q27</f>
        <v>Testo 30µg/L + FAD-10mg/L</v>
      </c>
      <c r="R52" s="46" t="str">
        <f>R27</f>
        <v>Saccharin-0,01mg/L + Testostérone</v>
      </c>
      <c r="S52" s="46" t="str">
        <f t="shared" ref="S52:V52" si="35">S27</f>
        <v>Saccharin-0,1mg/L + Testostérone</v>
      </c>
      <c r="T52" s="46" t="str">
        <f t="shared" si="35"/>
        <v>Saccharin-1mg/L + Testostérone</v>
      </c>
      <c r="U52" s="46" t="str">
        <f t="shared" si="35"/>
        <v>Saccharin-10mg/L + Testostérone</v>
      </c>
      <c r="V52" s="46" t="str">
        <f t="shared" si="35"/>
        <v>Saccharin-100mg/L + Testostérone</v>
      </c>
    </row>
    <row r="53" spans="1:22" s="3" customFormat="1" x14ac:dyDescent="0.35">
      <c r="A53" s="61" t="s">
        <v>32</v>
      </c>
      <c r="B53" s="141">
        <f t="shared" ref="B53:V53" si="36">B46</f>
        <v>7.1629747364927929E-2</v>
      </c>
      <c r="C53" s="141">
        <f t="shared" si="36"/>
        <v>0.13571470880485323</v>
      </c>
      <c r="D53" s="141">
        <f t="shared" si="36"/>
        <v>0.14027904500835151</v>
      </c>
      <c r="E53" s="141">
        <f t="shared" si="36"/>
        <v>0.14164304068898242</v>
      </c>
      <c r="F53" s="141">
        <f t="shared" si="36"/>
        <v>0.39284253645538897</v>
      </c>
      <c r="G53" s="141">
        <f t="shared" si="36"/>
        <v>0.89277712183794034</v>
      </c>
      <c r="H53" s="141">
        <f t="shared" si="36"/>
        <v>1.9778978797744435</v>
      </c>
      <c r="I53" s="141">
        <f t="shared" si="36"/>
        <v>8.3708876413628674E-2</v>
      </c>
      <c r="J53" s="141">
        <f t="shared" si="36"/>
        <v>8.5323014448112328E-2</v>
      </c>
      <c r="K53" s="141">
        <f t="shared" si="36"/>
        <v>5.8335041753045186E-2</v>
      </c>
      <c r="L53" s="141">
        <f t="shared" si="36"/>
        <v>7.3965772293732676E-2</v>
      </c>
      <c r="M53" s="141">
        <f t="shared" si="36"/>
        <v>7.666182576746873E-2</v>
      </c>
      <c r="N53" s="141"/>
      <c r="O53" s="141">
        <f t="shared" si="36"/>
        <v>1.0000000000000002</v>
      </c>
      <c r="P53" s="141">
        <f t="shared" si="36"/>
        <v>1.5872675939889653</v>
      </c>
      <c r="Q53" s="141">
        <f t="shared" si="36"/>
        <v>8.2971730521456219E-2</v>
      </c>
      <c r="R53" s="141">
        <f t="shared" si="36"/>
        <v>0.60691372387430331</v>
      </c>
      <c r="S53" s="141">
        <f t="shared" si="36"/>
        <v>0.61523026370436495</v>
      </c>
      <c r="T53" s="141">
        <f t="shared" si="36"/>
        <v>0.60687152109120024</v>
      </c>
      <c r="U53" s="141">
        <f t="shared" si="36"/>
        <v>0.87754369798043186</v>
      </c>
      <c r="V53" s="141">
        <f t="shared" si="36"/>
        <v>0.63477761382966003</v>
      </c>
    </row>
    <row r="54" spans="1:22" s="3" customFormat="1" x14ac:dyDescent="0.35">
      <c r="A54" s="61" t="s">
        <v>2</v>
      </c>
      <c r="B54" s="141">
        <f t="shared" ref="B54:V54" si="37">B48</f>
        <v>1.4913248978461226E-2</v>
      </c>
      <c r="C54" s="141">
        <f t="shared" si="37"/>
        <v>3.4057685222132421E-2</v>
      </c>
      <c r="D54" s="141">
        <f t="shared" si="37"/>
        <v>3.4591988181783918E-2</v>
      </c>
      <c r="E54" s="141">
        <f t="shared" si="37"/>
        <v>3.7705819865469579E-2</v>
      </c>
      <c r="F54" s="141">
        <f t="shared" si="37"/>
        <v>0.17831668380674784</v>
      </c>
      <c r="G54" s="141">
        <f t="shared" si="37"/>
        <v>0.14254461574995209</v>
      </c>
      <c r="H54" s="141">
        <f t="shared" si="37"/>
        <v>0.1688680784671574</v>
      </c>
      <c r="I54" s="141">
        <f t="shared" si="37"/>
        <v>1.853722648729399E-2</v>
      </c>
      <c r="J54" s="141">
        <f t="shared" si="37"/>
        <v>3.3665289068125305E-2</v>
      </c>
      <c r="K54" s="141">
        <f t="shared" si="37"/>
        <v>1.5225090864924297E-2</v>
      </c>
      <c r="L54" s="141">
        <f t="shared" si="37"/>
        <v>1.975834035238758E-2</v>
      </c>
      <c r="M54" s="141">
        <f t="shared" si="37"/>
        <v>2.7664475325979238E-2</v>
      </c>
      <c r="N54" s="141"/>
      <c r="O54" s="141">
        <f t="shared" si="37"/>
        <v>0.16749113240564589</v>
      </c>
      <c r="P54" s="141">
        <f t="shared" si="37"/>
        <v>0.22325737830044531</v>
      </c>
      <c r="Q54" s="141">
        <f t="shared" si="37"/>
        <v>1.3924016906922207E-2</v>
      </c>
      <c r="R54" s="141">
        <f t="shared" si="37"/>
        <v>0.23596651372880736</v>
      </c>
      <c r="S54" s="141">
        <f t="shared" si="37"/>
        <v>0.19337836729549096</v>
      </c>
      <c r="T54" s="141">
        <f t="shared" si="37"/>
        <v>0.14125842272783704</v>
      </c>
      <c r="U54" s="141">
        <f t="shared" si="37"/>
        <v>0.20615241567751974</v>
      </c>
      <c r="V54" s="141">
        <f t="shared" si="37"/>
        <v>0.1633391089783118</v>
      </c>
    </row>
    <row r="55" spans="1:22" s="3" customFormat="1" x14ac:dyDescent="0.35">
      <c r="A55" s="61" t="s">
        <v>79</v>
      </c>
      <c r="B55" s="141">
        <f>(B53*100/$B53)-100</f>
        <v>0</v>
      </c>
      <c r="C55" s="141">
        <f t="shared" ref="C55:V55" si="38">(C53*100/$B53)-100</f>
        <v>89.466965607787728</v>
      </c>
      <c r="D55" s="141">
        <f t="shared" si="38"/>
        <v>95.839089440983201</v>
      </c>
      <c r="E55" s="141">
        <f t="shared" si="38"/>
        <v>97.743320198187803</v>
      </c>
      <c r="F55" s="141">
        <f t="shared" si="38"/>
        <v>448.43490436172669</v>
      </c>
      <c r="G55" s="141">
        <f t="shared" si="38"/>
        <v>1146.3775940595747</v>
      </c>
      <c r="H55" s="141">
        <f t="shared" si="38"/>
        <v>2661.2799884631195</v>
      </c>
      <c r="I55" s="141">
        <f t="shared" si="38"/>
        <v>16.863285845700247</v>
      </c>
      <c r="J55" s="141">
        <f t="shared" si="38"/>
        <v>19.1167323450439</v>
      </c>
      <c r="K55" s="141">
        <f t="shared" si="38"/>
        <v>-18.560313418601041</v>
      </c>
      <c r="L55" s="141">
        <f t="shared" si="38"/>
        <v>3.2612497108269025</v>
      </c>
      <c r="M55" s="141">
        <f t="shared" si="38"/>
        <v>7.0251237616463555</v>
      </c>
      <c r="N55" s="141"/>
      <c r="O55" s="141">
        <f t="shared" si="38"/>
        <v>1296.0680259073904</v>
      </c>
      <c r="P55" s="141">
        <f t="shared" si="38"/>
        <v>2115.9335365269476</v>
      </c>
      <c r="Q55" s="141">
        <f t="shared" si="38"/>
        <v>15.834180035209314</v>
      </c>
      <c r="R55" s="141">
        <f t="shared" si="38"/>
        <v>747.29284438530146</v>
      </c>
      <c r="S55" s="141">
        <f t="shared" si="38"/>
        <v>758.90329972823577</v>
      </c>
      <c r="T55" s="141">
        <f t="shared" si="38"/>
        <v>747.2339264292068</v>
      </c>
      <c r="U55" s="141">
        <f t="shared" si="38"/>
        <v>1125.1106980870122</v>
      </c>
      <c r="V55" s="141">
        <f t="shared" si="38"/>
        <v>786.19273022937693</v>
      </c>
    </row>
    <row r="56" spans="1:22" s="3" customFormat="1" x14ac:dyDescent="0.35">
      <c r="A56" s="61" t="s">
        <v>81</v>
      </c>
      <c r="B56" s="141">
        <f>[1]!SWTEST(B28:B43)</f>
        <v>0.40449460593057363</v>
      </c>
      <c r="C56" s="141">
        <f>[1]!SWTEST(C28:C43)</f>
        <v>0.74901614441937792</v>
      </c>
      <c r="D56" s="141">
        <f>[1]!SWTEST(D28:D43)</f>
        <v>0.15801476598309083</v>
      </c>
      <c r="E56" s="141">
        <f>[1]!SWTEST(E28:E43)</f>
        <v>0.71026850623184334</v>
      </c>
      <c r="F56" s="141">
        <f>[1]!SWTEST(F28:F43)</f>
        <v>3.9934893884274736E-4</v>
      </c>
      <c r="G56" s="141">
        <f>[1]!SWTEST(G28:G43)</f>
        <v>0.99213070037407525</v>
      </c>
      <c r="H56" s="141">
        <f>[1]!SWTEST(H28:H43)</f>
        <v>0.40365562260126331</v>
      </c>
      <c r="I56" s="141">
        <f>[1]!SWTEST(I28:I43)</f>
        <v>0.29033371104874661</v>
      </c>
      <c r="J56" s="141">
        <f>[1]!SWTEST(J28:J43)</f>
        <v>0.17590784747632804</v>
      </c>
      <c r="K56" s="141">
        <f>[1]!SWTEST(K28:K43)</f>
        <v>0.22869841749217645</v>
      </c>
      <c r="L56" s="141">
        <f>[1]!SWTEST(L28:L43)</f>
        <v>0.49633892523037237</v>
      </c>
      <c r="M56" s="141">
        <f>[1]!SWTEST(M28:M43)</f>
        <v>6.2584428368204215E-2</v>
      </c>
      <c r="N56" s="141"/>
      <c r="O56" s="141">
        <f>[1]!SWTEST(O28:O43)</f>
        <v>7.0095288926057209E-2</v>
      </c>
      <c r="P56" s="141">
        <f>[1]!SWTEST(P28:P43)</f>
        <v>0.35355479882899732</v>
      </c>
      <c r="Q56" s="141">
        <f>[1]!SWTEST(Q28:Q43)</f>
        <v>0.94654107378912911</v>
      </c>
      <c r="R56" s="141">
        <f>[1]!SWTEST(R28:R43)</f>
        <v>2.0861145898210864E-2</v>
      </c>
      <c r="S56" s="141">
        <f>[1]!SWTEST(S28:S43)</f>
        <v>0.31142306701597133</v>
      </c>
      <c r="T56" s="141">
        <f>[1]!SWTEST(T28:T43)</f>
        <v>0.71226608271036618</v>
      </c>
      <c r="U56" s="141">
        <f>[1]!SWTEST(U28:U43)</f>
        <v>0.79632981875226472</v>
      </c>
      <c r="V56" s="141">
        <f>[1]!SWTEST(V28:V43)</f>
        <v>0.33487095083176199</v>
      </c>
    </row>
    <row r="57" spans="1:22" s="3" customFormat="1" x14ac:dyDescent="0.35">
      <c r="A57" s="61" t="s">
        <v>85</v>
      </c>
      <c r="B57" s="141" t="str">
        <f>IF(B56&gt;0.05,"Oui","Non")</f>
        <v>Oui</v>
      </c>
      <c r="C57" s="141" t="str">
        <f t="shared" ref="C57:V57" si="39">IF(C56&gt;0.05,"Oui","Non")</f>
        <v>Oui</v>
      </c>
      <c r="D57" s="141" t="str">
        <f t="shared" si="39"/>
        <v>Oui</v>
      </c>
      <c r="E57" s="141" t="str">
        <f t="shared" si="39"/>
        <v>Oui</v>
      </c>
      <c r="F57" s="141" t="str">
        <f t="shared" si="39"/>
        <v>Non</v>
      </c>
      <c r="G57" s="141" t="str">
        <f t="shared" si="39"/>
        <v>Oui</v>
      </c>
      <c r="H57" s="141" t="str">
        <f t="shared" si="39"/>
        <v>Oui</v>
      </c>
      <c r="I57" s="141" t="str">
        <f t="shared" si="39"/>
        <v>Oui</v>
      </c>
      <c r="J57" s="141" t="str">
        <f t="shared" si="39"/>
        <v>Oui</v>
      </c>
      <c r="K57" s="141" t="str">
        <f t="shared" si="39"/>
        <v>Oui</v>
      </c>
      <c r="L57" s="141" t="str">
        <f t="shared" si="39"/>
        <v>Oui</v>
      </c>
      <c r="M57" s="141" t="str">
        <f t="shared" si="39"/>
        <v>Oui</v>
      </c>
      <c r="N57" s="141"/>
      <c r="O57" s="141" t="str">
        <f t="shared" si="39"/>
        <v>Oui</v>
      </c>
      <c r="P57" s="141" t="str">
        <f t="shared" si="39"/>
        <v>Oui</v>
      </c>
      <c r="Q57" s="141" t="str">
        <f t="shared" si="39"/>
        <v>Oui</v>
      </c>
      <c r="R57" s="141" t="str">
        <f t="shared" si="39"/>
        <v>Non</v>
      </c>
      <c r="S57" s="141" t="str">
        <f t="shared" si="39"/>
        <v>Oui</v>
      </c>
      <c r="T57" s="141" t="str">
        <f t="shared" si="39"/>
        <v>Oui</v>
      </c>
      <c r="U57" s="141" t="str">
        <f t="shared" si="39"/>
        <v>Oui</v>
      </c>
      <c r="V57" s="141" t="str">
        <f t="shared" si="39"/>
        <v>Oui</v>
      </c>
    </row>
    <row r="58" spans="1:22" s="3" customFormat="1" x14ac:dyDescent="0.35">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5">
      <c r="A59" s="61" t="s">
        <v>82</v>
      </c>
      <c r="B59" s="150"/>
      <c r="C59" s="150" t="str">
        <f t="shared" ref="C59:O59" si="40">IF($B57="Non",IF(C57="Non","MW",IF(C57="Oui","MW","")),IF($B57="Oui",IF(C57="Oui","T-Test Welch",IF(C57="Non","MW",""))))</f>
        <v>T-Test Welch</v>
      </c>
      <c r="D59" s="150" t="str">
        <f t="shared" si="40"/>
        <v>T-Test Welch</v>
      </c>
      <c r="E59" s="150" t="str">
        <f t="shared" si="40"/>
        <v>T-Test Welch</v>
      </c>
      <c r="F59" s="150" t="str">
        <f t="shared" si="40"/>
        <v>MW</v>
      </c>
      <c r="G59" s="150" t="str">
        <f t="shared" si="40"/>
        <v>T-Test Welch</v>
      </c>
      <c r="H59" s="150" t="str">
        <f t="shared" si="40"/>
        <v>T-Test Welch</v>
      </c>
      <c r="I59" s="150" t="str">
        <f t="shared" si="40"/>
        <v>T-Test Welch</v>
      </c>
      <c r="J59" s="150" t="str">
        <f t="shared" si="40"/>
        <v>T-Test Welch</v>
      </c>
      <c r="K59" s="150" t="str">
        <f t="shared" si="40"/>
        <v>T-Test Welch</v>
      </c>
      <c r="L59" s="150" t="str">
        <f t="shared" si="40"/>
        <v>T-Test Welch</v>
      </c>
      <c r="M59" s="150" t="str">
        <f t="shared" si="40"/>
        <v>T-Test Welch</v>
      </c>
      <c r="N59" s="150"/>
      <c r="O59" s="150" t="str">
        <f t="shared" si="40"/>
        <v>T-Test Welch</v>
      </c>
      <c r="P59" s="150" t="str">
        <f t="shared" ref="P59:V59" si="41">IF($O57="Non",IF(P57="Non","MW",IF(P57="Oui","MW","")),IF($O57="Oui",IF(P57="Oui","T-Test Welch",IF(P57="Non","MW",""))))</f>
        <v>T-Test Welch</v>
      </c>
      <c r="Q59" s="150" t="str">
        <f t="shared" si="41"/>
        <v>T-Test Welch</v>
      </c>
      <c r="R59" s="150" t="str">
        <f t="shared" si="41"/>
        <v>MW</v>
      </c>
      <c r="S59" s="150" t="str">
        <f t="shared" si="41"/>
        <v>T-Test Welch</v>
      </c>
      <c r="T59" s="150" t="str">
        <f t="shared" si="41"/>
        <v>T-Test Welch</v>
      </c>
      <c r="U59" s="150" t="str">
        <f t="shared" si="41"/>
        <v>T-Test Welch</v>
      </c>
      <c r="V59" s="150" t="str">
        <f t="shared" si="41"/>
        <v>T-Test Welch</v>
      </c>
    </row>
    <row r="60" spans="1:22" s="3" customFormat="1" x14ac:dyDescent="0.35">
      <c r="A60" s="61" t="s">
        <v>83</v>
      </c>
      <c r="B60" s="151"/>
      <c r="C60" s="151">
        <f>IF(C59="MW",[2]!MTEST($B28:$B43,C28:C43,2), IF(C59="T-Test Welch",_xlfn.T.TEST($B28:$B43,C28:C43,2,3),""))</f>
        <v>0.11679200866931275</v>
      </c>
      <c r="D60" s="151">
        <f>IF(D59="MW",[2]!MTEST($B28:$B43,D28:D43,2), IF(D59="T-Test Welch",_xlfn.T.TEST($B28:$B43,D28:D43,2,3),""))</f>
        <v>9.9916043130723387E-2</v>
      </c>
      <c r="E60" s="151">
        <f>IF(E59="MW",[2]!MTEST($B28:$B43,E28:E43,2), IF(E59="T-Test Welch",_xlfn.T.TEST($B28:$B43,E28:E43,2,3),""))</f>
        <v>0.11779223999939296</v>
      </c>
      <c r="F60" s="151" t="e">
        <f ca="1">IF(F59="MW",[2]!MTEST($B28:$B43,F28:F43,2), IF(F59="T-Test Welch",_xlfn.T.TEST($B28:$B43,F28:F43,2,3),""))</f>
        <v>#NAME?</v>
      </c>
      <c r="G60" s="151">
        <f>IF(G59="MW",[2]!MTEST($B28:$B43,G28:G43,2), IF(G59="T-Test Welch",_xlfn.T.TEST($B28:$B43,G28:G43,2,3),""))</f>
        <v>6.6004625383306987E-4</v>
      </c>
      <c r="H60" s="151">
        <f>IF(H59="MW",[2]!MTEST($B28:$B43,H28:H43,2), IF(H59="T-Test Welch",_xlfn.T.TEST($B28:$B43,H28:H43,2,3),""))</f>
        <v>8.7513139469948215E-6</v>
      </c>
      <c r="I60" s="151">
        <f>IF(I59="MW",[2]!MTEST($B28:$B43,I28:I43,2), IF(I59="T-Test Welch",_xlfn.T.TEST($B28:$B43,I28:I43,2,3),""))</f>
        <v>0.61991979700900168</v>
      </c>
      <c r="J60" s="151">
        <f>IF(J59="MW",[2]!MTEST($B28:$B43,J28:J43,2), IF(J59="T-Test Welch",_xlfn.T.TEST($B28:$B43,J28:J43,2,3),""))</f>
        <v>0.71927679382171417</v>
      </c>
      <c r="K60" s="151">
        <f>IF(K59="MW",[2]!MTEST($B28:$B43,K28:K43,2), IF(K59="T-Test Welch",_xlfn.T.TEST($B28:$B43,K28:K43,2,3),""))</f>
        <v>0.5427888817647194</v>
      </c>
      <c r="L60" s="151">
        <f>IF(L59="MW",[2]!MTEST($B28:$B43,L28:L43,2), IF(L59="T-Test Welch",_xlfn.T.TEST($B28:$B43,L28:L43,2,3),""))</f>
        <v>0.92625445045275767</v>
      </c>
      <c r="M60" s="151">
        <f>IF(M59="MW",[2]!MTEST($B28:$B43,M28:M43,2), IF(M59="T-Test Welch",_xlfn.T.TEST($B28:$B43,M28:M43,2,3),""))</f>
        <v>0.87575989667767007</v>
      </c>
      <c r="N60" s="151"/>
      <c r="O60" s="151">
        <f>IF(O59="MW",[2]!MTEST($B28:$B43,O28:O43,2), IF(O59="T-Test Welch",_xlfn.T.TEST($B28:$B43,O28:O43,2,3),""))</f>
        <v>7.1196635921873686E-5</v>
      </c>
      <c r="P60" s="151">
        <f>IF(P59="MW",[2]!MTEST($O28:$O43,P28:P43,2), IF(P59="T-Test Welch",_xlfn.T.TEST($O28:$O43,P28:P43,2,3),""))</f>
        <v>5.2933920711082605E-2</v>
      </c>
      <c r="Q60" s="151">
        <f>IF(Q59="MW",[2]!MTEST($O28:$O43,Q28:Q43,2), IF(Q59="T-Test Welch",_xlfn.T.TEST($O28:$O43,Q28:Q43,2,3),""))</f>
        <v>8.0602645941627171E-5</v>
      </c>
      <c r="R60" s="151">
        <f>IF(R59="MW",[1]!MTEST($O28:$O43,R28:R43,2), IF(R59="T-Test Welch",_xlfn.T.TEST($O28:$O43,R28:R43,2,3),""))</f>
        <v>0.22003136358141195</v>
      </c>
      <c r="S60" s="151">
        <f>IF(S59="MW",[2]!MTEST($O28:$O43,S28:S43,2), IF(S59="T-Test Welch",_xlfn.T.TEST($O28:$O43,S28:S43,2,3),""))</f>
        <v>0.15121802758001968</v>
      </c>
      <c r="T60" s="151">
        <f>IF(T59="MW",[2]!MTEST($O28:$O43,T28:T43,2), IF(T59="T-Test Welch",_xlfn.T.TEST($O28:$O43,T28:T43,2,3),""))</f>
        <v>8.8870982266013587E-2</v>
      </c>
      <c r="U60" s="151">
        <f>IF(U59="MW",[2]!MTEST($O28:$O43,U28:U43,2), IF(U59="T-Test Welch",_xlfn.T.TEST($O28:$O43,U28:U43,2,3),""))</f>
        <v>0.65104614362711954</v>
      </c>
      <c r="V60" s="151">
        <f>IF(V59="MW",[2]!MTEST($O28:$O43,V28:V43,2), IF(V59="T-Test Welch",_xlfn.T.TEST($O28:$O43,V28:V43,2,3),""))</f>
        <v>0.13502446366904075</v>
      </c>
    </row>
    <row r="61" spans="1:22" s="3" customFormat="1" ht="15" thickBot="1" x14ac:dyDescent="0.4">
      <c r="A61" s="62" t="s">
        <v>84</v>
      </c>
      <c r="B61" s="142"/>
      <c r="C61" s="142" t="str">
        <f t="shared" ref="C61:O61" si="42">IF(C60&gt;0.05,"NS",IF(C60&gt;0.01,"*",IF(C60&gt;0.001,"**","***")))</f>
        <v>NS</v>
      </c>
      <c r="D61" s="142" t="str">
        <f t="shared" si="42"/>
        <v>NS</v>
      </c>
      <c r="E61" s="142" t="str">
        <f t="shared" si="42"/>
        <v>NS</v>
      </c>
      <c r="F61" s="142" t="e">
        <f t="shared" ca="1" si="42"/>
        <v>#NAME?</v>
      </c>
      <c r="G61" s="142" t="str">
        <f t="shared" si="42"/>
        <v>***</v>
      </c>
      <c r="H61" s="142" t="str">
        <f t="shared" si="42"/>
        <v>***</v>
      </c>
      <c r="I61" s="142" t="str">
        <f t="shared" si="42"/>
        <v>NS</v>
      </c>
      <c r="J61" s="142" t="str">
        <f t="shared" si="42"/>
        <v>NS</v>
      </c>
      <c r="K61" s="142" t="str">
        <f t="shared" si="42"/>
        <v>NS</v>
      </c>
      <c r="L61" s="142" t="str">
        <f t="shared" si="42"/>
        <v>NS</v>
      </c>
      <c r="M61" s="142" t="str">
        <f t="shared" si="42"/>
        <v>NS</v>
      </c>
      <c r="N61" s="142"/>
      <c r="O61" s="142" t="str">
        <f t="shared" si="42"/>
        <v>***</v>
      </c>
      <c r="P61" s="142" t="str">
        <f>IF(P60&gt;0.05,"NS",IF(P60&gt;0.01,"*",IF(P60&gt;0.001,"**","***")))</f>
        <v>NS</v>
      </c>
      <c r="Q61" s="142" t="str">
        <f t="shared" ref="Q61:V61" si="43">IF(Q60&gt;0.05,"NS",IF(Q60&gt;0.01,"*",IF(Q60&gt;0.001,"**","***")))</f>
        <v>***</v>
      </c>
      <c r="R61" s="142" t="str">
        <f t="shared" si="43"/>
        <v>NS</v>
      </c>
      <c r="S61" s="142" t="str">
        <f t="shared" si="43"/>
        <v>NS</v>
      </c>
      <c r="T61" s="142" t="str">
        <f t="shared" si="43"/>
        <v>NS</v>
      </c>
      <c r="U61" s="142" t="str">
        <f t="shared" si="43"/>
        <v>NS</v>
      </c>
      <c r="V61" s="142" t="str">
        <f t="shared" si="43"/>
        <v>NS</v>
      </c>
    </row>
    <row r="63" spans="1:22" x14ac:dyDescent="0.35">
      <c r="A63" s="2" t="s">
        <v>39</v>
      </c>
    </row>
    <row r="64" spans="1:22" x14ac:dyDescent="0.35">
      <c r="A64" s="1" t="s">
        <v>23</v>
      </c>
      <c r="B64" s="1">
        <f>B46+(3*B47)</f>
        <v>0.19817286115124738</v>
      </c>
    </row>
    <row r="65" spans="1:22" x14ac:dyDescent="0.35">
      <c r="A65" s="1" t="s">
        <v>24</v>
      </c>
      <c r="B65" s="1">
        <f>B46+(10*B47)</f>
        <v>0.49344012665265941</v>
      </c>
    </row>
    <row r="66" spans="1:22" ht="15" thickBot="1" x14ac:dyDescent="0.4"/>
    <row r="67" spans="1:22" ht="26.5" thickBot="1" x14ac:dyDescent="0.65">
      <c r="A67" s="212" t="s">
        <v>45</v>
      </c>
      <c r="B67" s="213"/>
      <c r="C67" s="213"/>
      <c r="D67" s="213"/>
      <c r="E67" s="213"/>
      <c r="F67" s="213"/>
      <c r="G67" s="213"/>
      <c r="H67" s="213"/>
      <c r="I67" s="213"/>
      <c r="J67" s="213"/>
      <c r="K67" s="213"/>
      <c r="L67" s="213"/>
      <c r="M67" s="213"/>
      <c r="N67" s="213"/>
      <c r="O67" s="213"/>
      <c r="P67" s="213"/>
      <c r="Q67" s="213"/>
      <c r="R67" s="213"/>
      <c r="S67" s="213"/>
      <c r="T67" s="213"/>
      <c r="U67" s="213"/>
      <c r="V67" s="213"/>
    </row>
    <row r="68" spans="1:22" ht="16.5" x14ac:dyDescent="0.35">
      <c r="A68" s="12"/>
      <c r="B68" s="12"/>
      <c r="C68" s="12"/>
      <c r="D68" s="12"/>
      <c r="E68" s="12"/>
      <c r="F68" s="12"/>
      <c r="N68" s="12"/>
      <c r="O68" s="12"/>
      <c r="P68" s="12"/>
      <c r="Q68" s="12"/>
      <c r="R68" s="12"/>
      <c r="S68" s="12"/>
      <c r="T68" s="12"/>
      <c r="U68" s="12"/>
      <c r="V68" s="12"/>
    </row>
    <row r="69" spans="1:22" ht="16.5" x14ac:dyDescent="0.35">
      <c r="A69" s="12"/>
      <c r="B69" s="12"/>
      <c r="C69" s="12"/>
      <c r="D69" s="12"/>
      <c r="E69" s="12"/>
      <c r="F69" s="12"/>
      <c r="N69" s="12"/>
      <c r="O69" s="12"/>
      <c r="P69" s="12"/>
      <c r="Q69" s="12"/>
      <c r="R69" s="12"/>
      <c r="S69" s="12"/>
      <c r="T69" s="12"/>
      <c r="U69" s="12"/>
      <c r="V69" s="12"/>
    </row>
    <row r="70" spans="1:22" ht="16.5" x14ac:dyDescent="0.35">
      <c r="A70" s="12"/>
      <c r="B70" s="12"/>
      <c r="C70" s="12"/>
      <c r="D70" s="12"/>
      <c r="E70" s="12"/>
      <c r="F70" s="12"/>
      <c r="N70" s="12"/>
      <c r="O70" s="12"/>
      <c r="P70" s="12"/>
      <c r="Q70" s="12"/>
      <c r="R70" s="12"/>
      <c r="S70" s="12"/>
      <c r="T70" s="12"/>
      <c r="U70" s="12"/>
      <c r="V70" s="12"/>
    </row>
    <row r="71" spans="1:22" ht="16.5" x14ac:dyDescent="0.35">
      <c r="A71" s="12"/>
      <c r="B71" s="12"/>
      <c r="C71" s="12"/>
      <c r="D71" s="12"/>
      <c r="E71" s="12"/>
      <c r="F71" s="12"/>
      <c r="N71" s="12"/>
      <c r="O71" s="12"/>
      <c r="P71" s="12"/>
      <c r="Q71" s="12"/>
      <c r="R71" s="12"/>
      <c r="S71" s="12"/>
      <c r="T71" s="12"/>
      <c r="U71" s="12"/>
      <c r="V71" s="12"/>
    </row>
    <row r="72" spans="1:22" ht="16.5" x14ac:dyDescent="0.35">
      <c r="A72" s="12"/>
      <c r="B72" s="12"/>
      <c r="C72" s="12"/>
      <c r="D72" s="12"/>
      <c r="E72" s="12"/>
      <c r="F72" s="12"/>
      <c r="N72" s="12"/>
      <c r="O72" s="12"/>
      <c r="P72" s="12"/>
      <c r="Q72" s="12"/>
      <c r="R72" s="12"/>
      <c r="S72" s="12"/>
      <c r="T72" s="12"/>
      <c r="U72" s="12"/>
      <c r="V72" s="12"/>
    </row>
    <row r="73" spans="1:22" ht="16.5" x14ac:dyDescent="0.35">
      <c r="A73" s="12"/>
      <c r="B73" s="12"/>
      <c r="C73" s="12"/>
      <c r="D73" s="12"/>
      <c r="E73" s="12"/>
      <c r="F73" s="12"/>
      <c r="N73" s="12"/>
      <c r="O73" s="12"/>
      <c r="P73" s="12"/>
      <c r="Q73" s="12"/>
      <c r="R73" s="12"/>
      <c r="S73" s="12"/>
      <c r="T73" s="12"/>
      <c r="U73" s="12"/>
      <c r="V73" s="12"/>
    </row>
    <row r="74" spans="1:22" ht="16.5" x14ac:dyDescent="0.3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4"/>
  <sheetViews>
    <sheetView showGridLines="0" tabSelected="1" topLeftCell="A85" zoomScale="70" zoomScaleNormal="70" workbookViewId="0">
      <selection activeCell="B94" sqref="B94:V94"/>
    </sheetView>
  </sheetViews>
  <sheetFormatPr baseColWidth="10" defaultRowHeight="14.5" x14ac:dyDescent="0.35"/>
  <cols>
    <col min="1" max="1" width="42.81640625" customWidth="1"/>
    <col min="2" max="2" width="14" bestFit="1" customWidth="1"/>
    <col min="3" max="13" width="22.7265625" bestFit="1" customWidth="1"/>
    <col min="14" max="14" width="8.453125" customWidth="1"/>
    <col min="15" max="15" width="22.7265625" customWidth="1"/>
    <col min="18" max="22" width="29.1796875" customWidth="1"/>
  </cols>
  <sheetData>
    <row r="1" spans="1:22" s="1" customFormat="1" ht="21.5" thickBot="1" x14ac:dyDescent="0.4">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4">
      <c r="A2" s="1"/>
      <c r="B2" s="1"/>
      <c r="C2" s="1"/>
      <c r="D2" s="1"/>
      <c r="E2" s="1"/>
      <c r="F2" s="1"/>
      <c r="G2" s="1"/>
      <c r="H2" s="1"/>
      <c r="I2" s="1"/>
      <c r="J2" s="1"/>
      <c r="K2" s="1"/>
      <c r="L2" s="1"/>
      <c r="M2" s="1"/>
    </row>
    <row r="3" spans="1:22" s="33" customFormat="1" ht="15" thickBot="1" x14ac:dyDescent="0.4">
      <c r="B3" s="218" t="s">
        <v>6</v>
      </c>
      <c r="C3" s="219"/>
      <c r="D3" s="219"/>
      <c r="E3" s="219"/>
      <c r="F3" s="219"/>
      <c r="G3" s="219"/>
      <c r="H3" s="219"/>
      <c r="I3" s="219"/>
      <c r="J3" s="219"/>
      <c r="K3" s="219"/>
      <c r="L3" s="219"/>
      <c r="M3" s="219"/>
      <c r="N3" s="72"/>
      <c r="O3" s="218" t="s">
        <v>3</v>
      </c>
      <c r="P3" s="219"/>
      <c r="Q3" s="219"/>
      <c r="R3" s="219"/>
      <c r="S3" s="219"/>
      <c r="T3" s="219"/>
      <c r="U3" s="219"/>
      <c r="V3" s="219"/>
    </row>
    <row r="4" spans="1:22" x14ac:dyDescent="0.3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Saccharin-0,01mg/L</v>
      </c>
      <c r="J4" s="35" t="str">
        <f>'R1'!J4</f>
        <v>Saccharin-0,1mg/L</v>
      </c>
      <c r="K4" s="35" t="str">
        <f>'R1'!K4</f>
        <v>Saccharin-1mg/L</v>
      </c>
      <c r="L4" s="35" t="str">
        <f>'R1'!L4</f>
        <v>Saccharin-10mg/L</v>
      </c>
      <c r="M4" s="35" t="str">
        <f>'R1'!M4</f>
        <v>Saccharin-100mg/L</v>
      </c>
      <c r="O4" s="35" t="str">
        <f>'R1'!O4</f>
        <v>Testo -30µg/L</v>
      </c>
      <c r="P4" s="35" t="str">
        <f>'R1'!P4</f>
        <v>Testo 30µg/L + EE2 -64ng/L</v>
      </c>
      <c r="Q4" s="35" t="str">
        <f>'R1'!Q4</f>
        <v>Testo 30µg/L + FAD-10mg/L</v>
      </c>
      <c r="R4" s="35" t="str">
        <f>'R1'!R4</f>
        <v>Saccharin-0,01mg/L + Testostérone</v>
      </c>
      <c r="S4" s="35" t="str">
        <f>'R1'!S4</f>
        <v>Saccharin-0,1mg/L + Testostérone</v>
      </c>
      <c r="T4" s="35" t="str">
        <f>'R1'!T4</f>
        <v>Saccharin-1mg/L + Testostérone</v>
      </c>
      <c r="U4" s="35" t="str">
        <f>'R1'!U4</f>
        <v>Saccharin-10mg/L + Testostérone</v>
      </c>
      <c r="V4" s="35" t="str">
        <f>'R1'!V4</f>
        <v>Saccharin-100mg/L + Testostérone</v>
      </c>
    </row>
    <row r="5" spans="1:22" s="1" customFormat="1" x14ac:dyDescent="0.35">
      <c r="A5" s="34"/>
      <c r="B5" s="35"/>
      <c r="C5" s="193" t="s">
        <v>163</v>
      </c>
      <c r="D5" s="35"/>
      <c r="E5" s="35"/>
      <c r="F5" s="35"/>
      <c r="G5" s="35"/>
      <c r="H5" s="35"/>
      <c r="I5" s="35"/>
      <c r="J5" s="35"/>
      <c r="K5" s="35"/>
      <c r="L5" s="35"/>
      <c r="M5" s="35"/>
      <c r="O5" s="35"/>
      <c r="P5" s="35"/>
      <c r="Q5" s="35"/>
      <c r="R5" s="35"/>
      <c r="S5" s="35"/>
      <c r="T5" s="35"/>
      <c r="U5" s="35"/>
      <c r="V5" s="35"/>
    </row>
    <row r="6" spans="1:22" s="1" customFormat="1" x14ac:dyDescent="0.35">
      <c r="A6" s="71" t="s">
        <v>4</v>
      </c>
      <c r="B6" s="53">
        <f>'R1'!B28</f>
        <v>8.3672406529369858E-2</v>
      </c>
      <c r="C6" s="53">
        <f>'R1'!C28</f>
        <v>0.16798783953231952</v>
      </c>
      <c r="D6" s="53">
        <f>'R1'!D28</f>
        <v>5.4293063110849721E-2</v>
      </c>
      <c r="E6" s="53">
        <f>'R1'!E28</f>
        <v>0.25731298857113793</v>
      </c>
      <c r="F6" s="53">
        <f>'R1'!F28</f>
        <v>0.20765852440207447</v>
      </c>
      <c r="G6" s="53">
        <f>'R1'!G28</f>
        <v>1.5485600249273059</v>
      </c>
      <c r="H6" s="53">
        <f>'R1'!H28</f>
        <v>2.5223390008190849</v>
      </c>
      <c r="I6" s="53">
        <f>'R1'!I28</f>
        <v>1.399950333454009E-2</v>
      </c>
      <c r="J6" s="53">
        <f>'R1'!J28</f>
        <v>6.6202000937765931E-2</v>
      </c>
      <c r="K6" s="53">
        <f>'R1'!K28</f>
        <v>5.6980607393647556E-3</v>
      </c>
      <c r="L6" s="53">
        <f>'R1'!L28</f>
        <v>8.9897872986713281E-3</v>
      </c>
      <c r="M6" s="53">
        <f>'R1'!M28</f>
        <v>0.27001039065174731</v>
      </c>
      <c r="N6"/>
      <c r="O6" s="53">
        <f>'R1'!O28</f>
        <v>1.5169045574541207</v>
      </c>
      <c r="P6" s="53">
        <f>'R1'!P28</f>
        <v>1.9586227122008875</v>
      </c>
      <c r="Q6" s="53">
        <f>'R1'!Q28</f>
        <v>2.0507912382285939E-2</v>
      </c>
      <c r="R6" s="53">
        <f>'R1'!R28</f>
        <v>0.65422454436358068</v>
      </c>
      <c r="S6" s="53">
        <f>'R1'!S28</f>
        <v>1.5862385313519716</v>
      </c>
      <c r="T6" s="53">
        <f>'R1'!T28</f>
        <v>0.10760407926757945</v>
      </c>
      <c r="U6" s="53">
        <f>'R1'!U28</f>
        <v>1.5937332729812139</v>
      </c>
      <c r="V6" s="53">
        <f>'R1'!V28</f>
        <v>3.0803083543091143E-2</v>
      </c>
    </row>
    <row r="7" spans="1:22" s="1" customFormat="1" x14ac:dyDescent="0.35">
      <c r="A7" s="222" t="s">
        <v>34</v>
      </c>
      <c r="B7" s="53">
        <f>'R1'!B29</f>
        <v>0.10066975180547012</v>
      </c>
      <c r="C7" s="53">
        <f>'R1'!C29</f>
        <v>0.32798398702685883</v>
      </c>
      <c r="D7" s="53">
        <f>'R1'!D29</f>
        <v>2.6584476084190352E-2</v>
      </c>
      <c r="E7" s="53">
        <f>'R1'!E29</f>
        <v>0.75009001669656494</v>
      </c>
      <c r="F7" s="53">
        <f>'R1'!F29</f>
        <v>0.19724481461170976</v>
      </c>
      <c r="G7" s="53">
        <f>'R1'!G29</f>
        <v>1.6326662828408636</v>
      </c>
      <c r="H7" s="53">
        <f>'R1'!H29</f>
        <v>1.6568859132653417</v>
      </c>
      <c r="I7" s="53">
        <f>'R1'!I29</f>
        <v>5.591375972761191E-3</v>
      </c>
      <c r="J7" s="53">
        <f>'R1'!J29</f>
        <v>1.5008996540581174E-2</v>
      </c>
      <c r="K7" s="53">
        <f>'R1'!K29</f>
        <v>4.8234462570501638E-2</v>
      </c>
      <c r="L7" s="53">
        <f>'R1'!L29</f>
        <v>2.0833346512207414E-2</v>
      </c>
      <c r="M7" s="53">
        <f>'R1'!M29</f>
        <v>6.921178792584326E-2</v>
      </c>
      <c r="N7"/>
      <c r="O7" s="53">
        <f>'R1'!O29</f>
        <v>1.0294806426560403</v>
      </c>
      <c r="P7" s="53">
        <f>'R1'!P29</f>
        <v>2.5717371479976161</v>
      </c>
      <c r="Q7" s="53">
        <f>'R1'!Q29</f>
        <v>3.041664761072712E-2</v>
      </c>
      <c r="R7" s="53">
        <f>'R1'!R29</f>
        <v>1.4322440858555918</v>
      </c>
      <c r="S7" s="53">
        <f>'R1'!S29</f>
        <v>0.26301679387485827</v>
      </c>
      <c r="T7" s="53">
        <f>'R1'!T29</f>
        <v>1.7599895366863523</v>
      </c>
      <c r="U7" s="53">
        <f>'R1'!U29</f>
        <v>1.9423192738255164E-2</v>
      </c>
      <c r="V7" s="53">
        <f>'R1'!V29</f>
        <v>2.1788922878511152</v>
      </c>
    </row>
    <row r="8" spans="1:22" s="1" customFormat="1" x14ac:dyDescent="0.35">
      <c r="A8" s="223"/>
      <c r="B8" s="53">
        <f>'R1'!B30</f>
        <v>0.24012242532885564</v>
      </c>
      <c r="C8" s="53">
        <f>'R1'!C30</f>
        <v>5.5153288827207006E-2</v>
      </c>
      <c r="D8" s="53">
        <f>'R1'!D30</f>
        <v>4.0716013215347499E-2</v>
      </c>
      <c r="E8" s="53">
        <f>'R1'!E30</f>
        <v>5.7894631411112632E-2</v>
      </c>
      <c r="F8" s="53">
        <f>'R1'!F30</f>
        <v>5.0786508081356818E-2</v>
      </c>
      <c r="G8" s="53">
        <f>'R1'!G30</f>
        <v>1.4275204126512062</v>
      </c>
      <c r="H8" s="53">
        <f>'R1'!H30</f>
        <v>3.3108017955752893</v>
      </c>
      <c r="I8" s="53">
        <f>'R1'!I30</f>
        <v>1.4681829922996908E-2</v>
      </c>
      <c r="J8" s="53">
        <f>'R1'!J30</f>
        <v>0.2011303285215483</v>
      </c>
      <c r="K8" s="53">
        <f>'R1'!K30</f>
        <v>2.4160725843943041E-2</v>
      </c>
      <c r="L8" s="53">
        <f>'R1'!L30</f>
        <v>0.17238635215746717</v>
      </c>
      <c r="M8" s="53">
        <f>'R1'!M30</f>
        <v>1.0224230350191892E-2</v>
      </c>
      <c r="N8"/>
      <c r="O8" s="53">
        <f>'R1'!O30</f>
        <v>1.5120526801626886</v>
      </c>
      <c r="P8" s="53">
        <f>'R1'!P30</f>
        <v>1.0841191090967142</v>
      </c>
      <c r="Q8" s="53">
        <f>'R1'!Q30</f>
        <v>5.3315028233422511E-2</v>
      </c>
      <c r="R8" s="53">
        <f>'R1'!R30</f>
        <v>1.0601081978438223</v>
      </c>
      <c r="S8" s="53">
        <f>'R1'!S30</f>
        <v>0.11643611900537541</v>
      </c>
      <c r="T8" s="53">
        <f>'R1'!T30</f>
        <v>0.36137486003679542</v>
      </c>
      <c r="U8" s="53">
        <f>'R1'!U30</f>
        <v>9.9557312358834679E-2</v>
      </c>
      <c r="V8" s="53">
        <f>'R1'!V30</f>
        <v>1.6598563089549809</v>
      </c>
    </row>
    <row r="9" spans="1:22" s="1" customFormat="1" x14ac:dyDescent="0.35">
      <c r="A9" s="223"/>
      <c r="B9" s="53">
        <f>'R1'!B31</f>
        <v>0.18312722856541616</v>
      </c>
      <c r="C9" s="53">
        <f>'R1'!C31</f>
        <v>1.5577070126854855E-2</v>
      </c>
      <c r="D9" s="53">
        <f>'R1'!D31</f>
        <v>4.6987800921780322E-2</v>
      </c>
      <c r="E9" s="53">
        <f>'R1'!E31</f>
        <v>0.25800716902255066</v>
      </c>
      <c r="F9" s="53">
        <f>'R1'!F31</f>
        <v>0.25289505384745475</v>
      </c>
      <c r="G9" s="53">
        <f>'R1'!G31</f>
        <v>1.613519193925921</v>
      </c>
      <c r="H9" s="53">
        <f>'R1'!H31</f>
        <v>2.3593607861390731</v>
      </c>
      <c r="I9" s="53">
        <f>'R1'!I31</f>
        <v>5.4001275715010906E-2</v>
      </c>
      <c r="J9" s="53">
        <f>'R1'!J31</f>
        <v>8.3150289457940806E-3</v>
      </c>
      <c r="K9" s="53">
        <f>'R1'!K31</f>
        <v>3.8589977302416971E-2</v>
      </c>
      <c r="L9" s="53">
        <f>'R1'!L31</f>
        <v>0.37249670136343643</v>
      </c>
      <c r="M9" s="53">
        <f>'R1'!M31</f>
        <v>4.7932371432247267E-2</v>
      </c>
      <c r="N9"/>
      <c r="O9" s="53">
        <f>'R1'!O31</f>
        <v>0.40739438272219691</v>
      </c>
      <c r="P9" s="53">
        <f>'R1'!P31</f>
        <v>1.6852080744753135</v>
      </c>
      <c r="Q9" s="53">
        <f>'R1'!Q31</f>
        <v>0.1226411603450101</v>
      </c>
      <c r="R9" s="53">
        <f>'R1'!R31</f>
        <v>8.1388440688441588E-2</v>
      </c>
      <c r="S9" s="53">
        <f>'R1'!S31</f>
        <v>0.83161650929666275</v>
      </c>
      <c r="T9" s="53">
        <f>'R1'!T31</f>
        <v>1.1187976763579119</v>
      </c>
      <c r="U9" s="53">
        <f>'R1'!U31</f>
        <v>0.94020874481696248</v>
      </c>
      <c r="V9" s="53">
        <f>'R1'!V31</f>
        <v>5.2660147896886778E-2</v>
      </c>
    </row>
    <row r="10" spans="1:22" s="1" customFormat="1" x14ac:dyDescent="0.35">
      <c r="A10" s="223"/>
      <c r="B10" s="53">
        <f>'R1'!B32</f>
        <v>5.1003524957011936E-2</v>
      </c>
      <c r="C10" s="53">
        <f>'R1'!C32</f>
        <v>4.2921196459399305E-2</v>
      </c>
      <c r="D10" s="53">
        <f>'R1'!D32</f>
        <v>3.5655143201645749E-2</v>
      </c>
      <c r="E10" s="53">
        <f>'R1'!E32</f>
        <v>0.14845048497544241</v>
      </c>
      <c r="F10" s="53">
        <f>'R1'!F32</f>
        <v>0.55733015672602004</v>
      </c>
      <c r="G10" s="53">
        <f>'R1'!G32</f>
        <v>1.802034823856868</v>
      </c>
      <c r="H10" s="53">
        <f>'R1'!H32</f>
        <v>3.6299617670177375</v>
      </c>
      <c r="I10" s="53">
        <f>'R1'!I32</f>
        <v>4.7333386618726905E-3</v>
      </c>
      <c r="J10" s="53">
        <f>'R1'!J32</f>
        <v>2.1087657464393176E-2</v>
      </c>
      <c r="K10" s="53">
        <f>'R1'!K32</f>
        <v>1.3115843442954495E-2</v>
      </c>
      <c r="L10" s="53">
        <f>'R1'!L32</f>
        <v>2.889406450581573E-2</v>
      </c>
      <c r="M10" s="53" t="str">
        <f>'R1'!M32</f>
        <v/>
      </c>
      <c r="N10"/>
      <c r="O10" s="53">
        <f>'R1'!O32</f>
        <v>1.372643410014434</v>
      </c>
      <c r="P10" s="53">
        <f>'R1'!P32</f>
        <v>2.672954913005896</v>
      </c>
      <c r="Q10" s="53">
        <f>'R1'!Q32</f>
        <v>0.21367390393441393</v>
      </c>
      <c r="R10" s="53">
        <f>'R1'!R32</f>
        <v>1.2146983455455191</v>
      </c>
      <c r="S10" s="53">
        <f>'R1'!S32</f>
        <v>0.51644034764302604</v>
      </c>
      <c r="T10" s="53">
        <f>'R1'!T32</f>
        <v>0.65515571089055136</v>
      </c>
      <c r="U10" s="53">
        <f>'R1'!U32</f>
        <v>1.3939960469076734E-2</v>
      </c>
      <c r="V10" s="53">
        <f>'R1'!V32</f>
        <v>1.9275355006810984</v>
      </c>
    </row>
    <row r="11" spans="1:22" s="1" customFormat="1" x14ac:dyDescent="0.35">
      <c r="A11" s="223"/>
      <c r="B11" s="53">
        <f>'R1'!B33</f>
        <v>1.5999250015209132E-2</v>
      </c>
      <c r="C11" s="53">
        <f>'R1'!C33</f>
        <v>4.2684483934525071E-2</v>
      </c>
      <c r="D11" s="53">
        <f>'R1'!D33</f>
        <v>0.16492680738284801</v>
      </c>
      <c r="E11" s="53">
        <f>'R1'!E33</f>
        <v>0.18192397029182586</v>
      </c>
      <c r="F11" s="53">
        <f>'R1'!F33</f>
        <v>6.73634971403268E-2</v>
      </c>
      <c r="G11" s="53">
        <f>'R1'!G33</f>
        <v>0.73236685027331561</v>
      </c>
      <c r="H11" s="53">
        <f>'R1'!H33</f>
        <v>1.5684841801507918</v>
      </c>
      <c r="I11" s="53">
        <f>'R1'!I33</f>
        <v>7.5763691532281338E-2</v>
      </c>
      <c r="J11" s="53">
        <f>'R1'!J33</f>
        <v>5.056857937008971E-3</v>
      </c>
      <c r="K11" s="53">
        <f>'R1'!K33</f>
        <v>0.14282163255902819</v>
      </c>
      <c r="L11" s="53">
        <f>'R1'!L33</f>
        <v>0.20563497881193235</v>
      </c>
      <c r="M11" s="53">
        <f>'R1'!M33</f>
        <v>7.1085245374250816E-2</v>
      </c>
      <c r="N11"/>
      <c r="O11" s="53">
        <f>'R1'!O33</f>
        <v>0.65632322520815134</v>
      </c>
      <c r="P11" s="53">
        <f>'R1'!P33</f>
        <v>1.7267170199388528</v>
      </c>
      <c r="Q11" s="53">
        <f>'R1'!Q33</f>
        <v>0.15172625441153906</v>
      </c>
      <c r="R11" s="53">
        <f>'R1'!R33</f>
        <v>1.4193946807784625</v>
      </c>
      <c r="S11" s="53">
        <f>'R1'!S33</f>
        <v>1.8843265289025531E-2</v>
      </c>
      <c r="T11" s="53">
        <f>'R1'!T33</f>
        <v>1.5854496111804723</v>
      </c>
      <c r="U11" s="53">
        <f>'R1'!U33</f>
        <v>0.73459136443234174</v>
      </c>
      <c r="V11" s="53">
        <f>'R1'!V33</f>
        <v>0.4149147469321362</v>
      </c>
    </row>
    <row r="12" spans="1:22" s="1" customFormat="1" x14ac:dyDescent="0.35">
      <c r="A12" s="223"/>
      <c r="B12" s="53">
        <f>'R1'!B34</f>
        <v>4.8133704735376044E-2</v>
      </c>
      <c r="C12" s="53">
        <f>'R1'!C34</f>
        <v>2.7430568348561699E-2</v>
      </c>
      <c r="D12" s="53">
        <f>'R1'!D34</f>
        <v>0.10404226699999958</v>
      </c>
      <c r="E12" s="53">
        <f>'R1'!E34</f>
        <v>0.15764926499638329</v>
      </c>
      <c r="F12" s="53">
        <f>'R1'!F34</f>
        <v>2.5417700353436032</v>
      </c>
      <c r="G12" s="53">
        <f>'R1'!G34</f>
        <v>1.1307616890557928</v>
      </c>
      <c r="H12" s="53">
        <f>'R1'!H34</f>
        <v>2.6688288568616128</v>
      </c>
      <c r="I12" s="53">
        <f>'R1'!I34</f>
        <v>1.686312307401441E-2</v>
      </c>
      <c r="J12" s="53">
        <f>'R1'!J34</f>
        <v>1.1802070693190255E-2</v>
      </c>
      <c r="K12" s="53">
        <f>'R1'!K34</f>
        <v>6.8162265136435543E-2</v>
      </c>
      <c r="L12" s="53">
        <f>'R1'!L34</f>
        <v>4.8419747566859274E-2</v>
      </c>
      <c r="M12" s="53">
        <f>'R1'!M34</f>
        <v>7.7668333758619161E-3</v>
      </c>
      <c r="N12"/>
      <c r="O12" s="53">
        <f>'R1'!O34</f>
        <v>1.3183421403830764</v>
      </c>
      <c r="P12" s="53">
        <f>'R1'!P34</f>
        <v>2.8459248399550412</v>
      </c>
      <c r="Q12" s="53">
        <f>'R1'!Q34</f>
        <v>6.8635690186184012E-2</v>
      </c>
      <c r="R12" s="53">
        <f>'R1'!R34</f>
        <v>0.33743516314520028</v>
      </c>
      <c r="S12" s="53">
        <f>'R1'!S34</f>
        <v>1.1660262018812593</v>
      </c>
      <c r="T12" s="53">
        <f>'R1'!T34</f>
        <v>1.4748160492755964</v>
      </c>
      <c r="U12" s="53">
        <f>'R1'!U34</f>
        <v>2.2547323912076821E-2</v>
      </c>
      <c r="V12" s="53">
        <f>'R1'!V34</f>
        <v>0.69855397974214706</v>
      </c>
    </row>
    <row r="13" spans="1:22" s="1" customFormat="1" x14ac:dyDescent="0.35">
      <c r="A13" s="223"/>
      <c r="B13" s="53">
        <f>'R1'!B35</f>
        <v>5.6273570060105645E-2</v>
      </c>
      <c r="C13" s="53">
        <f>'R1'!C35</f>
        <v>0.2060334509743747</v>
      </c>
      <c r="D13" s="53">
        <f>'R1'!D35</f>
        <v>0.36037293506633389</v>
      </c>
      <c r="E13" s="53">
        <f>'R1'!E35</f>
        <v>0.3060680180925282</v>
      </c>
      <c r="F13" s="53">
        <f>'R1'!F35</f>
        <v>0.99883111223000931</v>
      </c>
      <c r="G13" s="53">
        <f>'R1'!G35</f>
        <v>0.33977055651464511</v>
      </c>
      <c r="H13" s="53">
        <f>'R1'!H35</f>
        <v>2.1405548890132216</v>
      </c>
      <c r="I13" s="53">
        <f>'R1'!I35</f>
        <v>4.2839860722809235E-3</v>
      </c>
      <c r="J13" s="53">
        <f>'R1'!J35</f>
        <v>0.29525200643015076</v>
      </c>
      <c r="K13" s="53">
        <f>'R1'!K35</f>
        <v>3.2795261988180613E-2</v>
      </c>
      <c r="L13" s="53">
        <f>'R1'!L35</f>
        <v>4.9918622945858762E-2</v>
      </c>
      <c r="M13" s="53">
        <f>'R1'!M35</f>
        <v>3.1951084578594462E-2</v>
      </c>
      <c r="N13"/>
      <c r="O13" s="53">
        <f>'R1'!O35</f>
        <v>0.92173431703298958</v>
      </c>
      <c r="P13" s="53">
        <f>'R1'!P35</f>
        <v>1.5010553955806463</v>
      </c>
      <c r="Q13" s="53">
        <f>'R1'!Q35</f>
        <v>0.15992101224011082</v>
      </c>
      <c r="R13" s="53">
        <f>'R1'!R35</f>
        <v>1.4320527827441949</v>
      </c>
      <c r="S13" s="53">
        <f>'R1'!S35</f>
        <v>0.44889740125425842</v>
      </c>
      <c r="T13" s="53">
        <f>'R1'!T35</f>
        <v>1.6480516851220768E-2</v>
      </c>
      <c r="U13" s="53">
        <f>'R1'!U35</f>
        <v>0.94065654728601389</v>
      </c>
      <c r="V13" s="53">
        <f>'R1'!V35</f>
        <v>0.32495468675668476</v>
      </c>
    </row>
    <row r="14" spans="1:22" s="1" customFormat="1" x14ac:dyDescent="0.35">
      <c r="A14" s="223"/>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0.22803622665896736</v>
      </c>
      <c r="P14" s="53" t="str">
        <f>'R1'!P36</f>
        <v/>
      </c>
      <c r="Q14" s="53" t="str">
        <f>'R1'!Q36</f>
        <v/>
      </c>
      <c r="R14" s="53" t="str">
        <f>'R1'!R36</f>
        <v/>
      </c>
      <c r="S14" s="53" t="str">
        <f>'R1'!S36</f>
        <v/>
      </c>
      <c r="T14" s="53" t="str">
        <f>'R1'!T36</f>
        <v/>
      </c>
      <c r="U14" s="53" t="str">
        <f>'R1'!U36</f>
        <v/>
      </c>
      <c r="V14" s="53" t="str">
        <f>'R1'!V36</f>
        <v/>
      </c>
    </row>
    <row r="15" spans="1:22" s="1" customFormat="1" x14ac:dyDescent="0.35">
      <c r="A15" s="223"/>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1.2235462512229638</v>
      </c>
      <c r="P15" s="53" t="str">
        <f>'R1'!P37</f>
        <v/>
      </c>
      <c r="Q15" s="53" t="str">
        <f>'R1'!Q37</f>
        <v/>
      </c>
      <c r="R15" s="53" t="str">
        <f>'R1'!R37</f>
        <v/>
      </c>
      <c r="S15" s="53" t="str">
        <f>'R1'!S37</f>
        <v/>
      </c>
      <c r="T15" s="53" t="str">
        <f>'R1'!T37</f>
        <v/>
      </c>
      <c r="U15" s="53" t="str">
        <f>'R1'!U37</f>
        <v/>
      </c>
      <c r="V15" s="53" t="str">
        <f>'R1'!V37</f>
        <v/>
      </c>
    </row>
    <row r="16" spans="1:22" s="1" customFormat="1" x14ac:dyDescent="0.35">
      <c r="A16" s="223"/>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1.794504520638758</v>
      </c>
      <c r="P16" s="53" t="str">
        <f>'R1'!P38</f>
        <v/>
      </c>
      <c r="Q16" s="53" t="str">
        <f>'R1'!Q38</f>
        <v/>
      </c>
      <c r="R16" s="53" t="str">
        <f>'R1'!R38</f>
        <v/>
      </c>
      <c r="S16" s="53" t="str">
        <f>'R1'!S38</f>
        <v/>
      </c>
      <c r="T16" s="53" t="str">
        <f>'R1'!T38</f>
        <v/>
      </c>
      <c r="U16" s="53" t="str">
        <f>'R1'!U38</f>
        <v/>
      </c>
      <c r="V16" s="53" t="str">
        <f>'R1'!V38</f>
        <v/>
      </c>
    </row>
    <row r="17" spans="1:22" s="1" customFormat="1" x14ac:dyDescent="0.35">
      <c r="A17" s="223"/>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1.1801260983166801</v>
      </c>
      <c r="P17" s="53" t="str">
        <f>'R1'!P39</f>
        <v/>
      </c>
      <c r="Q17" s="53" t="str">
        <f>'R1'!Q39</f>
        <v/>
      </c>
      <c r="R17" s="53" t="str">
        <f>'R1'!R39</f>
        <v/>
      </c>
      <c r="S17" s="53" t="str">
        <f>'R1'!S39</f>
        <v/>
      </c>
      <c r="T17" s="53" t="str">
        <f>'R1'!T39</f>
        <v/>
      </c>
      <c r="U17" s="53" t="str">
        <f>'R1'!U39</f>
        <v/>
      </c>
      <c r="V17" s="53" t="str">
        <f>'R1'!V39</f>
        <v/>
      </c>
    </row>
    <row r="18" spans="1:22" s="1" customFormat="1" x14ac:dyDescent="0.35">
      <c r="A18" s="223"/>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1.3508892007176716</v>
      </c>
      <c r="P18" s="53" t="str">
        <f>'R1'!P40</f>
        <v/>
      </c>
      <c r="Q18" s="53" t="str">
        <f>'R1'!Q40</f>
        <v/>
      </c>
      <c r="R18" s="53" t="str">
        <f>'R1'!R40</f>
        <v/>
      </c>
      <c r="S18" s="53" t="str">
        <f>'R1'!S40</f>
        <v/>
      </c>
      <c r="T18" s="53" t="str">
        <f>'R1'!T40</f>
        <v/>
      </c>
      <c r="U18" s="53" t="str">
        <f>'R1'!U40</f>
        <v/>
      </c>
      <c r="V18" s="53" t="str">
        <f>'R1'!V40</f>
        <v/>
      </c>
    </row>
    <row r="19" spans="1:22" s="1" customFormat="1" x14ac:dyDescent="0.35">
      <c r="A19" s="223"/>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5.0372352346388108E-2</v>
      </c>
      <c r="P19" s="53" t="str">
        <f>'R1'!P41</f>
        <v/>
      </c>
      <c r="Q19" s="53" t="str">
        <f>'R1'!Q41</f>
        <v/>
      </c>
      <c r="R19" s="53" t="str">
        <f>'R1'!R41</f>
        <v/>
      </c>
      <c r="S19" s="53" t="str">
        <f>'R1'!S41</f>
        <v/>
      </c>
      <c r="T19" s="53" t="str">
        <f>'R1'!T41</f>
        <v/>
      </c>
      <c r="U19" s="53" t="str">
        <f>'R1'!U41</f>
        <v/>
      </c>
      <c r="V19" s="53" t="str">
        <f>'R1'!V41</f>
        <v/>
      </c>
    </row>
    <row r="20" spans="1:22" s="1" customFormat="1" x14ac:dyDescent="0.35">
      <c r="A20" s="223"/>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1.0533845955916452</v>
      </c>
      <c r="P20" s="53" t="str">
        <f>'R1'!P42</f>
        <v/>
      </c>
      <c r="Q20" s="53" t="str">
        <f>'R1'!Q42</f>
        <v/>
      </c>
      <c r="R20" s="53" t="str">
        <f>'R1'!R42</f>
        <v/>
      </c>
      <c r="S20" s="53" t="str">
        <f>'R1'!S42</f>
        <v/>
      </c>
      <c r="T20" s="53" t="str">
        <f>'R1'!T42</f>
        <v/>
      </c>
      <c r="U20" s="53" t="str">
        <f>'R1'!U42</f>
        <v/>
      </c>
      <c r="V20" s="53" t="str">
        <f>'R1'!V42</f>
        <v/>
      </c>
    </row>
    <row r="21" spans="1:22" s="1" customFormat="1" x14ac:dyDescent="0.35">
      <c r="A21" s="224"/>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0.38426539887322764</v>
      </c>
      <c r="P21" s="53" t="str">
        <f>'R1'!P43</f>
        <v/>
      </c>
      <c r="Q21" s="53" t="str">
        <f>'R1'!Q43</f>
        <v/>
      </c>
      <c r="R21" s="53" t="str">
        <f>'R1'!R43</f>
        <v/>
      </c>
      <c r="S21" s="53" t="str">
        <f>'R1'!S43</f>
        <v/>
      </c>
      <c r="T21" s="53" t="str">
        <f>'R1'!T43</f>
        <v/>
      </c>
      <c r="U21" s="53" t="str">
        <f>'R1'!U43</f>
        <v/>
      </c>
      <c r="V21" s="53" t="str">
        <f>'R1'!V43</f>
        <v/>
      </c>
    </row>
    <row r="22" spans="1:22" x14ac:dyDescent="0.35">
      <c r="A22" s="39" t="s">
        <v>5</v>
      </c>
      <c r="B22" s="54">
        <f>'R2'!B28</f>
        <v>4.6725983497614212E-2</v>
      </c>
      <c r="C22" s="54">
        <f>'R2'!C28</f>
        <v>0.11216846403664563</v>
      </c>
      <c r="D22" s="54">
        <f>'R2'!D28</f>
        <v>3.0846963200540853E-2</v>
      </c>
      <c r="E22" s="54">
        <f>'R2'!E28</f>
        <v>9.8824541701797372E-2</v>
      </c>
      <c r="F22" s="54">
        <f>'R2'!F28</f>
        <v>0.97888442521927765</v>
      </c>
      <c r="G22" s="54">
        <f>'R2'!G28</f>
        <v>0.90360632715198874</v>
      </c>
      <c r="H22" s="54">
        <f>'R2'!H28</f>
        <v>2.3828984266628446</v>
      </c>
      <c r="I22" s="54">
        <f>'R2'!I28</f>
        <v>9.632305855434907E-2</v>
      </c>
      <c r="J22" s="54">
        <f>'R2'!J28</f>
        <v>3.8179474797188299E-2</v>
      </c>
      <c r="K22" s="54">
        <f>'R2'!K28</f>
        <v>0.1076093678476754</v>
      </c>
      <c r="L22" s="54">
        <f>'R2'!L28</f>
        <v>3.2672518106948406E-2</v>
      </c>
      <c r="M22" s="54">
        <f>'R2'!M28</f>
        <v>5.389389841500971E-2</v>
      </c>
      <c r="O22" s="54">
        <f>'R2'!O28</f>
        <v>1.0891734733704366</v>
      </c>
      <c r="P22" s="54">
        <f>'R2'!P28</f>
        <v>1.3363590478887315</v>
      </c>
      <c r="Q22" s="54">
        <f>'R2'!Q28</f>
        <v>0.37550190009479223</v>
      </c>
      <c r="R22" s="54">
        <f>'R2'!R28</f>
        <v>0.16525228405325243</v>
      </c>
      <c r="S22" s="54">
        <f>'R2'!S28</f>
        <v>0.61460523673376266</v>
      </c>
      <c r="T22" s="54">
        <f>'R2'!T28</f>
        <v>0.70643565597433244</v>
      </c>
      <c r="U22" s="54">
        <f>'R2'!U28</f>
        <v>1.7379735543056374</v>
      </c>
      <c r="V22" s="54">
        <f>'R2'!V28</f>
        <v>0.34938527544999265</v>
      </c>
    </row>
    <row r="23" spans="1:22" x14ac:dyDescent="0.35">
      <c r="A23" s="222" t="s">
        <v>34</v>
      </c>
      <c r="B23" s="54">
        <f>'R2'!B29</f>
        <v>1.202606704472489E-2</v>
      </c>
      <c r="C23" s="54">
        <f>'R2'!C29</f>
        <v>0.13074710169975978</v>
      </c>
      <c r="D23" s="54">
        <f>'R2'!D29</f>
        <v>1.3855176621200789E-2</v>
      </c>
      <c r="E23" s="54">
        <f>'R2'!E29</f>
        <v>2.7091376997890722E-2</v>
      </c>
      <c r="F23" s="54">
        <f>'R2'!F29</f>
        <v>1.970936507503275</v>
      </c>
      <c r="G23" s="54">
        <f>'R2'!G29</f>
        <v>1.5899189185939444</v>
      </c>
      <c r="H23" s="54">
        <f>'R2'!H29</f>
        <v>3.0266222841895662</v>
      </c>
      <c r="I23" s="54">
        <f>'R2'!I29</f>
        <v>0.10873905745048491</v>
      </c>
      <c r="J23" s="54">
        <f>'R2'!J29</f>
        <v>4.2785709002282318E-2</v>
      </c>
      <c r="K23" s="54">
        <f>'R2'!K29</f>
        <v>0.18833430231578718</v>
      </c>
      <c r="L23" s="54">
        <f>'R2'!L29</f>
        <v>3.0803379854485405E-2</v>
      </c>
      <c r="M23" s="54">
        <f>'R2'!M29</f>
        <v>4.2901544881248831E-2</v>
      </c>
      <c r="O23" s="54">
        <f>'R2'!O29</f>
        <v>1.2366235060687645</v>
      </c>
      <c r="P23" s="54" t="str">
        <f>'R2'!P29</f>
        <v/>
      </c>
      <c r="Q23" s="54">
        <f>'R2'!Q29</f>
        <v>0.11450341861893526</v>
      </c>
      <c r="R23" s="54">
        <f>'R2'!R29</f>
        <v>0.79043405519821508</v>
      </c>
      <c r="S23" s="54">
        <f>'R2'!S29</f>
        <v>1.8791001380541124</v>
      </c>
      <c r="T23" s="54">
        <f>'R2'!T29</f>
        <v>0.18618372692443425</v>
      </c>
      <c r="U23" s="54">
        <f>'R2'!U29</f>
        <v>1.6881508349749985</v>
      </c>
      <c r="V23" s="54">
        <f>'R2'!V29</f>
        <v>1.3482158817280283</v>
      </c>
    </row>
    <row r="24" spans="1:22" x14ac:dyDescent="0.35">
      <c r="A24" s="223"/>
      <c r="B24" s="54">
        <f>'R2'!B30</f>
        <v>3.4995726822925219E-2</v>
      </c>
      <c r="C24" s="54">
        <f>'R2'!C30</f>
        <v>0.15349158085667364</v>
      </c>
      <c r="D24" s="54">
        <f>'R2'!D30</f>
        <v>5.1916883653515863E-2</v>
      </c>
      <c r="E24" s="54">
        <f>'R2'!E30</f>
        <v>9.3371136888891551E-2</v>
      </c>
      <c r="F24" s="54">
        <f>'R2'!F30</f>
        <v>2.1150226631853983</v>
      </c>
      <c r="G24" s="54">
        <f>'R2'!G30</f>
        <v>1.9481231759326458</v>
      </c>
      <c r="H24" s="54">
        <f>'R2'!H30</f>
        <v>2.5055530901256926</v>
      </c>
      <c r="I24" s="54">
        <f>'R2'!I30</f>
        <v>0.1471775595100453</v>
      </c>
      <c r="J24" s="54">
        <f>'R2'!J30</f>
        <v>6.6000641015198938E-2</v>
      </c>
      <c r="K24" s="54">
        <f>'R2'!K30</f>
        <v>5.9140282334152153E-2</v>
      </c>
      <c r="L24" s="54" t="str">
        <f>'R2'!L30</f>
        <v/>
      </c>
      <c r="M24" s="54">
        <f>'R2'!M30</f>
        <v>2.3743032344375692E-2</v>
      </c>
      <c r="O24" s="54">
        <f>'R2'!O30</f>
        <v>0.77340193084114284</v>
      </c>
      <c r="P24" s="54">
        <f>'R2'!P30</f>
        <v>0.34689422448644058</v>
      </c>
      <c r="Q24" s="54">
        <f>'R2'!Q30</f>
        <v>0.17268896293798983</v>
      </c>
      <c r="R24" s="54">
        <f>'R2'!R30</f>
        <v>0.49969650845159902</v>
      </c>
      <c r="S24" s="54">
        <f>'R2'!S30</f>
        <v>0.63404789104979509</v>
      </c>
      <c r="T24" s="54">
        <f>'R2'!T30</f>
        <v>0.7453171781100203</v>
      </c>
      <c r="U24" s="54">
        <f>'R2'!U30</f>
        <v>0.12854196985040126</v>
      </c>
      <c r="V24" s="54">
        <f>'R2'!V30</f>
        <v>0.25075229955470496</v>
      </c>
    </row>
    <row r="25" spans="1:22" x14ac:dyDescent="0.35">
      <c r="A25" s="223"/>
      <c r="B25" s="54">
        <f>'R2'!B31</f>
        <v>7.8433485956441326E-2</v>
      </c>
      <c r="C25" s="54">
        <f>'R2'!C31</f>
        <v>0.11442776596682838</v>
      </c>
      <c r="D25" s="54">
        <f>'R2'!D31</f>
        <v>8.4693723599426771E-2</v>
      </c>
      <c r="E25" s="54">
        <f>'R2'!E31</f>
        <v>0.22390990401247141</v>
      </c>
      <c r="F25" s="54">
        <f>'R2'!F31</f>
        <v>0.92416190230116047</v>
      </c>
      <c r="G25" s="54">
        <f>'R2'!G31</f>
        <v>1.0322874700631097</v>
      </c>
      <c r="H25" s="54">
        <f>'R2'!H31</f>
        <v>2.12195187428016</v>
      </c>
      <c r="I25" s="54">
        <f>'R2'!I31</f>
        <v>0.35785790883334589</v>
      </c>
      <c r="J25" s="54">
        <f>'R2'!J31</f>
        <v>4.4389174304854132E-2</v>
      </c>
      <c r="K25" s="54">
        <f>'R2'!K31</f>
        <v>3.2719656123072198E-2</v>
      </c>
      <c r="L25" s="54">
        <f>'R2'!L31</f>
        <v>2.9414740264740082E-2</v>
      </c>
      <c r="M25" s="54">
        <f>'R2'!M31</f>
        <v>4.7087400713042085E-2</v>
      </c>
      <c r="O25" s="54">
        <f>'R2'!O31</f>
        <v>0.88186202396669844</v>
      </c>
      <c r="P25" s="54">
        <f>'R2'!P31</f>
        <v>0.68667076308906028</v>
      </c>
      <c r="Q25" s="54">
        <f>'R2'!Q31</f>
        <v>4.175021815628413E-2</v>
      </c>
      <c r="R25" s="54">
        <f>'R2'!R31</f>
        <v>0.98738039578438397</v>
      </c>
      <c r="S25" s="54">
        <f>'R2'!S31</f>
        <v>1.274033162969846</v>
      </c>
      <c r="T25" s="54">
        <f>'R2'!T31</f>
        <v>1.2548181620890604</v>
      </c>
      <c r="U25" s="54">
        <f>'R2'!U31</f>
        <v>0.411553363928018</v>
      </c>
      <c r="V25" s="54">
        <f>'R2'!V31</f>
        <v>0.39151599785446295</v>
      </c>
    </row>
    <row r="26" spans="1:22" x14ac:dyDescent="0.35">
      <c r="A26" s="223"/>
      <c r="B26" s="54">
        <f>'R2'!B32</f>
        <v>0.17101795890411933</v>
      </c>
      <c r="C26" s="54">
        <f>'R2'!C32</f>
        <v>0.42831656976687577</v>
      </c>
      <c r="D26" s="54">
        <f>'R2'!D32</f>
        <v>0.11858657539592765</v>
      </c>
      <c r="E26" s="54">
        <f>'R2'!E32</f>
        <v>7.5515256381196882E-2</v>
      </c>
      <c r="F26" s="54">
        <f>'R2'!F32</f>
        <v>1.2935464470346278</v>
      </c>
      <c r="G26" s="54">
        <f>'R2'!G32</f>
        <v>1.4667836019175065</v>
      </c>
      <c r="H26" s="54">
        <f>'R2'!H32</f>
        <v>4.0678223939701423</v>
      </c>
      <c r="I26" s="54">
        <f>'R2'!I32</f>
        <v>0.63409340628175737</v>
      </c>
      <c r="J26" s="54">
        <f>'R2'!J32</f>
        <v>0.21068344034075129</v>
      </c>
      <c r="K26" s="54">
        <f>'R2'!K32</f>
        <v>6.7328542112037204E-2</v>
      </c>
      <c r="L26" s="54">
        <f>'R2'!L32</f>
        <v>6.9460107746068089E-2</v>
      </c>
      <c r="M26" s="54">
        <f>'R2'!M32</f>
        <v>2.5155009115874115E-2</v>
      </c>
      <c r="O26" s="54">
        <f>'R2'!O32</f>
        <v>0.90375245500197254</v>
      </c>
      <c r="P26" s="54">
        <f>'R2'!P32</f>
        <v>1.4480905193332787</v>
      </c>
      <c r="Q26" s="54">
        <f>'R2'!Q32</f>
        <v>1.4500581064915478E-2</v>
      </c>
      <c r="R26" s="54">
        <f>'R2'!R32</f>
        <v>1.3954002631135876</v>
      </c>
      <c r="S26" s="54">
        <f>'R2'!S32</f>
        <v>1.0395023684457565</v>
      </c>
      <c r="T26" s="54">
        <f>'R2'!T32</f>
        <v>1.2526185940711132</v>
      </c>
      <c r="U26" s="54">
        <f>'R2'!U32</f>
        <v>1.1635765816728567</v>
      </c>
      <c r="V26" s="54">
        <f>'R2'!V32</f>
        <v>7.6917187345980395E-2</v>
      </c>
    </row>
    <row r="27" spans="1:22" x14ac:dyDescent="0.35">
      <c r="A27" s="223"/>
      <c r="B27" s="54">
        <f>'R2'!B33</f>
        <v>1.2369015430884587E-2</v>
      </c>
      <c r="C27" s="54">
        <f>'R2'!C33</f>
        <v>0.12719351348751554</v>
      </c>
      <c r="D27" s="54" t="str">
        <f>'R2'!D33</f>
        <v/>
      </c>
      <c r="E27" s="54">
        <f>'R2'!E33</f>
        <v>0.46047814268921672</v>
      </c>
      <c r="F27" s="54">
        <f>'R2'!F33</f>
        <v>1.2641352614399559</v>
      </c>
      <c r="G27" s="54">
        <f>'R2'!G33</f>
        <v>1.8221533962538785</v>
      </c>
      <c r="H27" s="54">
        <f>'R2'!H33</f>
        <v>2.9171702835640678</v>
      </c>
      <c r="I27" s="54">
        <f>'R2'!I33</f>
        <v>7.7798281870314082E-2</v>
      </c>
      <c r="J27" s="54">
        <f>'R2'!J33</f>
        <v>0.13947845324373997</v>
      </c>
      <c r="K27" s="54">
        <f>'R2'!K33</f>
        <v>2.9875301864900467E-2</v>
      </c>
      <c r="L27" s="54">
        <f>'R2'!L33</f>
        <v>8.4693569048554226E-2</v>
      </c>
      <c r="M27" s="54">
        <f>'R2'!M33</f>
        <v>5.7158476495609664E-2</v>
      </c>
      <c r="O27" s="54">
        <f>'R2'!O33</f>
        <v>0.18309966426295757</v>
      </c>
      <c r="P27" s="54">
        <f>'R2'!P33</f>
        <v>2.3890038043315482</v>
      </c>
      <c r="Q27" s="54">
        <f>'R2'!Q33</f>
        <v>0.20358970984217359</v>
      </c>
      <c r="R27" s="54">
        <f>'R2'!R33</f>
        <v>0.66135115729393423</v>
      </c>
      <c r="S27" s="54">
        <f>'R2'!S33</f>
        <v>0.59339714780073949</v>
      </c>
      <c r="T27" s="54">
        <f>'R2'!T33</f>
        <v>3.4644355414212256E-2</v>
      </c>
      <c r="U27" s="54">
        <f>'R2'!U33</f>
        <v>0.71008290201533419</v>
      </c>
      <c r="V27" s="54">
        <f>'R2'!V33</f>
        <v>1.3675447866018735</v>
      </c>
    </row>
    <row r="28" spans="1:22" x14ac:dyDescent="0.35">
      <c r="A28" s="223"/>
      <c r="B28" s="54">
        <f>'R2'!B34</f>
        <v>0.14756749136145628</v>
      </c>
      <c r="C28" s="54">
        <f>'R2'!C34</f>
        <v>0.32364884595163418</v>
      </c>
      <c r="D28" s="54">
        <f>'R2'!D34</f>
        <v>6.0981292327813401E-2</v>
      </c>
      <c r="E28" s="54">
        <f>'R2'!E34</f>
        <v>0.1256166309350201</v>
      </c>
      <c r="F28" s="54">
        <f>'R2'!F34</f>
        <v>0.78547498135111893</v>
      </c>
      <c r="G28" s="54">
        <f>'R2'!G34</f>
        <v>1.44822157847319</v>
      </c>
      <c r="H28" s="54">
        <f>'R2'!H34</f>
        <v>2.8704007167203982</v>
      </c>
      <c r="I28" s="54">
        <f>'R2'!I34</f>
        <v>3.1697456652112203E-2</v>
      </c>
      <c r="J28" s="54">
        <f>'R2'!J34</f>
        <v>0.1179175246687148</v>
      </c>
      <c r="K28" s="54">
        <f>'R2'!K34</f>
        <v>3.825025909681027E-2</v>
      </c>
      <c r="L28" s="54">
        <f>'R2'!L34</f>
        <v>6.2339485395668935E-2</v>
      </c>
      <c r="M28" s="54">
        <f>'R2'!M34</f>
        <v>1.5724469424536317E-2</v>
      </c>
      <c r="O28" s="54">
        <f>'R2'!O34</f>
        <v>1.0923844222982659</v>
      </c>
      <c r="P28" s="54">
        <f>'R2'!P34</f>
        <v>2.2454370168565858</v>
      </c>
      <c r="Q28" s="54">
        <f>'R2'!Q34</f>
        <v>6.8495401199691872E-2</v>
      </c>
      <c r="R28" s="54">
        <f>'R2'!R34</f>
        <v>1.2908737987958447</v>
      </c>
      <c r="S28" s="54">
        <f>'R2'!S34</f>
        <v>0.53516979747066362</v>
      </c>
      <c r="T28" s="54">
        <f>'R2'!T34</f>
        <v>0.25154128175900653</v>
      </c>
      <c r="U28" s="54">
        <f>'R2'!U34</f>
        <v>1.525781851999797</v>
      </c>
      <c r="V28" s="54">
        <f>'R2'!V34</f>
        <v>1.8888697623597965</v>
      </c>
    </row>
    <row r="29" spans="1:22" x14ac:dyDescent="0.35">
      <c r="A29" s="223"/>
      <c r="B29" s="54">
        <f>'R2'!B35</f>
        <v>3.3065850077555171E-2</v>
      </c>
      <c r="C29" s="54">
        <f>'R2'!C35</f>
        <v>3.1633627141754397E-2</v>
      </c>
      <c r="D29" s="54">
        <f>'R2'!D35</f>
        <v>0.23327321407425558</v>
      </c>
      <c r="E29" s="54">
        <f>'R2'!E35</f>
        <v>0.10831574261060596</v>
      </c>
      <c r="F29" s="54">
        <f>'R2'!F35</f>
        <v>0.99647818744714944</v>
      </c>
      <c r="G29" s="54">
        <f>'R2'!G35</f>
        <v>0.69725116127207354</v>
      </c>
      <c r="H29" s="54">
        <f>'R2'!H35</f>
        <v>3.1370154996288155</v>
      </c>
      <c r="I29" s="54">
        <f>'R2'!I35</f>
        <v>0.11669039074077069</v>
      </c>
      <c r="J29" s="54">
        <f>'R2'!J35</f>
        <v>4.4399374662441579E-2</v>
      </c>
      <c r="K29" s="54">
        <f>'R2'!K35</f>
        <v>3.3442490553927944E-2</v>
      </c>
      <c r="L29" s="54">
        <f>'R2'!L35</f>
        <v>9.126986322587792E-2</v>
      </c>
      <c r="M29" s="54">
        <f>'R2'!M35</f>
        <v>0.13727285774176384</v>
      </c>
      <c r="O29" s="54">
        <f>'R2'!O35</f>
        <v>1.2595392275924495</v>
      </c>
      <c r="P29" s="54">
        <f>'R2'!P35</f>
        <v>0.50488756315837324</v>
      </c>
      <c r="Q29" s="54">
        <f>'R2'!Q35</f>
        <v>2.2324100783613108E-2</v>
      </c>
      <c r="R29" s="54">
        <f>'R2'!R35</f>
        <v>1.4309440273305289</v>
      </c>
      <c r="S29" s="54">
        <f>'R2'!S35</f>
        <v>1.3064080160962879</v>
      </c>
      <c r="T29" s="54">
        <f>'R2'!T35</f>
        <v>1.0736888669000777</v>
      </c>
      <c r="U29" s="54">
        <f>'R2'!U35</f>
        <v>1.3100466072884274</v>
      </c>
      <c r="V29" s="54">
        <f>'R2'!V35</f>
        <v>0.21098512364394359</v>
      </c>
    </row>
    <row r="30" spans="1:22" x14ac:dyDescent="0.35">
      <c r="A30" s="223"/>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1.5356250425208089</v>
      </c>
      <c r="P30" s="54" t="str">
        <f>'R2'!P36</f>
        <v/>
      </c>
      <c r="Q30" s="54" t="str">
        <f>'R2'!Q36</f>
        <v/>
      </c>
      <c r="R30" s="54" t="str">
        <f>'R2'!R36</f>
        <v/>
      </c>
      <c r="S30" s="54" t="str">
        <f>'R2'!S36</f>
        <v/>
      </c>
      <c r="T30" s="54" t="str">
        <f>'R2'!T36</f>
        <v/>
      </c>
      <c r="U30" s="54" t="str">
        <f>'R2'!U36</f>
        <v/>
      </c>
      <c r="V30" s="54" t="str">
        <f>'R2'!V36</f>
        <v/>
      </c>
    </row>
    <row r="31" spans="1:22" s="1" customFormat="1" x14ac:dyDescent="0.35">
      <c r="A31" s="223"/>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1.6641667032694651</v>
      </c>
      <c r="P31" s="54" t="str">
        <f>'R2'!P37</f>
        <v/>
      </c>
      <c r="Q31" s="54" t="str">
        <f>'R2'!Q37</f>
        <v/>
      </c>
      <c r="R31" s="54" t="str">
        <f>'R2'!R37</f>
        <v/>
      </c>
      <c r="S31" s="54" t="str">
        <f>'R2'!S37</f>
        <v/>
      </c>
      <c r="T31" s="54" t="str">
        <f>'R2'!T37</f>
        <v/>
      </c>
      <c r="U31" s="54" t="str">
        <f>'R2'!U37</f>
        <v/>
      </c>
      <c r="V31" s="54" t="str">
        <f>'R2'!V37</f>
        <v/>
      </c>
    </row>
    <row r="32" spans="1:22" s="1" customFormat="1" x14ac:dyDescent="0.35">
      <c r="A32" s="223"/>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0.76715529367494073</v>
      </c>
      <c r="P32" s="54" t="str">
        <f>'R2'!P38</f>
        <v/>
      </c>
      <c r="Q32" s="54" t="str">
        <f>'R2'!Q38</f>
        <v/>
      </c>
      <c r="R32" s="54" t="str">
        <f>'R2'!R38</f>
        <v/>
      </c>
      <c r="S32" s="54" t="str">
        <f>'R2'!S38</f>
        <v/>
      </c>
      <c r="T32" s="54" t="str">
        <f>'R2'!T38</f>
        <v/>
      </c>
      <c r="U32" s="54" t="str">
        <f>'R2'!U38</f>
        <v/>
      </c>
      <c r="V32" s="54" t="str">
        <f>'R2'!V38</f>
        <v/>
      </c>
    </row>
    <row r="33" spans="1:22" s="1" customFormat="1" x14ac:dyDescent="0.35">
      <c r="A33" s="223"/>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0.65773528508005752</v>
      </c>
      <c r="P33" s="54" t="str">
        <f>'R2'!P39</f>
        <v/>
      </c>
      <c r="Q33" s="54" t="str">
        <f>'R2'!Q39</f>
        <v/>
      </c>
      <c r="R33" s="54" t="str">
        <f>'R2'!R39</f>
        <v/>
      </c>
      <c r="S33" s="54" t="str">
        <f>'R2'!S39</f>
        <v/>
      </c>
      <c r="T33" s="54" t="str">
        <f>'R2'!T39</f>
        <v/>
      </c>
      <c r="U33" s="54" t="str">
        <f>'R2'!U39</f>
        <v/>
      </c>
      <c r="V33" s="54" t="str">
        <f>'R2'!V39</f>
        <v/>
      </c>
    </row>
    <row r="34" spans="1:22" s="1" customFormat="1" x14ac:dyDescent="0.35">
      <c r="A34" s="223"/>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0.53499469133207922</v>
      </c>
      <c r="P34" s="54" t="str">
        <f>'R2'!P40</f>
        <v/>
      </c>
      <c r="Q34" s="54" t="str">
        <f>'R2'!Q40</f>
        <v/>
      </c>
      <c r="R34" s="54" t="str">
        <f>'R2'!R40</f>
        <v/>
      </c>
      <c r="S34" s="54" t="str">
        <f>'R2'!S40</f>
        <v/>
      </c>
      <c r="T34" s="54" t="str">
        <f>'R2'!T40</f>
        <v/>
      </c>
      <c r="U34" s="54" t="str">
        <f>'R2'!U40</f>
        <v/>
      </c>
      <c r="V34" s="54" t="str">
        <f>'R2'!V40</f>
        <v/>
      </c>
    </row>
    <row r="35" spans="1:22" s="1" customFormat="1" x14ac:dyDescent="0.35">
      <c r="A35" s="223"/>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1.0579333327501614</v>
      </c>
      <c r="P35" s="54" t="str">
        <f>'R2'!P41</f>
        <v/>
      </c>
      <c r="Q35" s="54" t="str">
        <f>'R2'!Q41</f>
        <v/>
      </c>
      <c r="R35" s="54" t="str">
        <f>'R2'!R41</f>
        <v/>
      </c>
      <c r="S35" s="54" t="str">
        <f>'R2'!S41</f>
        <v/>
      </c>
      <c r="T35" s="54" t="str">
        <f>'R2'!T41</f>
        <v/>
      </c>
      <c r="U35" s="54" t="str">
        <f>'R2'!U41</f>
        <v/>
      </c>
      <c r="V35" s="54" t="str">
        <f>'R2'!V41</f>
        <v/>
      </c>
    </row>
    <row r="36" spans="1:22" x14ac:dyDescent="0.35">
      <c r="A36" s="223"/>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1.3625529479697995</v>
      </c>
      <c r="P36" s="54" t="str">
        <f>'R2'!P42</f>
        <v/>
      </c>
      <c r="Q36" s="54" t="str">
        <f>'R2'!Q42</f>
        <v/>
      </c>
      <c r="R36" s="54" t="str">
        <f>'R2'!R42</f>
        <v/>
      </c>
      <c r="S36" s="54" t="str">
        <f>'R2'!S42</f>
        <v/>
      </c>
      <c r="T36" s="54" t="str">
        <f>'R2'!T42</f>
        <v/>
      </c>
      <c r="U36" s="54" t="str">
        <f>'R2'!U42</f>
        <v/>
      </c>
      <c r="V36" s="54" t="str">
        <f>'R2'!V42</f>
        <v/>
      </c>
    </row>
    <row r="37" spans="1:22" x14ac:dyDescent="0.35">
      <c r="A37" s="224"/>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t="str">
        <f>'R2'!O43</f>
        <v/>
      </c>
      <c r="P37" s="54" t="str">
        <f>'R2'!P43</f>
        <v/>
      </c>
      <c r="Q37" s="54" t="str">
        <f>'R2'!Q43</f>
        <v/>
      </c>
      <c r="R37" s="54" t="str">
        <f>'R2'!R43</f>
        <v/>
      </c>
      <c r="S37" s="54" t="str">
        <f>'R2'!S43</f>
        <v/>
      </c>
      <c r="T37" s="54" t="str">
        <f>'R2'!T43</f>
        <v/>
      </c>
      <c r="U37" s="54" t="str">
        <f>'R2'!U43</f>
        <v/>
      </c>
      <c r="V37" s="54" t="str">
        <f>'R2'!V43</f>
        <v/>
      </c>
    </row>
    <row r="38" spans="1:22" s="1" customFormat="1" x14ac:dyDescent="0.35">
      <c r="A38" s="153" t="s">
        <v>115</v>
      </c>
      <c r="B38" s="154">
        <f>'R3'!B28</f>
        <v>3.2516292472624039E-2</v>
      </c>
      <c r="C38" s="154">
        <f>'R3'!C28</f>
        <v>2.9609028097578798E-2</v>
      </c>
      <c r="D38" s="154">
        <f>'R3'!D28</f>
        <v>0.18387117688847124</v>
      </c>
      <c r="E38" s="154">
        <f>'R3'!E28</f>
        <v>8.2076879851997714E-2</v>
      </c>
      <c r="F38" s="154">
        <f>'R3'!F28</f>
        <v>0.17676274524110439</v>
      </c>
      <c r="G38" s="154">
        <f>'R3'!G28</f>
        <v>0.67529016658793639</v>
      </c>
      <c r="H38" s="154">
        <f>'R3'!H28</f>
        <v>1.754046828181411</v>
      </c>
      <c r="I38" s="154">
        <f>'R3'!I28</f>
        <v>9.349959644070685E-2</v>
      </c>
      <c r="J38" s="154">
        <f>'R3'!J28</f>
        <v>1.8247015015582013E-2</v>
      </c>
      <c r="K38" s="154">
        <f>'R3'!K28</f>
        <v>1.6699458179543325E-2</v>
      </c>
      <c r="L38" s="154">
        <f>'R3'!L28</f>
        <v>7.4237455556573712E-2</v>
      </c>
      <c r="M38" s="154">
        <f>'R3'!M28</f>
        <v>7.4734051050560898E-2</v>
      </c>
      <c r="N38"/>
      <c r="O38" s="154">
        <f>'R3'!O28</f>
        <v>7.3430711053501546E-2</v>
      </c>
      <c r="P38" s="154">
        <f>'R3'!P28</f>
        <v>1.8246293204976987</v>
      </c>
      <c r="Q38" s="154">
        <f>'R3'!Q28</f>
        <v>0.14295816111972365</v>
      </c>
      <c r="R38" s="154">
        <f>'R3'!R28</f>
        <v>6.5642298108255975E-2</v>
      </c>
      <c r="S38" s="154">
        <f>'R3'!S28</f>
        <v>1.0250557379768672</v>
      </c>
      <c r="T38" s="154">
        <f>'R3'!T28</f>
        <v>9.6121452311503666E-2</v>
      </c>
      <c r="U38" s="154">
        <f>'R3'!U28</f>
        <v>1.1843270738269078</v>
      </c>
      <c r="V38" s="154">
        <f>'R3'!V28</f>
        <v>4.9706862426010377E-2</v>
      </c>
    </row>
    <row r="39" spans="1:22" s="1" customFormat="1" x14ac:dyDescent="0.35">
      <c r="A39" s="222" t="s">
        <v>34</v>
      </c>
      <c r="B39" s="154">
        <f>'R3'!B29</f>
        <v>5.1116306031440913E-2</v>
      </c>
      <c r="C39" s="154">
        <f>'R3'!C29</f>
        <v>0.16148918182742417</v>
      </c>
      <c r="D39" s="154">
        <f>'R3'!D29</f>
        <v>3.6932472585947791E-2</v>
      </c>
      <c r="E39" s="154">
        <f>'R3'!E29</f>
        <v>1.0481939763043098E-2</v>
      </c>
      <c r="F39" s="154">
        <f>'R3'!F29</f>
        <v>1.5800068137560812</v>
      </c>
      <c r="G39" s="154">
        <f>'R3'!G29</f>
        <v>1.1281987751120588</v>
      </c>
      <c r="H39" s="154">
        <f>'R3'!H29</f>
        <v>1.7334027898209439</v>
      </c>
      <c r="I39" s="154">
        <f>'R3'!I29</f>
        <v>4.6504369861807365E-2</v>
      </c>
      <c r="J39" s="154">
        <f>'R3'!J29</f>
        <v>1.1701174796495746E-2</v>
      </c>
      <c r="K39" s="154">
        <f>'R3'!K29</f>
        <v>0.11581808237078176</v>
      </c>
      <c r="L39" s="154">
        <f>'R3'!L29</f>
        <v>0.10296653786357428</v>
      </c>
      <c r="M39" s="154">
        <f>'R3'!M29</f>
        <v>6.6588941239192545E-3</v>
      </c>
      <c r="N39"/>
      <c r="O39" s="154">
        <f>'R3'!O29</f>
        <v>6.4944335309439369E-2</v>
      </c>
      <c r="P39" s="154">
        <f>'R3'!P29</f>
        <v>1.5823238768095618</v>
      </c>
      <c r="Q39" s="154">
        <f>'R3'!Q29</f>
        <v>7.2607260333245924E-2</v>
      </c>
      <c r="R39" s="154">
        <f>'R3'!R29</f>
        <v>0.27828094334473708</v>
      </c>
      <c r="S39" s="154">
        <f>'R3'!S29</f>
        <v>0.12373606414548056</v>
      </c>
      <c r="T39" s="154">
        <f>'R3'!T29</f>
        <v>0.57759501412342751</v>
      </c>
      <c r="U39" s="154">
        <f>'R3'!U29</f>
        <v>0.47894811739296428</v>
      </c>
      <c r="V39" s="154">
        <f>'R3'!V29</f>
        <v>0.53349047323076526</v>
      </c>
    </row>
    <row r="40" spans="1:22" s="1" customFormat="1" x14ac:dyDescent="0.35">
      <c r="A40" s="223"/>
      <c r="B40" s="154">
        <f>'R3'!B30</f>
        <v>0.11820401074700324</v>
      </c>
      <c r="C40" s="154">
        <f>'R3'!C30</f>
        <v>0.13533668281793707</v>
      </c>
      <c r="D40" s="154">
        <f>'R3'!D30</f>
        <v>0.12158032448693931</v>
      </c>
      <c r="E40" s="154">
        <f>'R3'!E30</f>
        <v>0.19520832193725601</v>
      </c>
      <c r="F40" s="154">
        <f>'R3'!F30</f>
        <v>8.5218668909488371E-2</v>
      </c>
      <c r="G40" s="154">
        <f>'R3'!G30</f>
        <v>0.27211864471480501</v>
      </c>
      <c r="H40" s="154">
        <f>'R3'!H30</f>
        <v>2.3882226116957703</v>
      </c>
      <c r="I40" s="154">
        <f>'R3'!I30</f>
        <v>3.3735463741888967E-2</v>
      </c>
      <c r="J40" s="154">
        <f>'R3'!J30</f>
        <v>8.0507388135382288E-2</v>
      </c>
      <c r="K40" s="154">
        <f>'R3'!K30</f>
        <v>6.9880512373644676E-2</v>
      </c>
      <c r="L40" s="154">
        <f>'R3'!L30</f>
        <v>1.247495321451509E-2</v>
      </c>
      <c r="M40" s="154">
        <f>'R3'!M30</f>
        <v>8.7855828185338727E-2</v>
      </c>
      <c r="N40"/>
      <c r="O40" s="154" t="str">
        <f>'R3'!O30</f>
        <v/>
      </c>
      <c r="P40" s="154">
        <f>'R3'!P30</f>
        <v>1.4798235826866186</v>
      </c>
      <c r="Q40" s="154">
        <f>'R3'!Q30</f>
        <v>6.7981423570688745E-2</v>
      </c>
      <c r="R40" s="154">
        <f>'R3'!R30</f>
        <v>1.5003282325327234</v>
      </c>
      <c r="S40" s="154">
        <f>'R3'!S30</f>
        <v>7.1734328603317229E-2</v>
      </c>
      <c r="T40" s="154" t="str">
        <f>'R3'!T30</f>
        <v/>
      </c>
      <c r="U40" s="154">
        <f>'R3'!U30</f>
        <v>0.68463570099737903</v>
      </c>
      <c r="V40" s="154">
        <f>'R3'!V30</f>
        <v>0.63630244670329894</v>
      </c>
    </row>
    <row r="41" spans="1:22" s="1" customFormat="1" x14ac:dyDescent="0.35">
      <c r="A41" s="223"/>
      <c r="B41" s="154">
        <f>'R3'!B31</f>
        <v>0.12871362416751814</v>
      </c>
      <c r="C41" s="154">
        <f>'R3'!C31</f>
        <v>1.8569725569648424E-2</v>
      </c>
      <c r="D41" s="154">
        <f>'R3'!D31</f>
        <v>5.6611248672663421E-2</v>
      </c>
      <c r="E41" s="154">
        <f>'R3'!E31</f>
        <v>0.23169112947138076</v>
      </c>
      <c r="F41" s="154">
        <f>'R3'!F31</f>
        <v>0.58972092217434657</v>
      </c>
      <c r="G41" s="154">
        <f>'R3'!G31</f>
        <v>1.2148684618773731</v>
      </c>
      <c r="H41" s="154">
        <f>'R3'!H31</f>
        <v>1.9746573996954044</v>
      </c>
      <c r="I41" s="154">
        <f>'R3'!I31</f>
        <v>0.11783430598658494</v>
      </c>
      <c r="J41" s="154">
        <f>'R3'!J31</f>
        <v>0.2424462350146295</v>
      </c>
      <c r="K41" s="154">
        <f>'R3'!K31</f>
        <v>5.868830332355441E-2</v>
      </c>
      <c r="L41" s="154">
        <f>'R3'!L31</f>
        <v>4.9665415703990384E-2</v>
      </c>
      <c r="M41" s="154">
        <f>'R3'!M31</f>
        <v>5.8878511895532296E-2</v>
      </c>
      <c r="N41"/>
      <c r="O41" s="154">
        <f>'R3'!O31</f>
        <v>0.14164793459039018</v>
      </c>
      <c r="P41" s="154">
        <f>'R3'!P31</f>
        <v>1.4121730952502125</v>
      </c>
      <c r="Q41" s="154">
        <f>'R3'!Q31</f>
        <v>6.1066069883747354E-2</v>
      </c>
      <c r="R41" s="154">
        <f>'R3'!R31</f>
        <v>0.11785917401979694</v>
      </c>
      <c r="S41" s="154">
        <f>'R3'!S31</f>
        <v>0.39547824509596863</v>
      </c>
      <c r="T41" s="154">
        <f>'R3'!T31</f>
        <v>0.77954767419615179</v>
      </c>
      <c r="U41" s="154">
        <f>'R3'!U31</f>
        <v>1.9524989618765147</v>
      </c>
      <c r="V41" s="154">
        <f>'R3'!V31</f>
        <v>1.0585126797467816</v>
      </c>
    </row>
    <row r="42" spans="1:22" s="1" customFormat="1" x14ac:dyDescent="0.35">
      <c r="A42" s="223"/>
      <c r="B42" s="154">
        <f>'R3'!B32</f>
        <v>4.4377579144492391E-2</v>
      </c>
      <c r="C42" s="154">
        <f>'R3'!C32</f>
        <v>8.2383075481443843E-2</v>
      </c>
      <c r="D42" s="154">
        <f>'R3'!D32</f>
        <v>0.13151606021794668</v>
      </c>
      <c r="E42" s="154">
        <f>'R3'!E32</f>
        <v>0.31713067752714186</v>
      </c>
      <c r="F42" s="154">
        <f>'R3'!F32</f>
        <v>0.1803210419728021</v>
      </c>
      <c r="G42" s="154">
        <f>'R3'!G32</f>
        <v>0.90353050574812044</v>
      </c>
      <c r="H42" s="154">
        <f>'R3'!H32</f>
        <v>1.5179669371974274</v>
      </c>
      <c r="I42" s="154">
        <f>'R3'!I32</f>
        <v>4.7621390902339945E-2</v>
      </c>
      <c r="J42" s="154">
        <f>'R3'!J32</f>
        <v>5.2216493326414613E-3</v>
      </c>
      <c r="K42" s="154">
        <f>'R3'!K32</f>
        <v>6.3775665276851103E-3</v>
      </c>
      <c r="L42" s="154">
        <f>'R3'!L32</f>
        <v>0.16381172860104895</v>
      </c>
      <c r="M42" s="154">
        <f>'R3'!M32</f>
        <v>0.10306868809230661</v>
      </c>
      <c r="N42"/>
      <c r="O42" s="154">
        <f>'R3'!O32</f>
        <v>0.93947284802710462</v>
      </c>
      <c r="P42" s="154">
        <f>'R3'!P32</f>
        <v>1.2879418384228747</v>
      </c>
      <c r="Q42" s="154">
        <f>'R3'!Q32</f>
        <v>0.11537122294321854</v>
      </c>
      <c r="R42" s="154">
        <f>'R3'!R32</f>
        <v>3.4755308160331604E-3</v>
      </c>
      <c r="S42" s="154">
        <f>'R3'!S32</f>
        <v>0.91863012045769221</v>
      </c>
      <c r="T42" s="154">
        <f>'R3'!T32</f>
        <v>0.96143540226130941</v>
      </c>
      <c r="U42" s="154">
        <f>'R3'!U32</f>
        <v>8.6366296760128025E-2</v>
      </c>
      <c r="V42" s="154">
        <f>'R3'!V32</f>
        <v>0.4853985663872169</v>
      </c>
    </row>
    <row r="43" spans="1:22" s="1" customFormat="1" x14ac:dyDescent="0.35">
      <c r="A43" s="223"/>
      <c r="B43" s="154">
        <f>'R3'!B33</f>
        <v>1.7543632260808927E-2</v>
      </c>
      <c r="C43" s="154">
        <f>'R3'!C33</f>
        <v>0.2224145241488667</v>
      </c>
      <c r="D43" s="154">
        <f>'R3'!D33</f>
        <v>0.35045805046760325</v>
      </c>
      <c r="E43" s="154">
        <f>'R3'!E33</f>
        <v>9.0404482768629474E-2</v>
      </c>
      <c r="F43" s="154">
        <f>'R3'!F33</f>
        <v>0.21222494318653384</v>
      </c>
      <c r="G43" s="154">
        <f>'R3'!G33</f>
        <v>0.4986460227359969</v>
      </c>
      <c r="H43" s="154">
        <f>'R3'!H33</f>
        <v>2.0877308163698349</v>
      </c>
      <c r="I43" s="154">
        <f>'R3'!I33</f>
        <v>2.8886197265550181E-2</v>
      </c>
      <c r="J43" s="154">
        <f>'R3'!J33</f>
        <v>0.16544217888112758</v>
      </c>
      <c r="K43" s="154">
        <f>'R3'!K33</f>
        <v>6.8417315557963598E-2</v>
      </c>
      <c r="L43" s="154">
        <f>'R3'!L33</f>
        <v>3.5529915512791346E-2</v>
      </c>
      <c r="M43" s="154">
        <f>'R3'!M33</f>
        <v>2.9087564570379604E-2</v>
      </c>
      <c r="N43"/>
      <c r="O43" s="154">
        <f>'R3'!O33</f>
        <v>1.7200700169889902</v>
      </c>
      <c r="P43" s="154">
        <f>'R3'!P33</f>
        <v>2.8428994011454534</v>
      </c>
      <c r="Q43" s="154">
        <f>'R3'!Q33</f>
        <v>1.1935763243128887E-2</v>
      </c>
      <c r="R43" s="154">
        <f>'R3'!R33</f>
        <v>1.1415853011542627</v>
      </c>
      <c r="S43" s="154">
        <f>'R3'!S33</f>
        <v>1.5996301149994778</v>
      </c>
      <c r="T43" s="154">
        <f>'R3'!T33</f>
        <v>1.0976849331906897</v>
      </c>
      <c r="U43" s="154">
        <f>'R3'!U33</f>
        <v>1.201186580117636</v>
      </c>
      <c r="V43" s="154">
        <f>'R3'!V33</f>
        <v>1.1057865558260311</v>
      </c>
    </row>
    <row r="44" spans="1:22" s="1" customFormat="1" x14ac:dyDescent="0.35">
      <c r="A44" s="223"/>
      <c r="B44" s="154">
        <f>'R3'!B34</f>
        <v>0.10915638262260269</v>
      </c>
      <c r="C44" s="154">
        <f>'R3'!C34</f>
        <v>0.13014806333453613</v>
      </c>
      <c r="D44" s="154">
        <f>'R3'!D34</f>
        <v>0.15268717335413282</v>
      </c>
      <c r="E44" s="154">
        <f>'R3'!E34</f>
        <v>2.7275258826914766E-2</v>
      </c>
      <c r="F44" s="154">
        <f>'R3'!F34</f>
        <v>0.1131231527408543</v>
      </c>
      <c r="G44" s="154">
        <f>'R3'!G34</f>
        <v>0.93300422623935098</v>
      </c>
      <c r="H44" s="154">
        <f>'R3'!H34</f>
        <v>2.8943688332485045</v>
      </c>
      <c r="I44" s="154">
        <f>'R3'!I34</f>
        <v>0.13089002342288167</v>
      </c>
      <c r="J44" s="154">
        <f>'R3'!J34</f>
        <v>7.3695459960927689E-2</v>
      </c>
      <c r="K44" s="154">
        <f>'R3'!K34</f>
        <v>0.11494094220446333</v>
      </c>
      <c r="L44" s="154">
        <f>'R3'!L34</f>
        <v>0.13604548552866658</v>
      </c>
      <c r="M44" s="154">
        <f>'R3'!M34</f>
        <v>4.8852294782145917E-3</v>
      </c>
      <c r="N44"/>
      <c r="O44" s="154">
        <f>'R3'!O34</f>
        <v>1.1547292682263683</v>
      </c>
      <c r="P44" s="154">
        <f>'R3'!P34</f>
        <v>1.6891051709678562</v>
      </c>
      <c r="Q44" s="154">
        <f>'R3'!Q34</f>
        <v>9.3160370962020178E-2</v>
      </c>
      <c r="R44" s="154">
        <f>'R3'!R34</f>
        <v>0.20811215307839642</v>
      </c>
      <c r="S44" s="154">
        <f>'R3'!S34</f>
        <v>9.2324549989346277E-2</v>
      </c>
      <c r="T44" s="154">
        <f>'R3'!T34</f>
        <v>0.18667093484301539</v>
      </c>
      <c r="U44" s="154">
        <f>'R3'!U34</f>
        <v>0.99135049845995893</v>
      </c>
      <c r="V44" s="154">
        <f>'R3'!V34</f>
        <v>6.2036178235766E-3</v>
      </c>
    </row>
    <row r="45" spans="1:22" s="1" customFormat="1" x14ac:dyDescent="0.35">
      <c r="A45" s="223"/>
      <c r="B45" s="154">
        <f>'R3'!B35</f>
        <v>7.1410151472933184E-2</v>
      </c>
      <c r="C45" s="154">
        <f>'R3'!C35</f>
        <v>0.30576738916139062</v>
      </c>
      <c r="D45" s="154">
        <f>'R3'!D35</f>
        <v>8.8575853393107543E-2</v>
      </c>
      <c r="E45" s="154">
        <f>'R3'!E35</f>
        <v>0.17887563536549575</v>
      </c>
      <c r="F45" s="154">
        <f>'R3'!F35</f>
        <v>0.20536200366190077</v>
      </c>
      <c r="G45" s="154">
        <f>'R3'!G35</f>
        <v>1.5165601716878812</v>
      </c>
      <c r="H45" s="154">
        <f>'R3'!H35</f>
        <v>1.4727868219862525</v>
      </c>
      <c r="I45" s="154">
        <f>'R3'!I35</f>
        <v>0.17069966368726941</v>
      </c>
      <c r="J45" s="154" t="str">
        <f>'R3'!J35</f>
        <v/>
      </c>
      <c r="K45" s="154">
        <f>'R3'!K35</f>
        <v>1.5858153486725257E-2</v>
      </c>
      <c r="L45" s="154">
        <f>'R3'!L35</f>
        <v>1.6994686368701096E-2</v>
      </c>
      <c r="M45" s="154">
        <f>'R3'!M35</f>
        <v>0.24812583874349795</v>
      </c>
      <c r="N45"/>
      <c r="O45" s="154">
        <f>'R3'!O35</f>
        <v>0.11092469107653861</v>
      </c>
      <c r="P45" s="154">
        <f>'R3'!P35</f>
        <v>0.57924446613144775</v>
      </c>
      <c r="Q45" s="154">
        <f>'R3'!Q35</f>
        <v>9.869357211587651E-2</v>
      </c>
      <c r="R45" s="154">
        <f>'R3'!R35</f>
        <v>1.5400261579402204</v>
      </c>
      <c r="S45" s="154">
        <f>'R3'!S35</f>
        <v>0.69525294836677043</v>
      </c>
      <c r="T45" s="154">
        <f>'R3'!T35</f>
        <v>0.54904523671230421</v>
      </c>
      <c r="U45" s="154">
        <f>'R3'!U35</f>
        <v>0.44103635441196576</v>
      </c>
      <c r="V45" s="154">
        <f>'R3'!V35</f>
        <v>1.202819708493599</v>
      </c>
    </row>
    <row r="46" spans="1:22" s="1" customFormat="1" x14ac:dyDescent="0.35">
      <c r="A46" s="223"/>
      <c r="B46" s="154" t="str">
        <f>'R3'!B36</f>
        <v/>
      </c>
      <c r="C46" s="154" t="str">
        <f>'R3'!C36</f>
        <v/>
      </c>
      <c r="D46" s="154" t="str">
        <f>'R3'!D36</f>
        <v/>
      </c>
      <c r="E46" s="154" t="str">
        <f>'R3'!E36</f>
        <v/>
      </c>
      <c r="F46" s="154" t="str">
        <f>'R3'!F36</f>
        <v/>
      </c>
      <c r="G46" s="154" t="str">
        <f>'R3'!G36</f>
        <v/>
      </c>
      <c r="H46" s="154" t="str">
        <f>'R3'!H36</f>
        <v/>
      </c>
      <c r="I46" s="154" t="str">
        <f>'R3'!I36</f>
        <v/>
      </c>
      <c r="J46" s="154" t="str">
        <f>'R3'!J36</f>
        <v/>
      </c>
      <c r="K46" s="154" t="str">
        <f>'R3'!K36</f>
        <v/>
      </c>
      <c r="L46" s="154" t="str">
        <f>'R3'!L36</f>
        <v/>
      </c>
      <c r="M46" s="154" t="str">
        <f>'R3'!M36</f>
        <v/>
      </c>
      <c r="N46"/>
      <c r="O46" s="154">
        <f>'R3'!O36</f>
        <v>1.6901533266856474</v>
      </c>
      <c r="P46" s="154" t="str">
        <f>'R3'!P36</f>
        <v/>
      </c>
      <c r="Q46" s="154" t="str">
        <f>'R3'!Q36</f>
        <v/>
      </c>
      <c r="R46" s="154" t="str">
        <f>'R3'!R36</f>
        <v/>
      </c>
      <c r="S46" s="154" t="str">
        <f>'R3'!S36</f>
        <v/>
      </c>
      <c r="T46" s="154" t="str">
        <f>'R3'!T36</f>
        <v/>
      </c>
      <c r="U46" s="154" t="str">
        <f>'R3'!U36</f>
        <v/>
      </c>
      <c r="V46" s="154" t="str">
        <f>'R3'!V36</f>
        <v/>
      </c>
    </row>
    <row r="47" spans="1:22" s="1" customFormat="1" x14ac:dyDescent="0.35">
      <c r="A47" s="223"/>
      <c r="B47" s="154" t="str">
        <f>'R3'!B37</f>
        <v/>
      </c>
      <c r="C47" s="154" t="str">
        <f>'R3'!C37</f>
        <v/>
      </c>
      <c r="D47" s="154" t="str">
        <f>'R3'!D37</f>
        <v/>
      </c>
      <c r="E47" s="154" t="str">
        <f>'R3'!E37</f>
        <v/>
      </c>
      <c r="F47" s="154" t="str">
        <f>'R3'!F37</f>
        <v/>
      </c>
      <c r="G47" s="154" t="str">
        <f>'R3'!G37</f>
        <v/>
      </c>
      <c r="H47" s="154" t="str">
        <f>'R3'!H37</f>
        <v/>
      </c>
      <c r="I47" s="154" t="str">
        <f>'R3'!I37</f>
        <v/>
      </c>
      <c r="J47" s="154" t="str">
        <f>'R3'!J37</f>
        <v/>
      </c>
      <c r="K47" s="154" t="str">
        <f>'R3'!K37</f>
        <v/>
      </c>
      <c r="L47" s="154" t="str">
        <f>'R3'!L37</f>
        <v/>
      </c>
      <c r="M47" s="154" t="str">
        <f>'R3'!M37</f>
        <v/>
      </c>
      <c r="N47"/>
      <c r="O47" s="154">
        <f>'R3'!O37</f>
        <v>1.7399678230605344</v>
      </c>
      <c r="P47" s="154" t="str">
        <f>'R3'!P37</f>
        <v/>
      </c>
      <c r="Q47" s="154" t="str">
        <f>'R3'!Q37</f>
        <v/>
      </c>
      <c r="R47" s="154" t="str">
        <f>'R3'!R37</f>
        <v/>
      </c>
      <c r="S47" s="154" t="str">
        <f>'R3'!S37</f>
        <v/>
      </c>
      <c r="T47" s="154" t="str">
        <f>'R3'!T37</f>
        <v/>
      </c>
      <c r="U47" s="154" t="str">
        <f>'R3'!U37</f>
        <v/>
      </c>
      <c r="V47" s="154" t="str">
        <f>'R3'!V37</f>
        <v/>
      </c>
    </row>
    <row r="48" spans="1:22" s="1" customFormat="1" x14ac:dyDescent="0.35">
      <c r="A48" s="223"/>
      <c r="B48" s="154" t="str">
        <f>'R3'!B38</f>
        <v/>
      </c>
      <c r="C48" s="154" t="str">
        <f>'R3'!C38</f>
        <v/>
      </c>
      <c r="D48" s="154" t="str">
        <f>'R3'!D38</f>
        <v/>
      </c>
      <c r="E48" s="154" t="str">
        <f>'R3'!E38</f>
        <v/>
      </c>
      <c r="F48" s="154" t="str">
        <f>'R3'!F38</f>
        <v/>
      </c>
      <c r="G48" s="154" t="str">
        <f>'R3'!G38</f>
        <v/>
      </c>
      <c r="H48" s="154" t="str">
        <f>'R3'!H38</f>
        <v/>
      </c>
      <c r="I48" s="154" t="str">
        <f>'R3'!I38</f>
        <v/>
      </c>
      <c r="J48" s="154" t="str">
        <f>'R3'!J38</f>
        <v/>
      </c>
      <c r="K48" s="154" t="str">
        <f>'R3'!K38</f>
        <v/>
      </c>
      <c r="L48" s="154" t="str">
        <f>'R3'!L38</f>
        <v/>
      </c>
      <c r="M48" s="154" t="str">
        <f>'R3'!M38</f>
        <v/>
      </c>
      <c r="N48"/>
      <c r="O48" s="154">
        <f>'R3'!O38</f>
        <v>1.8629839257624341</v>
      </c>
      <c r="P48" s="154" t="str">
        <f>'R3'!P38</f>
        <v/>
      </c>
      <c r="Q48" s="154" t="str">
        <f>'R3'!Q38</f>
        <v/>
      </c>
      <c r="R48" s="154" t="str">
        <f>'R3'!R38</f>
        <v/>
      </c>
      <c r="S48" s="154" t="str">
        <f>'R3'!S38</f>
        <v/>
      </c>
      <c r="T48" s="154" t="str">
        <f>'R3'!T38</f>
        <v/>
      </c>
      <c r="U48" s="154" t="str">
        <f>'R3'!U38</f>
        <v/>
      </c>
      <c r="V48" s="154" t="str">
        <f>'R3'!V38</f>
        <v/>
      </c>
    </row>
    <row r="49" spans="1:24" s="1" customFormat="1" x14ac:dyDescent="0.35">
      <c r="A49" s="223"/>
      <c r="B49" s="154" t="str">
        <f>'R3'!B39</f>
        <v/>
      </c>
      <c r="C49" s="154" t="str">
        <f>'R3'!C39</f>
        <v/>
      </c>
      <c r="D49" s="154" t="str">
        <f>'R3'!D39</f>
        <v/>
      </c>
      <c r="E49" s="154" t="str">
        <f>'R3'!E39</f>
        <v/>
      </c>
      <c r="F49" s="154" t="str">
        <f>'R3'!F39</f>
        <v/>
      </c>
      <c r="G49" s="154" t="str">
        <f>'R3'!G39</f>
        <v/>
      </c>
      <c r="H49" s="154" t="str">
        <f>'R3'!H39</f>
        <v/>
      </c>
      <c r="I49" s="154" t="str">
        <f>'R3'!I39</f>
        <v/>
      </c>
      <c r="J49" s="154" t="str">
        <f>'R3'!J39</f>
        <v/>
      </c>
      <c r="K49" s="154" t="str">
        <f>'R3'!K39</f>
        <v/>
      </c>
      <c r="L49" s="154" t="str">
        <f>'R3'!L39</f>
        <v/>
      </c>
      <c r="M49" s="154" t="str">
        <f>'R3'!M39</f>
        <v/>
      </c>
      <c r="N49"/>
      <c r="O49" s="154">
        <f>'R3'!O39</f>
        <v>1.030871797067463</v>
      </c>
      <c r="P49" s="154" t="str">
        <f>'R3'!P39</f>
        <v/>
      </c>
      <c r="Q49" s="154" t="str">
        <f>'R3'!Q39</f>
        <v/>
      </c>
      <c r="R49" s="154" t="str">
        <f>'R3'!R39</f>
        <v/>
      </c>
      <c r="S49" s="154" t="str">
        <f>'R3'!S39</f>
        <v/>
      </c>
      <c r="T49" s="154" t="str">
        <f>'R3'!T39</f>
        <v/>
      </c>
      <c r="U49" s="154" t="str">
        <f>'R3'!U39</f>
        <v/>
      </c>
      <c r="V49" s="154" t="str">
        <f>'R3'!V39</f>
        <v/>
      </c>
    </row>
    <row r="50" spans="1:24" s="1" customFormat="1" x14ac:dyDescent="0.35">
      <c r="A50" s="223"/>
      <c r="B50" s="154" t="str">
        <f>'R3'!B40</f>
        <v/>
      </c>
      <c r="C50" s="154" t="str">
        <f>'R3'!C40</f>
        <v/>
      </c>
      <c r="D50" s="154" t="str">
        <f>'R3'!D40</f>
        <v/>
      </c>
      <c r="E50" s="154" t="str">
        <f>'R3'!E40</f>
        <v/>
      </c>
      <c r="F50" s="154" t="str">
        <f>'R3'!F40</f>
        <v/>
      </c>
      <c r="G50" s="154" t="str">
        <f>'R3'!G40</f>
        <v/>
      </c>
      <c r="H50" s="154" t="str">
        <f>'R3'!H40</f>
        <v/>
      </c>
      <c r="I50" s="154" t="str">
        <f>'R3'!I40</f>
        <v/>
      </c>
      <c r="J50" s="154" t="str">
        <f>'R3'!J40</f>
        <v/>
      </c>
      <c r="K50" s="154" t="str">
        <f>'R3'!K40</f>
        <v/>
      </c>
      <c r="L50" s="154" t="str">
        <f>'R3'!L40</f>
        <v/>
      </c>
      <c r="M50" s="154" t="str">
        <f>'R3'!M40</f>
        <v/>
      </c>
      <c r="N50"/>
      <c r="O50" s="154">
        <f>'R3'!O40</f>
        <v>0.6844205606280015</v>
      </c>
      <c r="P50" s="154" t="str">
        <f>'R3'!P40</f>
        <v/>
      </c>
      <c r="Q50" s="154" t="str">
        <f>'R3'!Q40</f>
        <v/>
      </c>
      <c r="R50" s="154" t="str">
        <f>'R3'!R40</f>
        <v/>
      </c>
      <c r="S50" s="154" t="str">
        <f>'R3'!S40</f>
        <v/>
      </c>
      <c r="T50" s="154" t="str">
        <f>'R3'!T40</f>
        <v/>
      </c>
      <c r="U50" s="154" t="str">
        <f>'R3'!U40</f>
        <v/>
      </c>
      <c r="V50" s="154" t="str">
        <f>'R3'!V40</f>
        <v/>
      </c>
    </row>
    <row r="51" spans="1:24" s="1" customFormat="1" x14ac:dyDescent="0.35">
      <c r="A51" s="223"/>
      <c r="B51" s="154" t="str">
        <f>'R3'!B41</f>
        <v/>
      </c>
      <c r="C51" s="154" t="str">
        <f>'R3'!C41</f>
        <v/>
      </c>
      <c r="D51" s="154" t="str">
        <f>'R3'!D41</f>
        <v/>
      </c>
      <c r="E51" s="154" t="str">
        <f>'R3'!E41</f>
        <v/>
      </c>
      <c r="F51" s="154" t="str">
        <f>'R3'!F41</f>
        <v/>
      </c>
      <c r="G51" s="154" t="str">
        <f>'R3'!G41</f>
        <v/>
      </c>
      <c r="H51" s="154" t="str">
        <f>'R3'!H41</f>
        <v/>
      </c>
      <c r="I51" s="154" t="str">
        <f>'R3'!I41</f>
        <v/>
      </c>
      <c r="J51" s="154" t="str">
        <f>'R3'!J41</f>
        <v/>
      </c>
      <c r="K51" s="154" t="str">
        <f>'R3'!K41</f>
        <v/>
      </c>
      <c r="L51" s="154" t="str">
        <f>'R3'!L41</f>
        <v/>
      </c>
      <c r="M51" s="154" t="str">
        <f>'R3'!M41</f>
        <v/>
      </c>
      <c r="N51"/>
      <c r="O51" s="154">
        <f>'R3'!O41</f>
        <v>1.2196790872559518</v>
      </c>
      <c r="P51" s="154" t="str">
        <f>'R3'!P41</f>
        <v/>
      </c>
      <c r="Q51" s="154" t="str">
        <f>'R3'!Q41</f>
        <v/>
      </c>
      <c r="R51" s="154" t="str">
        <f>'R3'!R41</f>
        <v/>
      </c>
      <c r="S51" s="154" t="str">
        <f>'R3'!S41</f>
        <v/>
      </c>
      <c r="T51" s="154" t="str">
        <f>'R3'!T41</f>
        <v/>
      </c>
      <c r="U51" s="154" t="str">
        <f>'R3'!U41</f>
        <v/>
      </c>
      <c r="V51" s="154" t="str">
        <f>'R3'!V41</f>
        <v/>
      </c>
    </row>
    <row r="52" spans="1:24" s="1" customFormat="1" x14ac:dyDescent="0.35">
      <c r="A52" s="223"/>
      <c r="B52" s="154" t="str">
        <f>'R3'!B42</f>
        <v/>
      </c>
      <c r="C52" s="154" t="str">
        <f>'R3'!C42</f>
        <v/>
      </c>
      <c r="D52" s="154" t="str">
        <f>'R3'!D42</f>
        <v/>
      </c>
      <c r="E52" s="154" t="str">
        <f>'R3'!E42</f>
        <v/>
      </c>
      <c r="F52" s="154" t="str">
        <f>'R3'!F42</f>
        <v/>
      </c>
      <c r="G52" s="154" t="str">
        <f>'R3'!G42</f>
        <v/>
      </c>
      <c r="H52" s="154" t="str">
        <f>'R3'!H42</f>
        <v/>
      </c>
      <c r="I52" s="154" t="str">
        <f>'R3'!I42</f>
        <v/>
      </c>
      <c r="J52" s="154" t="str">
        <f>'R3'!J42</f>
        <v/>
      </c>
      <c r="K52" s="154" t="str">
        <f>'R3'!K42</f>
        <v/>
      </c>
      <c r="L52" s="154" t="str">
        <f>'R3'!L42</f>
        <v/>
      </c>
      <c r="M52" s="154" t="str">
        <f>'R3'!M42</f>
        <v/>
      </c>
      <c r="N52"/>
      <c r="O52" s="154">
        <f>'R3'!O42</f>
        <v>1.3425807332408883</v>
      </c>
      <c r="P52" s="154" t="str">
        <f>'R3'!P42</f>
        <v/>
      </c>
      <c r="Q52" s="154" t="str">
        <f>'R3'!Q42</f>
        <v/>
      </c>
      <c r="R52" s="154" t="str">
        <f>'R3'!R42</f>
        <v/>
      </c>
      <c r="S52" s="154" t="str">
        <f>'R3'!S42</f>
        <v/>
      </c>
      <c r="T52" s="154" t="str">
        <f>'R3'!T42</f>
        <v/>
      </c>
      <c r="U52" s="154" t="str">
        <f>'R3'!U42</f>
        <v/>
      </c>
      <c r="V52" s="154" t="str">
        <f>'R3'!V42</f>
        <v/>
      </c>
    </row>
    <row r="53" spans="1:24" s="1" customFormat="1" x14ac:dyDescent="0.35">
      <c r="A53" s="224"/>
      <c r="B53" s="154" t="str">
        <f>'R3'!B43</f>
        <v/>
      </c>
      <c r="C53" s="154" t="str">
        <f>'R3'!C43</f>
        <v/>
      </c>
      <c r="D53" s="154" t="str">
        <f>'R3'!D43</f>
        <v/>
      </c>
      <c r="E53" s="154" t="str">
        <f>'R3'!E43</f>
        <v/>
      </c>
      <c r="F53" s="154" t="str">
        <f>'R3'!F43</f>
        <v/>
      </c>
      <c r="G53" s="154" t="str">
        <f>'R3'!G43</f>
        <v/>
      </c>
      <c r="H53" s="154" t="str">
        <f>'R3'!H43</f>
        <v/>
      </c>
      <c r="I53" s="154" t="str">
        <f>'R3'!I43</f>
        <v/>
      </c>
      <c r="J53" s="154" t="str">
        <f>'R3'!J43</f>
        <v/>
      </c>
      <c r="K53" s="154" t="str">
        <f>'R3'!K43</f>
        <v/>
      </c>
      <c r="L53" s="154" t="str">
        <f>'R3'!L43</f>
        <v/>
      </c>
      <c r="M53" s="154" t="str">
        <f>'R3'!M43</f>
        <v/>
      </c>
      <c r="N53"/>
      <c r="O53" s="154">
        <f>'R3'!O43</f>
        <v>1.2241229410267473</v>
      </c>
      <c r="P53" s="154" t="str">
        <f>'R3'!P43</f>
        <v/>
      </c>
      <c r="Q53" s="154" t="str">
        <f>'R3'!Q43</f>
        <v/>
      </c>
      <c r="R53" s="154" t="str">
        <f>'R3'!R43</f>
        <v/>
      </c>
      <c r="S53" s="154" t="str">
        <f>'R3'!S43</f>
        <v/>
      </c>
      <c r="T53" s="154" t="str">
        <f>'R3'!T43</f>
        <v/>
      </c>
      <c r="U53" s="154" t="str">
        <f>'R3'!U43</f>
        <v/>
      </c>
      <c r="V53" s="154" t="str">
        <f>'R3'!V43</f>
        <v/>
      </c>
    </row>
    <row r="54" spans="1:24" s="60" customFormat="1" x14ac:dyDescent="0.3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Saccharin-0,01mg/L</v>
      </c>
      <c r="J55" s="15" t="str">
        <f t="shared" si="0"/>
        <v>Saccharin-0,1mg/L</v>
      </c>
      <c r="K55" s="15" t="str">
        <f t="shared" si="0"/>
        <v>Saccharin-1mg/L</v>
      </c>
      <c r="L55" s="15" t="str">
        <f t="shared" si="0"/>
        <v>Saccharin-10mg/L</v>
      </c>
      <c r="M55" s="15" t="str">
        <f t="shared" si="0"/>
        <v>Saccharin-100mg/L</v>
      </c>
      <c r="O55" s="15" t="str">
        <f t="shared" ref="O55:V55" si="1">O4</f>
        <v>Testo -30µg/L</v>
      </c>
      <c r="P55" s="15" t="str">
        <f t="shared" si="1"/>
        <v>Testo 30µg/L + EE2 -64ng/L</v>
      </c>
      <c r="Q55" s="15" t="str">
        <f t="shared" si="1"/>
        <v>Testo 30µg/L + FAD-10mg/L</v>
      </c>
      <c r="R55" s="15" t="str">
        <f t="shared" si="1"/>
        <v>Saccharin-0,01mg/L + Testostérone</v>
      </c>
      <c r="S55" s="15" t="str">
        <f t="shared" si="1"/>
        <v>Saccharin-0,1mg/L + Testostérone</v>
      </c>
      <c r="T55" s="15" t="str">
        <f t="shared" si="1"/>
        <v>Saccharin-1mg/L + Testostérone</v>
      </c>
      <c r="U55" s="15" t="str">
        <f t="shared" si="1"/>
        <v>Saccharin-10mg/L + Testostérone</v>
      </c>
      <c r="V55" s="15" t="str">
        <f t="shared" si="1"/>
        <v>Saccharin-100mg/L + Testostérone</v>
      </c>
    </row>
    <row r="56" spans="1:24" x14ac:dyDescent="0.35">
      <c r="A56" t="s">
        <v>48</v>
      </c>
      <c r="B56" s="9">
        <f t="shared" ref="B56:V56" si="2">AVERAGE(B6:B53)</f>
        <v>7.8676725833831646E-2</v>
      </c>
      <c r="C56" s="9">
        <f t="shared" si="2"/>
        <v>0.1413798760240256</v>
      </c>
      <c r="D56" s="9">
        <f t="shared" si="2"/>
        <v>0.11086803021402121</v>
      </c>
      <c r="E56" s="9">
        <f t="shared" si="2"/>
        <v>0.1859859834077707</v>
      </c>
      <c r="F56" s="9">
        <f t="shared" si="2"/>
        <v>0.76438584872948445</v>
      </c>
      <c r="G56" s="9">
        <f t="shared" si="2"/>
        <v>1.1782401016003241</v>
      </c>
      <c r="H56" s="9">
        <f t="shared" si="2"/>
        <v>2.4462431165074747</v>
      </c>
      <c r="I56" s="9">
        <f t="shared" si="2"/>
        <v>0.10124859397866527</v>
      </c>
      <c r="J56" s="9">
        <f t="shared" si="2"/>
        <v>8.3693471332277836E-2</v>
      </c>
      <c r="K56" s="9">
        <f t="shared" si="2"/>
        <v>5.8206615243981234E-2</v>
      </c>
      <c r="L56" s="9">
        <f t="shared" si="2"/>
        <v>8.2606671441497956E-2</v>
      </c>
      <c r="M56" s="9">
        <f t="shared" si="2"/>
        <v>6.6278836476519457E-2</v>
      </c>
      <c r="N56" s="9"/>
      <c r="O56" s="9">
        <f t="shared" si="2"/>
        <v>0.99999999999999989</v>
      </c>
      <c r="P56" s="9">
        <f t="shared" si="2"/>
        <v>1.639209691448118</v>
      </c>
      <c r="Q56" s="9">
        <f t="shared" si="2"/>
        <v>0.10408190609223912</v>
      </c>
      <c r="R56" s="9">
        <f t="shared" si="2"/>
        <v>0.82117452174919114</v>
      </c>
      <c r="S56" s="9">
        <f t="shared" si="2"/>
        <v>0.73940087657718034</v>
      </c>
      <c r="T56" s="9">
        <f t="shared" si="2"/>
        <v>0.73187028301857115</v>
      </c>
      <c r="U56" s="9">
        <f t="shared" si="2"/>
        <v>0.83586312370307081</v>
      </c>
      <c r="V56" s="9">
        <f t="shared" si="2"/>
        <v>0.76044074864725841</v>
      </c>
    </row>
    <row r="57" spans="1:24" x14ac:dyDescent="0.35">
      <c r="A57" t="s">
        <v>1</v>
      </c>
      <c r="B57" s="3">
        <f>STDEV(B6:B53)</f>
        <v>6.0283905985594265E-2</v>
      </c>
      <c r="C57" s="3">
        <f t="shared" ref="C57:V57" si="3">STDEV(C6:C53)</f>
        <v>0.1123353059468238</v>
      </c>
      <c r="D57" s="3">
        <f t="shared" si="3"/>
        <v>9.5731993082060027E-2</v>
      </c>
      <c r="E57" s="3">
        <f t="shared" si="3"/>
        <v>0.16110728435400956</v>
      </c>
      <c r="F57" s="3">
        <f t="shared" si="3"/>
        <v>0.72128464186677288</v>
      </c>
      <c r="G57" s="3">
        <f t="shared" si="3"/>
        <v>0.48181175968489487</v>
      </c>
      <c r="H57" s="3">
        <f t="shared" si="3"/>
        <v>0.69181949425661293</v>
      </c>
      <c r="I57" s="3">
        <f t="shared" si="3"/>
        <v>0.13709222255937692</v>
      </c>
      <c r="J57" s="3">
        <f t="shared" si="3"/>
        <v>8.5200657741135943E-2</v>
      </c>
      <c r="K57" s="3">
        <f t="shared" si="3"/>
        <v>4.6270036504678133E-2</v>
      </c>
      <c r="L57" s="3">
        <f t="shared" si="3"/>
        <v>8.3317281234053298E-2</v>
      </c>
      <c r="M57" s="3">
        <f t="shared" si="3"/>
        <v>6.9277865026515006E-2</v>
      </c>
      <c r="N57" s="3"/>
      <c r="O57" s="3">
        <f t="shared" si="3"/>
        <v>0.51608969151961293</v>
      </c>
      <c r="P57" s="3">
        <f t="shared" si="3"/>
        <v>0.72514237964235106</v>
      </c>
      <c r="Q57" s="3">
        <f t="shared" si="3"/>
        <v>8.2529830146963579E-2</v>
      </c>
      <c r="R57" s="3">
        <f t="shared" si="3"/>
        <v>0.55641610696166632</v>
      </c>
      <c r="S57" s="3">
        <f t="shared" si="3"/>
        <v>0.53076904725123941</v>
      </c>
      <c r="T57" s="3">
        <f t="shared" si="3"/>
        <v>0.52899235312287562</v>
      </c>
      <c r="U57" s="3">
        <f t="shared" si="3"/>
        <v>0.61115285381074869</v>
      </c>
      <c r="V57" s="3">
        <f t="shared" si="3"/>
        <v>0.67473061845687299</v>
      </c>
      <c r="W57" s="3"/>
      <c r="X57" s="3"/>
    </row>
    <row r="58" spans="1:24" x14ac:dyDescent="0.35">
      <c r="A58" t="s">
        <v>2</v>
      </c>
      <c r="B58" s="3">
        <f xml:space="preserve"> B57/SQRT(COUNT(B6:B53))</f>
        <v>1.230540078055155E-2</v>
      </c>
      <c r="C58" s="3">
        <f t="shared" ref="C58:V58" si="4" xml:space="preserve"> C57/SQRT(COUNT(C6:C53))</f>
        <v>2.2930348305762922E-2</v>
      </c>
      <c r="D58" s="3">
        <f t="shared" si="4"/>
        <v>1.9961500444021684E-2</v>
      </c>
      <c r="E58" s="3">
        <f t="shared" si="4"/>
        <v>3.2885886709399938E-2</v>
      </c>
      <c r="F58" s="3">
        <f t="shared" si="4"/>
        <v>0.14723161098997486</v>
      </c>
      <c r="G58" s="3">
        <f t="shared" si="4"/>
        <v>9.8349413608371974E-2</v>
      </c>
      <c r="H58" s="3">
        <f t="shared" si="4"/>
        <v>0.14121706291991828</v>
      </c>
      <c r="I58" s="3">
        <f t="shared" si="4"/>
        <v>2.7983832747878534E-2</v>
      </c>
      <c r="J58" s="3">
        <f t="shared" si="4"/>
        <v>1.7765565226170333E-2</v>
      </c>
      <c r="K58" s="3">
        <f t="shared" si="4"/>
        <v>9.4448316513676932E-3</v>
      </c>
      <c r="L58" s="3">
        <f t="shared" si="4"/>
        <v>1.7372854077347136E-2</v>
      </c>
      <c r="M58" s="3">
        <f t="shared" si="4"/>
        <v>1.4445433433128889E-2</v>
      </c>
      <c r="N58" s="3"/>
      <c r="O58" s="3">
        <f t="shared" si="4"/>
        <v>7.6093273669029154E-2</v>
      </c>
      <c r="P58" s="3">
        <f t="shared" si="4"/>
        <v>0.15120263839907772</v>
      </c>
      <c r="Q58" s="3">
        <f t="shared" si="4"/>
        <v>1.6846331034885434E-2</v>
      </c>
      <c r="R58" s="3">
        <f t="shared" si="4"/>
        <v>0.11357796222682913</v>
      </c>
      <c r="S58" s="3">
        <f t="shared" si="4"/>
        <v>0.10834277808572593</v>
      </c>
      <c r="T58" s="3">
        <f t="shared" si="4"/>
        <v>0.11030253055208961</v>
      </c>
      <c r="U58" s="3">
        <f t="shared" si="4"/>
        <v>0.12475105389017468</v>
      </c>
      <c r="V58" s="3">
        <f t="shared" si="4"/>
        <v>0.13772881075432172</v>
      </c>
      <c r="W58" s="3"/>
      <c r="X58" s="3"/>
    </row>
    <row r="59" spans="1:24" s="1" customFormat="1" ht="15" thickBot="1" x14ac:dyDescent="0.4">
      <c r="B59" s="3"/>
      <c r="C59" s="3"/>
      <c r="D59" s="3"/>
      <c r="E59" s="3"/>
      <c r="F59" s="3"/>
      <c r="G59" s="3"/>
      <c r="H59" s="3"/>
      <c r="I59" s="3"/>
      <c r="J59" s="3"/>
      <c r="K59" s="3"/>
      <c r="L59" s="3"/>
      <c r="M59" s="3"/>
      <c r="N59" s="3"/>
      <c r="O59" s="3"/>
      <c r="P59" s="3"/>
      <c r="Q59" s="3"/>
      <c r="R59" s="3"/>
      <c r="S59" s="3"/>
      <c r="T59" s="3"/>
      <c r="U59" s="3"/>
      <c r="V59" s="3"/>
    </row>
    <row r="60" spans="1:24" s="48" customFormat="1" ht="26.5" thickBot="1" x14ac:dyDescent="0.4">
      <c r="A60" s="225" t="s">
        <v>46</v>
      </c>
      <c r="B60" s="226"/>
      <c r="C60" s="226"/>
      <c r="D60" s="226"/>
      <c r="E60" s="226"/>
      <c r="F60" s="226"/>
      <c r="G60" s="226"/>
      <c r="H60" s="226"/>
      <c r="I60" s="226"/>
      <c r="J60" s="226"/>
      <c r="K60" s="226"/>
      <c r="L60" s="226"/>
      <c r="M60" s="226"/>
      <c r="N60" s="226"/>
      <c r="O60" s="226"/>
      <c r="P60" s="226"/>
      <c r="Q60" s="226"/>
      <c r="R60" s="226"/>
      <c r="S60" s="226"/>
      <c r="T60" s="226"/>
      <c r="U60" s="226"/>
      <c r="V60" s="226"/>
    </row>
    <row r="61" spans="1:24" s="1" customFormat="1" x14ac:dyDescent="0.35">
      <c r="B61" s="3"/>
      <c r="C61" s="3"/>
      <c r="D61" s="3"/>
      <c r="E61" s="3"/>
      <c r="F61" s="3"/>
      <c r="G61" s="3"/>
      <c r="H61" s="3"/>
      <c r="I61" s="3"/>
      <c r="J61" s="3"/>
      <c r="K61" s="3"/>
      <c r="L61" s="3"/>
      <c r="M61" s="3"/>
      <c r="N61" s="3"/>
      <c r="O61" s="3"/>
      <c r="P61" s="3"/>
      <c r="Q61" s="3"/>
      <c r="R61" s="3"/>
      <c r="S61" s="3"/>
      <c r="T61" s="3"/>
      <c r="U61" s="3"/>
      <c r="V61" s="3"/>
    </row>
    <row r="62" spans="1:24" s="1" customFormat="1" x14ac:dyDescent="0.3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Saccharin-0,01mg/L</v>
      </c>
      <c r="J62" s="3" t="str">
        <f t="shared" si="6"/>
        <v>Saccharin-0,1mg/L</v>
      </c>
      <c r="K62" s="3" t="str">
        <f t="shared" si="6"/>
        <v>Saccharin-1mg/L</v>
      </c>
      <c r="L62" s="3" t="str">
        <f t="shared" si="6"/>
        <v>Saccharin-10mg/L</v>
      </c>
      <c r="M62" s="3" t="str">
        <f t="shared" si="6"/>
        <v>Saccharin-100mg/L</v>
      </c>
      <c r="N62" s="3"/>
      <c r="O62" s="3" t="str">
        <f t="shared" si="6"/>
        <v>Testo -30µg/L</v>
      </c>
      <c r="P62" s="3" t="str">
        <f t="shared" si="6"/>
        <v>Testo 30µg/L + EE2 -64ng/L</v>
      </c>
      <c r="Q62" s="3" t="str">
        <f t="shared" si="6"/>
        <v>Testo 30µg/L + FAD-10mg/L</v>
      </c>
      <c r="R62" s="3" t="str">
        <f t="shared" si="6"/>
        <v>Saccharin-0,01mg/L + Testostérone</v>
      </c>
      <c r="S62" s="3" t="str">
        <f t="shared" si="6"/>
        <v>Saccharin-0,1mg/L + Testostérone</v>
      </c>
      <c r="T62" s="3" t="str">
        <f t="shared" si="6"/>
        <v>Saccharin-1mg/L + Testostérone</v>
      </c>
      <c r="U62" s="3" t="str">
        <f t="shared" si="6"/>
        <v>Saccharin-10mg/L + Testostérone</v>
      </c>
      <c r="V62" s="3" t="str">
        <f t="shared" si="6"/>
        <v>Saccharin-100mg/L + Testostérone</v>
      </c>
    </row>
    <row r="63" spans="1:24" s="1" customFormat="1" x14ac:dyDescent="0.35">
      <c r="A63" s="1" t="s">
        <v>49</v>
      </c>
      <c r="B63" s="3">
        <f>COUNT(B6:B53)</f>
        <v>24</v>
      </c>
      <c r="C63" s="3">
        <f t="shared" ref="C63:V63" si="7">COUNT(C6:C53)</f>
        <v>24</v>
      </c>
      <c r="D63" s="3">
        <f t="shared" si="7"/>
        <v>23</v>
      </c>
      <c r="E63" s="3">
        <f t="shared" si="7"/>
        <v>24</v>
      </c>
      <c r="F63" s="3">
        <f t="shared" si="7"/>
        <v>24</v>
      </c>
      <c r="G63" s="3">
        <f t="shared" si="7"/>
        <v>24</v>
      </c>
      <c r="H63" s="3">
        <f t="shared" si="7"/>
        <v>24</v>
      </c>
      <c r="I63" s="3">
        <f t="shared" si="7"/>
        <v>24</v>
      </c>
      <c r="J63" s="3">
        <f t="shared" si="7"/>
        <v>23</v>
      </c>
      <c r="K63" s="3">
        <f t="shared" si="7"/>
        <v>24</v>
      </c>
      <c r="L63" s="3">
        <f t="shared" si="7"/>
        <v>23</v>
      </c>
      <c r="M63" s="3">
        <f t="shared" si="7"/>
        <v>23</v>
      </c>
      <c r="N63" s="3"/>
      <c r="O63" s="3">
        <f t="shared" si="7"/>
        <v>46</v>
      </c>
      <c r="P63" s="3">
        <f t="shared" si="7"/>
        <v>23</v>
      </c>
      <c r="Q63" s="3">
        <f t="shared" si="7"/>
        <v>24</v>
      </c>
      <c r="R63" s="3">
        <f t="shared" si="7"/>
        <v>24</v>
      </c>
      <c r="S63" s="3">
        <f t="shared" si="7"/>
        <v>24</v>
      </c>
      <c r="T63" s="3">
        <f t="shared" si="7"/>
        <v>23</v>
      </c>
      <c r="U63" s="3">
        <f t="shared" si="7"/>
        <v>24</v>
      </c>
      <c r="V63" s="3">
        <f t="shared" si="7"/>
        <v>24</v>
      </c>
    </row>
    <row r="64" spans="1:24" s="1" customFormat="1" ht="15" thickBot="1" x14ac:dyDescent="0.4">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5" thickBot="1" x14ac:dyDescent="0.4">
      <c r="A65" s="225" t="s">
        <v>58</v>
      </c>
      <c r="B65" s="226"/>
      <c r="C65" s="226"/>
      <c r="D65" s="226"/>
      <c r="E65" s="226"/>
      <c r="F65" s="226"/>
      <c r="G65" s="226"/>
      <c r="H65" s="226"/>
      <c r="I65" s="226"/>
      <c r="J65" s="226"/>
      <c r="K65" s="226"/>
      <c r="L65" s="226"/>
      <c r="M65" s="226"/>
      <c r="N65" s="226"/>
      <c r="O65" s="226"/>
      <c r="P65" s="226"/>
      <c r="Q65" s="226"/>
      <c r="R65" s="226"/>
      <c r="S65" s="226"/>
      <c r="T65" s="226"/>
      <c r="U65" s="226"/>
      <c r="V65" s="226"/>
    </row>
    <row r="66" spans="1:22" s="1" customFormat="1" x14ac:dyDescent="0.35">
      <c r="B66" s="1" t="s">
        <v>61</v>
      </c>
      <c r="C66" s="3"/>
      <c r="D66" s="3"/>
      <c r="E66" s="3"/>
      <c r="F66" s="3"/>
      <c r="G66" s="3"/>
      <c r="H66" s="3"/>
      <c r="I66" s="3"/>
      <c r="J66" s="3"/>
      <c r="K66" s="3"/>
      <c r="L66" s="3"/>
      <c r="M66" s="3"/>
      <c r="N66" s="3"/>
      <c r="O66" s="3"/>
      <c r="P66" s="3"/>
      <c r="Q66" s="3"/>
      <c r="R66" s="3"/>
      <c r="S66" s="3"/>
      <c r="T66" s="3"/>
      <c r="U66" s="3"/>
      <c r="V66" s="3"/>
    </row>
    <row r="67" spans="1:22" s="1" customFormat="1" x14ac:dyDescent="0.3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4">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5" thickBot="1" x14ac:dyDescent="0.4">
      <c r="A70" s="225" t="s">
        <v>53</v>
      </c>
      <c r="B70" s="226"/>
      <c r="C70" s="226"/>
      <c r="D70" s="226"/>
      <c r="E70" s="226"/>
      <c r="F70" s="226"/>
      <c r="G70" s="226"/>
      <c r="H70" s="226"/>
      <c r="I70" s="226"/>
      <c r="J70" s="226"/>
      <c r="K70" s="226"/>
      <c r="L70" s="226"/>
      <c r="M70" s="226"/>
      <c r="N70" s="226"/>
      <c r="O70" s="226"/>
      <c r="P70" s="226"/>
      <c r="Q70" s="226"/>
      <c r="R70" s="226"/>
      <c r="S70" s="226"/>
      <c r="T70" s="226"/>
      <c r="U70" s="226"/>
      <c r="V70" s="226"/>
    </row>
    <row r="71" spans="1:22" ht="15" thickBot="1" x14ac:dyDescent="0.4"/>
    <row r="72" spans="1:22" s="48" customFormat="1" ht="26.5" thickBot="1" x14ac:dyDescent="0.4">
      <c r="A72" s="225" t="s">
        <v>54</v>
      </c>
      <c r="B72" s="226"/>
      <c r="C72" s="226"/>
      <c r="D72" s="226"/>
      <c r="E72" s="226"/>
      <c r="F72" s="226"/>
      <c r="G72" s="226"/>
      <c r="H72" s="226"/>
      <c r="I72" s="226"/>
      <c r="J72" s="226"/>
      <c r="K72" s="226"/>
      <c r="L72" s="226"/>
      <c r="M72" s="226"/>
      <c r="N72" s="226"/>
      <c r="O72" s="226"/>
      <c r="P72" s="226"/>
      <c r="Q72" s="226"/>
      <c r="R72" s="226"/>
      <c r="S72" s="226"/>
      <c r="T72" s="226"/>
      <c r="U72" s="226"/>
      <c r="V72" s="226"/>
    </row>
    <row r="73" spans="1:22" ht="15" thickBot="1" x14ac:dyDescent="0.4">
      <c r="J73" s="3">
        <v>1</v>
      </c>
      <c r="K73" s="3">
        <v>2</v>
      </c>
      <c r="L73" s="3">
        <v>3</v>
      </c>
      <c r="M73" s="3">
        <v>4</v>
      </c>
      <c r="R73" s="3">
        <v>1</v>
      </c>
      <c r="S73" s="3">
        <v>2</v>
      </c>
      <c r="T73" s="3">
        <v>3</v>
      </c>
      <c r="U73" s="3">
        <v>4</v>
      </c>
      <c r="V73" s="3">
        <v>5</v>
      </c>
    </row>
    <row r="74" spans="1:22" s="1" customFormat="1" x14ac:dyDescent="0.3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Saccharin-0,01mg/L</v>
      </c>
      <c r="J74" s="46" t="str">
        <f t="shared" si="9"/>
        <v>Saccharin-0,1mg/L</v>
      </c>
      <c r="K74" s="46" t="str">
        <f t="shared" si="9"/>
        <v>Saccharin-1mg/L</v>
      </c>
      <c r="L74" s="46" t="str">
        <f t="shared" si="9"/>
        <v>Saccharin-10mg/L</v>
      </c>
      <c r="M74" s="46" t="str">
        <f t="shared" si="9"/>
        <v>Saccharin-100mg/L</v>
      </c>
      <c r="N74" s="46"/>
      <c r="O74" s="46" t="str">
        <f t="shared" ref="O74:V74" si="10">O4</f>
        <v>Testo -30µg/L</v>
      </c>
      <c r="P74" s="46" t="str">
        <f t="shared" si="10"/>
        <v>Testo 30µg/L + EE2 -64ng/L</v>
      </c>
      <c r="Q74" s="46" t="str">
        <f t="shared" si="10"/>
        <v>Testo 30µg/L + FAD-10mg/L</v>
      </c>
      <c r="R74" s="46" t="str">
        <f t="shared" si="10"/>
        <v>Saccharin-0,01mg/L + Testostérone</v>
      </c>
      <c r="S74" s="46" t="str">
        <f t="shared" si="10"/>
        <v>Saccharin-0,1mg/L + Testostérone</v>
      </c>
      <c r="T74" s="46" t="str">
        <f t="shared" si="10"/>
        <v>Saccharin-1mg/L + Testostérone</v>
      </c>
      <c r="U74" s="46" t="str">
        <f t="shared" si="10"/>
        <v>Saccharin-10mg/L + Testostérone</v>
      </c>
      <c r="V74" s="46" t="str">
        <f t="shared" si="10"/>
        <v>Saccharin-100mg/L + Testostérone</v>
      </c>
    </row>
    <row r="75" spans="1:22" s="3" customFormat="1" x14ac:dyDescent="0.35">
      <c r="A75" s="61" t="s">
        <v>32</v>
      </c>
      <c r="B75" s="141">
        <f>B56</f>
        <v>7.8676725833831646E-2</v>
      </c>
      <c r="C75" s="141">
        <f t="shared" ref="C75:V75" si="11">C56</f>
        <v>0.1413798760240256</v>
      </c>
      <c r="D75" s="141">
        <f t="shared" si="11"/>
        <v>0.11086803021402121</v>
      </c>
      <c r="E75" s="141">
        <f t="shared" si="11"/>
        <v>0.1859859834077707</v>
      </c>
      <c r="F75" s="141">
        <f t="shared" si="11"/>
        <v>0.76438584872948445</v>
      </c>
      <c r="G75" s="141">
        <f t="shared" si="11"/>
        <v>1.1782401016003241</v>
      </c>
      <c r="H75" s="141">
        <f t="shared" si="11"/>
        <v>2.4462431165074747</v>
      </c>
      <c r="I75" s="141">
        <f t="shared" si="11"/>
        <v>0.10124859397866527</v>
      </c>
      <c r="J75" s="141">
        <f t="shared" si="11"/>
        <v>8.3693471332277836E-2</v>
      </c>
      <c r="K75" s="141">
        <f t="shared" si="11"/>
        <v>5.8206615243981234E-2</v>
      </c>
      <c r="L75" s="141">
        <f t="shared" si="11"/>
        <v>8.2606671441497956E-2</v>
      </c>
      <c r="M75" s="141">
        <f t="shared" si="11"/>
        <v>6.6278836476519457E-2</v>
      </c>
      <c r="N75" s="141"/>
      <c r="O75" s="141">
        <f t="shared" si="11"/>
        <v>0.99999999999999989</v>
      </c>
      <c r="P75" s="141">
        <f t="shared" si="11"/>
        <v>1.639209691448118</v>
      </c>
      <c r="Q75" s="141">
        <f t="shared" si="11"/>
        <v>0.10408190609223912</v>
      </c>
      <c r="R75" s="141">
        <f t="shared" si="11"/>
        <v>0.82117452174919114</v>
      </c>
      <c r="S75" s="141">
        <f t="shared" si="11"/>
        <v>0.73940087657718034</v>
      </c>
      <c r="T75" s="141">
        <f t="shared" si="11"/>
        <v>0.73187028301857115</v>
      </c>
      <c r="U75" s="141">
        <f t="shared" si="11"/>
        <v>0.83586312370307081</v>
      </c>
      <c r="V75" s="141">
        <f t="shared" si="11"/>
        <v>0.76044074864725841</v>
      </c>
    </row>
    <row r="76" spans="1:22" s="3" customFormat="1" x14ac:dyDescent="0.35">
      <c r="A76" s="61" t="s">
        <v>2</v>
      </c>
      <c r="B76" s="141">
        <f>B58</f>
        <v>1.230540078055155E-2</v>
      </c>
      <c r="C76" s="141">
        <f t="shared" ref="C76:V76" si="12">C58</f>
        <v>2.2930348305762922E-2</v>
      </c>
      <c r="D76" s="141">
        <f t="shared" si="12"/>
        <v>1.9961500444021684E-2</v>
      </c>
      <c r="E76" s="141">
        <f t="shared" si="12"/>
        <v>3.2885886709399938E-2</v>
      </c>
      <c r="F76" s="141">
        <f t="shared" si="12"/>
        <v>0.14723161098997486</v>
      </c>
      <c r="G76" s="141">
        <f t="shared" si="12"/>
        <v>9.8349413608371974E-2</v>
      </c>
      <c r="H76" s="141">
        <f t="shared" si="12"/>
        <v>0.14121706291991828</v>
      </c>
      <c r="I76" s="141">
        <f t="shared" si="12"/>
        <v>2.7983832747878534E-2</v>
      </c>
      <c r="J76" s="141">
        <f t="shared" si="12"/>
        <v>1.7765565226170333E-2</v>
      </c>
      <c r="K76" s="141">
        <f t="shared" si="12"/>
        <v>9.4448316513676932E-3</v>
      </c>
      <c r="L76" s="141">
        <f t="shared" si="12"/>
        <v>1.7372854077347136E-2</v>
      </c>
      <c r="M76" s="141">
        <f t="shared" si="12"/>
        <v>1.4445433433128889E-2</v>
      </c>
      <c r="N76" s="141"/>
      <c r="O76" s="141">
        <f t="shared" si="12"/>
        <v>7.6093273669029154E-2</v>
      </c>
      <c r="P76" s="141">
        <f t="shared" si="12"/>
        <v>0.15120263839907772</v>
      </c>
      <c r="Q76" s="141">
        <f t="shared" si="12"/>
        <v>1.6846331034885434E-2</v>
      </c>
      <c r="R76" s="141">
        <f t="shared" si="12"/>
        <v>0.11357796222682913</v>
      </c>
      <c r="S76" s="141">
        <f t="shared" si="12"/>
        <v>0.10834277808572593</v>
      </c>
      <c r="T76" s="141">
        <f t="shared" si="12"/>
        <v>0.11030253055208961</v>
      </c>
      <c r="U76" s="141">
        <f t="shared" si="12"/>
        <v>0.12475105389017468</v>
      </c>
      <c r="V76" s="141">
        <f t="shared" si="12"/>
        <v>0.13772881075432172</v>
      </c>
    </row>
    <row r="77" spans="1:22" s="3" customFormat="1" x14ac:dyDescent="0.35">
      <c r="A77" s="61" t="s">
        <v>79</v>
      </c>
      <c r="B77" s="141">
        <f>(B75*100/$B$75)-100</f>
        <v>0</v>
      </c>
      <c r="C77" s="141">
        <f t="shared" ref="C77:M77" si="13">(C75*100/$B$75)-100</f>
        <v>79.69720336688323</v>
      </c>
      <c r="D77" s="141">
        <f t="shared" si="13"/>
        <v>40.915917685973454</v>
      </c>
      <c r="E77" s="141">
        <f t="shared" si="13"/>
        <v>136.39263255639341</v>
      </c>
      <c r="F77" s="141">
        <f t="shared" si="13"/>
        <v>871.55269316099589</v>
      </c>
      <c r="G77" s="141">
        <f t="shared" si="13"/>
        <v>1397.571345417721</v>
      </c>
      <c r="H77" s="141">
        <f t="shared" si="13"/>
        <v>3009.233500227293</v>
      </c>
      <c r="I77" s="141">
        <f t="shared" si="13"/>
        <v>28.68938419286323</v>
      </c>
      <c r="J77" s="141">
        <f t="shared" si="13"/>
        <v>6.3764034983379361</v>
      </c>
      <c r="K77" s="141">
        <f t="shared" si="13"/>
        <v>-26.01800007931709</v>
      </c>
      <c r="L77" s="141">
        <f t="shared" si="13"/>
        <v>4.9950548475625567</v>
      </c>
      <c r="M77" s="141">
        <f t="shared" si="13"/>
        <v>-15.758013854690674</v>
      </c>
      <c r="N77" s="141"/>
      <c r="O77" s="141">
        <f>(O75*100/$O$75)-100</f>
        <v>0</v>
      </c>
      <c r="P77" s="141">
        <f t="shared" ref="P77:V77" si="14">(P75*100/$O$75)-100</f>
        <v>63.920969144811835</v>
      </c>
      <c r="Q77" s="141">
        <f t="shared" si="14"/>
        <v>-89.591809390776092</v>
      </c>
      <c r="R77" s="141">
        <f t="shared" si="14"/>
        <v>-17.882547825080877</v>
      </c>
      <c r="S77" s="141">
        <f t="shared" si="14"/>
        <v>-26.059912342281947</v>
      </c>
      <c r="T77" s="141">
        <f t="shared" si="14"/>
        <v>-26.812971698142874</v>
      </c>
      <c r="U77" s="141">
        <f t="shared" si="14"/>
        <v>-16.413687629692902</v>
      </c>
      <c r="V77" s="141">
        <f t="shared" si="14"/>
        <v>-23.955925135274143</v>
      </c>
    </row>
    <row r="78" spans="1:22" s="3" customFormat="1" x14ac:dyDescent="0.35">
      <c r="A78" s="61" t="s">
        <v>81</v>
      </c>
      <c r="B78" s="141">
        <f>[1]!DPTEST(B6:B53)</f>
        <v>4.4008361882480251E-2</v>
      </c>
      <c r="C78" s="141">
        <f>[1]!DPTEST(C6:C53)</f>
        <v>8.0947635112198379E-2</v>
      </c>
      <c r="D78" s="141">
        <f>[1]!DPTEST(D6:D53)</f>
        <v>2.6324040528175052E-3</v>
      </c>
      <c r="E78" s="141">
        <f>[1]!DPTEST(E6:E53)</f>
        <v>9.3727493346573709E-6</v>
      </c>
      <c r="F78" s="141">
        <f>[1]!DPTEST(F6:F53)</f>
        <v>9.2831514362803014E-2</v>
      </c>
      <c r="G78" s="141">
        <f>[1]!DPTEST(G6:G53)</f>
        <v>0.35623795822777782</v>
      </c>
      <c r="H78" s="141">
        <f>[1]!DPTEST(H6:H53)</f>
        <v>0.53097137859845156</v>
      </c>
      <c r="I78" s="141">
        <f>[1]!DPTEST(I6:I53)</f>
        <v>1.4025857142385689E-8</v>
      </c>
      <c r="J78" s="141">
        <f>[1]!DPTEST(J6:J53)</f>
        <v>5.3965780796907725E-2</v>
      </c>
      <c r="K78" s="141">
        <f>[1]!DPTEST(K6:K53)</f>
        <v>1.3965406662727609E-2</v>
      </c>
      <c r="L78" s="141">
        <f>[1]!DPTEST(L6:L53)</f>
        <v>7.1134884606083304E-6</v>
      </c>
      <c r="M78" s="141">
        <f>[1]!DPTEST(M6:M53)</f>
        <v>5.5696209205979841E-5</v>
      </c>
      <c r="N78" s="141"/>
      <c r="O78" s="141">
        <f>[1]!DPTEST(O6:O53)</f>
        <v>0.21211791061389029</v>
      </c>
      <c r="P78" s="141">
        <f>[1]!DPTEST(P6:P53)</f>
        <v>0.83442797722930895</v>
      </c>
      <c r="Q78" s="141">
        <f>[1]!DPTEST(Q6:Q53)</f>
        <v>3.198782720180704E-4</v>
      </c>
      <c r="R78" s="141">
        <f>[1]!DPTEST(R6:R53)</f>
        <v>7.9936278180925413E-4</v>
      </c>
      <c r="S78" s="141">
        <f>[1]!DPTEST(S6:S53)</f>
        <v>0.45496113253628234</v>
      </c>
      <c r="T78" s="141">
        <f>[1]!DPTEST(T6:T53)</f>
        <v>0.31197761879122154</v>
      </c>
      <c r="U78" s="141">
        <f>[1]!DPTEST(U6:U53)</f>
        <v>0.18798584431798759</v>
      </c>
      <c r="V78" s="141">
        <f>[1]!DPTEST(V6:V53)</f>
        <v>0.21380354890691633</v>
      </c>
    </row>
    <row r="79" spans="1:22" s="3" customFormat="1" x14ac:dyDescent="0.35">
      <c r="A79" s="61" t="s">
        <v>85</v>
      </c>
      <c r="B79" s="141" t="str">
        <f>IF(B78&gt;0.05,"Oui","Non")</f>
        <v>Non</v>
      </c>
      <c r="C79" s="141" t="str">
        <f t="shared" ref="C79:V79" si="15">IF(C78&gt;0.05,"Oui","Non")</f>
        <v>Oui</v>
      </c>
      <c r="D79" s="141" t="str">
        <f t="shared" si="15"/>
        <v>Non</v>
      </c>
      <c r="E79" s="141" t="str">
        <f t="shared" si="15"/>
        <v>Non</v>
      </c>
      <c r="F79" s="141" t="str">
        <f t="shared" si="15"/>
        <v>Oui</v>
      </c>
      <c r="G79" s="141" t="str">
        <f t="shared" si="15"/>
        <v>Oui</v>
      </c>
      <c r="H79" s="141" t="str">
        <f t="shared" si="15"/>
        <v>Oui</v>
      </c>
      <c r="I79" s="141" t="str">
        <f t="shared" si="15"/>
        <v>Non</v>
      </c>
      <c r="J79" s="141" t="str">
        <f t="shared" si="15"/>
        <v>Oui</v>
      </c>
      <c r="K79" s="141" t="str">
        <f t="shared" si="15"/>
        <v>Non</v>
      </c>
      <c r="L79" s="141" t="str">
        <f t="shared" si="15"/>
        <v>Non</v>
      </c>
      <c r="M79" s="141" t="str">
        <f t="shared" si="15"/>
        <v>Non</v>
      </c>
      <c r="N79" s="141"/>
      <c r="O79" s="141" t="str">
        <f t="shared" si="15"/>
        <v>Oui</v>
      </c>
      <c r="P79" s="141" t="str">
        <f t="shared" si="15"/>
        <v>Oui</v>
      </c>
      <c r="Q79" s="141" t="str">
        <f t="shared" si="15"/>
        <v>Non</v>
      </c>
      <c r="R79" s="141" t="str">
        <f t="shared" si="15"/>
        <v>Non</v>
      </c>
      <c r="S79" s="141" t="str">
        <f t="shared" si="15"/>
        <v>Oui</v>
      </c>
      <c r="T79" s="141" t="str">
        <f t="shared" si="15"/>
        <v>Oui</v>
      </c>
      <c r="U79" s="141" t="str">
        <f t="shared" si="15"/>
        <v>Oui</v>
      </c>
      <c r="V79" s="141" t="str">
        <f t="shared" si="15"/>
        <v>Oui</v>
      </c>
    </row>
    <row r="80" spans="1:22" s="3" customFormat="1" x14ac:dyDescent="0.35">
      <c r="A80" s="61" t="s">
        <v>121</v>
      </c>
      <c r="B80" s="141" t="str">
        <f>IF(COUNTIF(B79:I79, "Non")=0, "Oui","Non")</f>
        <v>Non</v>
      </c>
      <c r="C80" s="141"/>
      <c r="D80" s="141"/>
      <c r="E80" s="141"/>
      <c r="F80" s="141"/>
      <c r="G80" s="141"/>
      <c r="H80" s="141"/>
      <c r="I80" s="141"/>
      <c r="J80" s="141" t="str">
        <f>IF(COUNTIF(J79:M79, "Non")&gt;0, "Oui","Non")</f>
        <v>Oui</v>
      </c>
      <c r="K80" s="141"/>
      <c r="L80" s="141"/>
      <c r="M80" s="141"/>
      <c r="N80" s="141"/>
      <c r="O80" s="141"/>
      <c r="P80" s="141"/>
      <c r="Q80" s="141"/>
      <c r="R80" s="141" t="str">
        <f>IF(COUNTIF(R79:V79, "Non")&gt;0, "Oui","Non")</f>
        <v>Oui</v>
      </c>
      <c r="S80" s="141"/>
      <c r="T80" s="141"/>
      <c r="U80" s="141"/>
      <c r="V80" s="141"/>
    </row>
    <row r="81" spans="1:22" s="3" customFormat="1" x14ac:dyDescent="0.35">
      <c r="A81" s="61" t="s">
        <v>82</v>
      </c>
      <c r="B81" s="141"/>
      <c r="C81" s="141" t="str">
        <f t="shared" ref="C81:M81" si="16">IF($B80="Non","Kruskal-Wallis","ANOVA")</f>
        <v>Kruskal-Wallis</v>
      </c>
      <c r="D81" s="141" t="str">
        <f t="shared" si="16"/>
        <v>Kruskal-Wallis</v>
      </c>
      <c r="E81" s="141" t="str">
        <f t="shared" si="16"/>
        <v>Kruskal-Wallis</v>
      </c>
      <c r="F81" s="141" t="str">
        <f t="shared" si="16"/>
        <v>Kruskal-Wallis</v>
      </c>
      <c r="G81" s="141" t="str">
        <f t="shared" si="16"/>
        <v>Kruskal-Wallis</v>
      </c>
      <c r="H81" s="141" t="str">
        <f t="shared" si="16"/>
        <v>Kruskal-Wallis</v>
      </c>
      <c r="I81" s="141" t="str">
        <f t="shared" si="16"/>
        <v>Kruskal-Wallis</v>
      </c>
      <c r="J81" s="141" t="str">
        <f t="shared" si="16"/>
        <v>Kruskal-Wallis</v>
      </c>
      <c r="K81" s="141" t="str">
        <f t="shared" si="16"/>
        <v>Kruskal-Wallis</v>
      </c>
      <c r="L81" s="141" t="str">
        <f t="shared" si="16"/>
        <v>Kruskal-Wallis</v>
      </c>
      <c r="M81" s="141" t="str">
        <f t="shared" si="16"/>
        <v>Kruskal-Wallis</v>
      </c>
      <c r="N81" s="141"/>
      <c r="O81" s="141" t="str">
        <f>IF($B79="Non",IF(O79="Non","Mann Withney",IF(O79="Oui","Mann Withney","")),IF($B79="Oui",IF(O79="Oui","T-Test Welch",IF(O79="Non","Mann Withney",""))))</f>
        <v>Mann Withney</v>
      </c>
      <c r="P81" s="141" t="str">
        <f t="shared" ref="P81:Q81" si="17">IF($O79="Non",IF(P79="Non","Mann Withney",IF(P$79="Oui","Mann Withney","")),IF($O79="Oui",IF(P79="Oui","T-Test Welch",IF(P79="Non","Mann Withney",""))))</f>
        <v>T-Test Welch</v>
      </c>
      <c r="Q81" s="141" t="str">
        <f t="shared" si="17"/>
        <v>Mann Withney</v>
      </c>
      <c r="R81" s="141" t="s">
        <v>4395</v>
      </c>
      <c r="S81" s="141" t="s">
        <v>4395</v>
      </c>
      <c r="T81" s="141" t="s">
        <v>4395</v>
      </c>
      <c r="U81" s="141" t="s">
        <v>4395</v>
      </c>
      <c r="V81" s="141" t="s">
        <v>4395</v>
      </c>
    </row>
    <row r="82" spans="1:22" s="3" customFormat="1" x14ac:dyDescent="0.35">
      <c r="A82" s="61" t="s">
        <v>83</v>
      </c>
      <c r="B82" s="141"/>
      <c r="C82" s="195">
        <v>0.99990000000000001</v>
      </c>
      <c r="D82" s="195">
        <v>0.99990000000000001</v>
      </c>
      <c r="E82" s="195">
        <v>0.27489999999999998</v>
      </c>
      <c r="F82" s="195">
        <v>1E-4</v>
      </c>
      <c r="G82" s="195">
        <v>1E-4</v>
      </c>
      <c r="H82" s="195">
        <v>1E-4</v>
      </c>
      <c r="I82" s="195">
        <v>0.99990000000000001</v>
      </c>
      <c r="J82" s="195">
        <v>0.99990000000000001</v>
      </c>
      <c r="K82" s="195">
        <v>0.99990000000000001</v>
      </c>
      <c r="L82" s="195">
        <v>0.99990000000000001</v>
      </c>
      <c r="M82" s="195">
        <v>0.99990000000000001</v>
      </c>
      <c r="N82" s="141"/>
      <c r="O82" s="195">
        <v>1E-4</v>
      </c>
      <c r="P82" s="195">
        <v>5.9999999999999995E-4</v>
      </c>
      <c r="Q82" s="195">
        <v>1E-4</v>
      </c>
      <c r="R82" s="195">
        <v>0.99990000000000001</v>
      </c>
      <c r="S82" s="195">
        <v>0.31240000000000001</v>
      </c>
      <c r="T82" s="195">
        <v>0.34849999999999998</v>
      </c>
      <c r="U82" s="195">
        <v>0.99990000000000001</v>
      </c>
      <c r="V82" s="195">
        <v>0.28649999999999998</v>
      </c>
    </row>
    <row r="83" spans="1:22" s="3" customFormat="1" ht="15" thickBot="1" x14ac:dyDescent="0.4">
      <c r="A83" s="62" t="s">
        <v>84</v>
      </c>
      <c r="B83" s="142"/>
      <c r="C83" s="142" t="str">
        <f t="shared" ref="C83:O83" si="18">IF(C82&gt;0.05,"NS",IF(C82&gt;0.01,"*",IF(C82&gt;0.001,"**","***")))</f>
        <v>NS</v>
      </c>
      <c r="D83" s="142" t="str">
        <f t="shared" si="18"/>
        <v>NS</v>
      </c>
      <c r="E83" s="142" t="str">
        <f t="shared" si="18"/>
        <v>NS</v>
      </c>
      <c r="F83" s="142" t="s">
        <v>1881</v>
      </c>
      <c r="G83" s="142" t="s">
        <v>1881</v>
      </c>
      <c r="H83" s="142" t="s">
        <v>1881</v>
      </c>
      <c r="I83" s="142" t="str">
        <f t="shared" si="18"/>
        <v>NS</v>
      </c>
      <c r="J83" s="142" t="str">
        <f t="shared" si="18"/>
        <v>NS</v>
      </c>
      <c r="K83" s="142" t="s">
        <v>3149</v>
      </c>
      <c r="L83" s="142" t="str">
        <f t="shared" si="18"/>
        <v>NS</v>
      </c>
      <c r="M83" s="142" t="str">
        <f t="shared" si="18"/>
        <v>NS</v>
      </c>
      <c r="N83" s="142"/>
      <c r="O83" s="142" t="str">
        <f t="shared" si="18"/>
        <v>***</v>
      </c>
      <c r="P83" s="142" t="str">
        <f t="shared" ref="P83" si="19">IF(P82&gt;0.05,"NS",IF(P82&gt;0.01,"*",IF(P82&gt;0.001,"**","***")))</f>
        <v>***</v>
      </c>
      <c r="Q83" s="142" t="str">
        <f t="shared" ref="Q83:V83" si="20">IF(Q82&gt;0.05,"NS",IF(Q82&gt;0.01,"*",IF(Q82&gt;0.001,"**","***")))</f>
        <v>***</v>
      </c>
      <c r="R83" s="142" t="s">
        <v>3149</v>
      </c>
      <c r="S83" s="142" t="s">
        <v>3149</v>
      </c>
      <c r="T83" s="142" t="s">
        <v>3149</v>
      </c>
      <c r="U83" s="142" t="str">
        <f t="shared" si="20"/>
        <v>NS</v>
      </c>
      <c r="V83" s="142" t="str">
        <f t="shared" si="20"/>
        <v>NS</v>
      </c>
    </row>
    <row r="84" spans="1:22" s="1" customFormat="1" x14ac:dyDescent="0.35"/>
    <row r="85" spans="1:22" s="1" customFormat="1" x14ac:dyDescent="0.35">
      <c r="A85" s="2" t="s">
        <v>39</v>
      </c>
    </row>
    <row r="86" spans="1:22" x14ac:dyDescent="0.35">
      <c r="A86" s="1" t="s">
        <v>23</v>
      </c>
      <c r="B86" s="1">
        <f>B56+(3*B57)</f>
        <v>0.25952844379061446</v>
      </c>
    </row>
    <row r="87" spans="1:22" x14ac:dyDescent="0.35">
      <c r="A87" s="1" t="s">
        <v>24</v>
      </c>
      <c r="B87" s="1">
        <f>B56+(10*B57)</f>
        <v>0.68151578568977433</v>
      </c>
    </row>
    <row r="88" spans="1:22" ht="15" thickBot="1" x14ac:dyDescent="0.4"/>
    <row r="89" spans="1:22" s="48" customFormat="1" ht="26.5" thickBot="1" x14ac:dyDescent="0.4">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4"/>
    <row r="91" spans="1:22" s="48" customFormat="1" ht="26.5" thickBot="1" x14ac:dyDescent="0.4">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4"/>
    <row r="93" spans="1:22" s="48" customFormat="1" ht="26.5" thickBot="1" x14ac:dyDescent="0.4">
      <c r="A93" s="225" t="s">
        <v>57</v>
      </c>
      <c r="B93" s="226"/>
      <c r="C93" s="226"/>
      <c r="D93" s="226"/>
      <c r="E93" s="226"/>
      <c r="F93" s="226"/>
      <c r="G93" s="226"/>
      <c r="H93" s="226"/>
      <c r="I93" s="226"/>
      <c r="J93" s="226"/>
      <c r="K93" s="226"/>
      <c r="L93" s="226"/>
      <c r="M93" s="226"/>
      <c r="N93" s="226"/>
      <c r="O93" s="226"/>
      <c r="P93" s="226"/>
      <c r="Q93" s="226"/>
      <c r="R93" s="226"/>
      <c r="S93" s="226"/>
      <c r="T93" s="226"/>
      <c r="U93" s="226"/>
      <c r="V93" s="226"/>
    </row>
    <row r="94" spans="1:22" x14ac:dyDescent="0.35">
      <c r="B94" s="1">
        <f t="shared" ref="B94:V94" si="21">B75/$B$75</f>
        <v>1</v>
      </c>
      <c r="C94" s="1">
        <f t="shared" si="21"/>
        <v>1.7969720336688322</v>
      </c>
      <c r="D94" s="1">
        <f t="shared" si="21"/>
        <v>1.4091591768597345</v>
      </c>
      <c r="E94" s="1">
        <f t="shared" si="21"/>
        <v>2.3639263255639342</v>
      </c>
      <c r="F94" s="1">
        <f t="shared" si="21"/>
        <v>9.7155269316099595</v>
      </c>
      <c r="G94" s="1">
        <f t="shared" si="21"/>
        <v>14.975713454177209</v>
      </c>
      <c r="H94" s="1">
        <f>H75/$B$75</f>
        <v>31.092335002272932</v>
      </c>
      <c r="I94" s="1">
        <f t="shared" si="21"/>
        <v>1.2868938419286322</v>
      </c>
      <c r="J94" s="1">
        <f t="shared" si="21"/>
        <v>1.0637640349833795</v>
      </c>
      <c r="K94" s="1">
        <f t="shared" si="21"/>
        <v>0.73981999920682906</v>
      </c>
      <c r="L94" s="1">
        <f t="shared" si="21"/>
        <v>1.0499505484756255</v>
      </c>
      <c r="M94" s="1">
        <f t="shared" si="21"/>
        <v>0.84241986145309322</v>
      </c>
      <c r="N94" s="1">
        <f t="shared" si="21"/>
        <v>0</v>
      </c>
      <c r="O94" s="1">
        <f t="shared" si="21"/>
        <v>12.710239138726228</v>
      </c>
      <c r="P94" s="1">
        <f t="shared" si="21"/>
        <v>20.834747176823214</v>
      </c>
      <c r="Q94" s="1">
        <f t="shared" si="21"/>
        <v>1.3229059164468056</v>
      </c>
      <c r="R94" s="1">
        <f t="shared" si="21"/>
        <v>10.437324546061362</v>
      </c>
      <c r="S94" s="1">
        <f t="shared" si="21"/>
        <v>9.3979619606797602</v>
      </c>
      <c r="T94" s="1">
        <f t="shared" si="21"/>
        <v>9.3022463156932851</v>
      </c>
      <c r="U94" s="1">
        <f t="shared" si="21"/>
        <v>10.624020189508734</v>
      </c>
      <c r="V94" s="1">
        <f t="shared" si="21"/>
        <v>9.6653837661386586</v>
      </c>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796875" defaultRowHeight="14.5" x14ac:dyDescent="0.35"/>
  <cols>
    <col min="1" max="1" width="33.7265625" style="41" bestFit="1" customWidth="1"/>
    <col min="2" max="3" width="14" style="41" bestFit="1" customWidth="1"/>
    <col min="4" max="4" width="14" style="41" customWidth="1"/>
    <col min="5" max="5" width="16" style="15" bestFit="1" customWidth="1"/>
    <col min="6" max="8" width="16" style="15" customWidth="1"/>
    <col min="9" max="13" width="19.1796875" style="15" customWidth="1"/>
    <col min="14" max="14" width="32.1796875" style="15" bestFit="1" customWidth="1"/>
    <col min="15" max="15" width="19.54296875" style="41" customWidth="1"/>
    <col min="16" max="16384" width="9.1796875" style="41"/>
  </cols>
  <sheetData>
    <row r="1" spans="1:15" s="48" customFormat="1" ht="26.5" thickBot="1" x14ac:dyDescent="0.4">
      <c r="A1" s="225" t="s">
        <v>103</v>
      </c>
      <c r="B1" s="226"/>
      <c r="C1" s="226"/>
      <c r="D1" s="226"/>
      <c r="E1" s="226"/>
      <c r="F1" s="226"/>
      <c r="G1" s="226"/>
      <c r="H1" s="226"/>
      <c r="I1" s="226"/>
      <c r="J1" s="226"/>
      <c r="K1" s="226"/>
      <c r="L1" s="226"/>
      <c r="M1" s="226"/>
      <c r="N1" s="226"/>
      <c r="O1" s="227"/>
    </row>
    <row r="2" spans="1:15" s="48" customFormat="1" ht="26.5" thickBot="1" x14ac:dyDescent="0.4">
      <c r="A2" s="225" t="s">
        <v>104</v>
      </c>
      <c r="B2" s="226"/>
      <c r="C2" s="226"/>
      <c r="D2" s="226"/>
      <c r="E2" s="226"/>
      <c r="F2" s="226"/>
      <c r="G2" s="226"/>
      <c r="H2" s="226"/>
      <c r="I2" s="226"/>
      <c r="J2" s="226"/>
      <c r="K2" s="226"/>
      <c r="L2" s="226"/>
      <c r="M2" s="226"/>
      <c r="N2" s="226"/>
      <c r="O2" s="227"/>
    </row>
    <row r="3" spans="1:15" s="77" customFormat="1" ht="15.5" x14ac:dyDescent="0.35">
      <c r="H3" s="78"/>
      <c r="I3" s="78"/>
      <c r="J3" s="78"/>
      <c r="K3" s="78"/>
      <c r="L3" s="78"/>
      <c r="M3" s="78"/>
      <c r="N3" s="78"/>
    </row>
    <row r="4" spans="1:15" s="77" customFormat="1" ht="15.5" x14ac:dyDescent="0.35">
      <c r="O4"/>
    </row>
    <row r="5" spans="1:15" s="77" customFormat="1" ht="45.75" customHeight="1" thickBot="1" x14ac:dyDescent="0.4">
      <c r="A5" s="79"/>
      <c r="B5" s="88" t="s">
        <v>25</v>
      </c>
      <c r="C5" s="88" t="s">
        <v>26</v>
      </c>
      <c r="D5" s="88" t="s">
        <v>27</v>
      </c>
      <c r="E5" s="89" t="s">
        <v>64</v>
      </c>
      <c r="F5" s="126" t="s">
        <v>80</v>
      </c>
      <c r="G5" s="95" t="s">
        <v>42</v>
      </c>
      <c r="H5" s="95" t="s">
        <v>65</v>
      </c>
      <c r="I5" s="95" t="s">
        <v>66</v>
      </c>
      <c r="J5" s="96" t="s">
        <v>77</v>
      </c>
      <c r="K5" s="96" t="s">
        <v>67</v>
      </c>
      <c r="L5" s="97" t="s">
        <v>76</v>
      </c>
      <c r="M5" s="97" t="s">
        <v>68</v>
      </c>
      <c r="N5" s="97" t="s">
        <v>69</v>
      </c>
      <c r="O5"/>
    </row>
    <row r="6" spans="1:15" s="77" customFormat="1" ht="15.5" x14ac:dyDescent="0.35">
      <c r="A6" s="80" t="s">
        <v>28</v>
      </c>
      <c r="B6" s="100">
        <v>64</v>
      </c>
      <c r="C6" s="80"/>
      <c r="D6" s="80"/>
      <c r="E6" s="90"/>
      <c r="F6" s="91"/>
      <c r="G6" s="128">
        <f>IF(F6="NS","NC",ROUND(B6,2-(1+INT(LOG10(ABS(B6))))))</f>
        <v>64</v>
      </c>
      <c r="H6" s="120"/>
      <c r="I6" s="120"/>
      <c r="J6" s="121"/>
      <c r="K6" s="122"/>
      <c r="L6" s="124"/>
      <c r="M6" s="121"/>
      <c r="N6" s="92"/>
      <c r="O6"/>
    </row>
    <row r="7" spans="1:15" s="77" customFormat="1" ht="15.5" x14ac:dyDescent="0.35">
      <c r="A7" s="80" t="str">
        <f>'Page de garde'!A14</f>
        <v>Saccharin-0,01mg/L</v>
      </c>
      <c r="B7" s="99"/>
      <c r="C7" s="81"/>
      <c r="D7" s="81"/>
      <c r="E7" s="82"/>
      <c r="F7" s="98"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3" t="str">
        <f>IF(H7="Non",CONCATENATE(VLOOKUP(A7,liste_groupe[],5,FALSE),"-",VLOOKUP(A7,liste_groupe[],3,FALSE),VLOOKUP(A7,liste_groupe[],4,FALSE)," : ",ROUND(K7,0),"%"),CONCATENATE(VLOOKUP(A7,liste_groupe[],5,FALSE)," : ",ROUND(K7,0),"%"))</f>
        <v>Saccharin-0,01mg/L : 0%</v>
      </c>
      <c r="O7"/>
    </row>
    <row r="8" spans="1:15" s="77" customFormat="1" ht="15.5" x14ac:dyDescent="0.35">
      <c r="A8" s="80" t="str">
        <f>'Page de garde'!A15</f>
        <v>Saccharin-0,1mg/L</v>
      </c>
      <c r="B8" s="99"/>
      <c r="C8" s="83"/>
      <c r="D8" s="81"/>
      <c r="E8" s="82"/>
      <c r="F8" s="98"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3" t="str">
        <f>IF(H8="Non",CONCATENATE(VLOOKUP(A8,liste_groupe[],5,FALSE),"-",VLOOKUP(A8,liste_groupe[],3,FALSE),VLOOKUP(A8,liste_groupe[],4,FALSE)," : ",ROUND(K8,0),"%"),CONCATENATE(VLOOKUP(A8,liste_groupe[],5,FALSE)," : ",ROUND(K8,0),"%"))</f>
        <v>Saccharin-0,1mg/L : 0%</v>
      </c>
      <c r="O8"/>
    </row>
    <row r="9" spans="1:15" s="77" customFormat="1" ht="15.5" x14ac:dyDescent="0.35">
      <c r="A9" s="80" t="str">
        <f>'Page de garde'!A16</f>
        <v>Saccharin-1mg/L</v>
      </c>
      <c r="B9" s="99"/>
      <c r="C9" s="83"/>
      <c r="D9" s="81"/>
      <c r="E9" s="82"/>
      <c r="F9" s="98"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3" t="str">
        <f>IF(H9="Non",CONCATENATE(VLOOKUP(A9,liste_groupe[],5,FALSE),"-",VLOOKUP(A9,liste_groupe[],3,FALSE),VLOOKUP(A9,liste_groupe[],4,FALSE)," : ",ROUND(K9,0),"%"),CONCATENATE(VLOOKUP(A9,liste_groupe[],5,FALSE)," : ",ROUND(K9,0),"%"))</f>
        <v>Saccharin-1mg/L : 0%</v>
      </c>
      <c r="O9"/>
    </row>
    <row r="10" spans="1:15" s="77" customFormat="1" ht="15.5" x14ac:dyDescent="0.35">
      <c r="A10" s="80" t="str">
        <f>'Page de garde'!A17</f>
        <v>Saccharin-10mg/L</v>
      </c>
      <c r="B10" s="100"/>
      <c r="C10" s="80"/>
      <c r="D10" s="85"/>
      <c r="E10" s="82"/>
      <c r="F10" s="98"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3" t="str">
        <f>IF(H10="Non",CONCATENATE(VLOOKUP(A10,liste_groupe[],5,FALSE),"-",VLOOKUP(A10,liste_groupe[],3,FALSE),VLOOKUP(A10,liste_groupe[],4,FALSE)," : ",ROUND(K10,0),"%"),CONCATENATE(VLOOKUP(A10,liste_groupe[],5,FALSE)," : ",ROUND(K10,0),"%"))</f>
        <v>Saccharin-10mg/L : 0%</v>
      </c>
      <c r="O10"/>
    </row>
    <row r="11" spans="1:15" s="77" customFormat="1" ht="15.5" x14ac:dyDescent="0.35">
      <c r="A11" s="80" t="str">
        <f>'Page de garde'!A18</f>
        <v>Saccharin-100mg/L</v>
      </c>
      <c r="B11" s="100"/>
      <c r="C11" s="80"/>
      <c r="D11" s="85"/>
      <c r="E11" s="82"/>
      <c r="F11" s="98"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3" t="str">
        <f>IF(H11="Non",CONCATENATE(VLOOKUP(A11,liste_groupe[],5,FALSE),"-",VLOOKUP(A11,liste_groupe[],3,FALSE),VLOOKUP(A11,liste_groupe[],4,FALSE)," : ",ROUND(K11,0),"%"),CONCATENATE(VLOOKUP(A11,liste_groupe[],5,FALSE)," : ",ROUND(K11,0),"%"))</f>
        <v>Saccharin-100mg/L : 0%</v>
      </c>
      <c r="O11"/>
    </row>
    <row r="12" spans="1:15" s="77" customFormat="1" ht="15.5" x14ac:dyDescent="0.35">
      <c r="A12" s="80" t="str">
        <f>'Page de garde'!A19</f>
        <v xml:space="preserve"> </v>
      </c>
      <c r="B12" s="100"/>
      <c r="C12" s="80"/>
      <c r="D12" s="85"/>
      <c r="E12" s="82"/>
      <c r="F12" s="98"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3" t="e">
        <f>IF(H12="Non",CONCATENATE(VLOOKUP(A12,liste_groupe[],5,FALSE),"-",VLOOKUP(A12,liste_groupe[],3,FALSE),VLOOKUP(A12,liste_groupe[],4,FALSE)," : ",ROUND(K12,0),"%"),CONCATENATE(VLOOKUP(A12,liste_groupe[],5,FALSE)," : ",ROUND(K12,0),"%"))</f>
        <v>#N/A</v>
      </c>
      <c r="O12"/>
    </row>
    <row r="13" spans="1:15" s="77" customFormat="1" ht="15.5" x14ac:dyDescent="0.35">
      <c r="A13" s="80" t="str">
        <f>'Page de garde'!A20</f>
        <v xml:space="preserve"> </v>
      </c>
      <c r="B13" s="100"/>
      <c r="C13" s="80"/>
      <c r="D13" s="80"/>
      <c r="E13" s="82"/>
      <c r="F13" s="98"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3" t="e">
        <f>IF(H13="Non",CONCATENATE(VLOOKUP(A13,liste_groupe[],5,FALSE),"-",VLOOKUP(A13,liste_groupe[],3,FALSE),VLOOKUP(A13,liste_groupe[],4,FALSE)," : ",ROUND(K13,0),"%"),CONCATENATE(VLOOKUP(A13,liste_groupe[],5,FALSE)," : ",ROUND(K13,0),"%"))</f>
        <v>#N/A</v>
      </c>
      <c r="O13"/>
    </row>
    <row r="14" spans="1:15" s="77" customFormat="1" ht="15.5" x14ac:dyDescent="0.35">
      <c r="A14" s="80" t="str">
        <f>'Page de garde'!A21</f>
        <v xml:space="preserve"> </v>
      </c>
      <c r="B14" s="100"/>
      <c r="C14" s="80"/>
      <c r="D14" s="80"/>
      <c r="E14" s="82"/>
      <c r="F14" s="98"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3" t="e">
        <f>IF(H14="Non",CONCATENATE(VLOOKUP(A14,liste_groupe[],5,FALSE),"-",VLOOKUP(A14,liste_groupe[],3,FALSE),VLOOKUP(A14,liste_groupe[],4,FALSE)," : ",ROUND(K14,0),"%"),CONCATENATE(VLOOKUP(A14,liste_groupe[],5,FALSE)," : ",ROUND(K14,0),"%"))</f>
        <v>#N/A</v>
      </c>
      <c r="O14" s="1"/>
    </row>
    <row r="15" spans="1:15" s="77" customFormat="1" ht="15.5" x14ac:dyDescent="0.35">
      <c r="A15" s="80" t="str">
        <f>'Page de garde'!A22</f>
        <v xml:space="preserve"> </v>
      </c>
      <c r="B15" s="100"/>
      <c r="C15" s="80"/>
      <c r="D15" s="80"/>
      <c r="E15" s="82"/>
      <c r="F15" s="98"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3" t="e">
        <f>IF(H15="Non",CONCATENATE(VLOOKUP(A15,liste_groupe[],5,FALSE),"-",VLOOKUP(A15,liste_groupe[],3,FALSE),VLOOKUP(A15,liste_groupe[],4,FALSE)," : ",ROUND(K15,0),"%"),CONCATENATE(VLOOKUP(A15,liste_groupe[],5,FALSE)," : ",ROUND(K15,0),"%"))</f>
        <v>#N/A</v>
      </c>
      <c r="O15" s="1"/>
    </row>
    <row r="16" spans="1:15" s="77" customFormat="1" ht="15.5" x14ac:dyDescent="0.35">
      <c r="A16" s="80" t="str">
        <f>'Page de garde'!A23</f>
        <v xml:space="preserve"> </v>
      </c>
      <c r="B16" s="100"/>
      <c r="C16" s="80"/>
      <c r="D16" s="80"/>
      <c r="E16" s="82"/>
      <c r="F16" s="98"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3" t="e">
        <f>IF(H16="Non",CONCATENATE(VLOOKUP(A16,liste_groupe[],5,FALSE),"-",VLOOKUP(A16,liste_groupe[],3,FALSE),VLOOKUP(A16,liste_groupe[],4,FALSE)," : ",ROUND(K16,0),"%"),CONCATENATE(VLOOKUP(A16,liste_groupe[],5,FALSE)," : ",ROUND(K16,0),"%"))</f>
        <v>#N/A</v>
      </c>
      <c r="O16" s="1"/>
    </row>
    <row r="17" spans="1:15" s="77" customFormat="1" ht="15.5" x14ac:dyDescent="0.35">
      <c r="A17" s="80" t="str">
        <f>'Page de garde'!A24</f>
        <v xml:space="preserve"> </v>
      </c>
      <c r="B17" s="100"/>
      <c r="C17" s="80"/>
      <c r="D17" s="80"/>
      <c r="E17" s="82"/>
      <c r="F17" s="98"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3" t="e">
        <f>IF(H17="Non",CONCATENATE(VLOOKUP(A17,liste_groupe[],5,FALSE),"-",VLOOKUP(A17,liste_groupe[],3,FALSE),VLOOKUP(A17,liste_groupe[],4,FALSE)," : ",ROUND(K17,0),"%"),CONCATENATE(VLOOKUP(A17,liste_groupe[],5,FALSE)," : ",ROUND(K17,0),"%"))</f>
        <v>#N/A</v>
      </c>
      <c r="O17" s="1"/>
    </row>
    <row r="18" spans="1:15" s="77" customFormat="1" ht="15.5" x14ac:dyDescent="0.35">
      <c r="A18" s="80" t="str">
        <f>'Page de garde'!A25</f>
        <v xml:space="preserve"> </v>
      </c>
      <c r="B18" s="100"/>
      <c r="C18" s="80"/>
      <c r="D18" s="80"/>
      <c r="E18" s="82"/>
      <c r="F18" s="98"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3" t="e">
        <f>IF(H18="Non",CONCATENATE(VLOOKUP(A18,liste_groupe[],5,FALSE),"-",VLOOKUP(A18,liste_groupe[],3,FALSE),VLOOKUP(A18,liste_groupe[],4,FALSE)," : ",ROUND(K18,0),"%"),CONCATENATE(VLOOKUP(A18,liste_groupe[],5,FALSE)," : ",ROUND(K18,0),"%"))</f>
        <v>#N/A</v>
      </c>
      <c r="O18" s="1"/>
    </row>
    <row r="19" spans="1:15" s="77" customFormat="1" ht="15.5" x14ac:dyDescent="0.35">
      <c r="A19" s="80" t="str">
        <f>'Page de garde'!A26</f>
        <v xml:space="preserve"> </v>
      </c>
      <c r="B19" s="100"/>
      <c r="C19" s="80"/>
      <c r="D19" s="80"/>
      <c r="E19" s="82"/>
      <c r="F19" s="98"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3" t="e">
        <f>IF(H19="Non",CONCATENATE(VLOOKUP(A19,liste_groupe[],5,FALSE),"-",VLOOKUP(A19,liste_groupe[],3,FALSE),VLOOKUP(A19,liste_groupe[],4,FALSE)," : ",ROUND(K19,0),"%"),CONCATENATE(VLOOKUP(A19,liste_groupe[],5,FALSE)," : ",ROUND(K19,0),"%"))</f>
        <v>#N/A</v>
      </c>
      <c r="O19" s="1"/>
    </row>
    <row r="20" spans="1:15" s="77" customFormat="1" ht="15.5" x14ac:dyDescent="0.35">
      <c r="A20" s="80" t="str">
        <f>'Page de garde'!A27</f>
        <v xml:space="preserve"> </v>
      </c>
      <c r="B20" s="100"/>
      <c r="C20" s="80"/>
      <c r="D20" s="80"/>
      <c r="E20" s="82"/>
      <c r="F20" s="98"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3" t="e">
        <f>IF(H20="Non",CONCATENATE(VLOOKUP(A20,liste_groupe[],5,FALSE),"-",VLOOKUP(A20,liste_groupe[],3,FALSE),VLOOKUP(A20,liste_groupe[],4,FALSE)," : ",ROUND(K20,0),"%"),CONCATENATE(VLOOKUP(A20,liste_groupe[],5,FALSE)," : ",ROUND(K20,0),"%"))</f>
        <v>#N/A</v>
      </c>
      <c r="O20" s="1"/>
    </row>
    <row r="21" spans="1:15" s="77" customFormat="1" ht="15.5" x14ac:dyDescent="0.35">
      <c r="A21" s="80" t="str">
        <f>'Page de garde'!A28</f>
        <v xml:space="preserve"> </v>
      </c>
      <c r="B21" s="100"/>
      <c r="C21" s="80"/>
      <c r="D21" s="80"/>
      <c r="E21" s="82"/>
      <c r="F21" s="98"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3" t="e">
        <f>IF(H21="Non",CONCATENATE(VLOOKUP(A21,liste_groupe[],5,FALSE),"-",VLOOKUP(A21,liste_groupe[],3,FALSE),VLOOKUP(A21,liste_groupe[],4,FALSE)," : ",ROUND(K21,0),"%"),CONCATENATE(VLOOKUP(A21,liste_groupe[],5,FALSE)," : ",ROUND(K21,0),"%"))</f>
        <v>#N/A</v>
      </c>
      <c r="O21" s="1"/>
    </row>
    <row r="22" spans="1:15" s="77" customFormat="1" ht="15.5" x14ac:dyDescent="0.35">
      <c r="A22" s="80" t="str">
        <f>'Page de garde'!A29</f>
        <v xml:space="preserve"> </v>
      </c>
      <c r="B22" s="100"/>
      <c r="C22" s="80"/>
      <c r="D22" s="80"/>
      <c r="E22" s="82"/>
      <c r="F22" s="98"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3" t="e">
        <f>IF(H22="Non",CONCATENATE(VLOOKUP(A22,liste_groupe[],5,FALSE),"-",VLOOKUP(A22,liste_groupe[],3,FALSE),VLOOKUP(A22,liste_groupe[],4,FALSE)," : ",ROUND(K22,0),"%"),CONCATENATE(VLOOKUP(A22,liste_groupe[],5,FALSE)," : ",ROUND(K22,0),"%"))</f>
        <v>#N/A</v>
      </c>
      <c r="O22" s="1"/>
    </row>
    <row r="23" spans="1:15" s="77" customFormat="1" ht="15.5" x14ac:dyDescent="0.35">
      <c r="A23" s="80" t="str">
        <f>'Page de garde'!A30</f>
        <v xml:space="preserve"> </v>
      </c>
      <c r="B23" s="100"/>
      <c r="C23" s="80"/>
      <c r="D23" s="80"/>
      <c r="E23" s="82"/>
      <c r="F23" s="98"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3" t="e">
        <f>IF(H23="Non",CONCATENATE(VLOOKUP(A23,liste_groupe[],5,FALSE),"-",VLOOKUP(A23,liste_groupe[],3,FALSE),VLOOKUP(A23,liste_groupe[],4,FALSE)," : ",ROUND(K23,0),"%"),CONCATENATE(VLOOKUP(A23,liste_groupe[],5,FALSE)," : ",ROUND(K23,0),"%"))</f>
        <v>#N/A</v>
      </c>
      <c r="O23" s="1"/>
    </row>
    <row r="24" spans="1:15" s="77" customFormat="1" ht="15.5" x14ac:dyDescent="0.35">
      <c r="A24" s="80" t="str">
        <f>'Page de garde'!A31</f>
        <v xml:space="preserve"> </v>
      </c>
      <c r="B24" s="100"/>
      <c r="C24" s="80"/>
      <c r="D24" s="80"/>
      <c r="E24" s="82"/>
      <c r="F24" s="98"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3" t="e">
        <f>IF(H24="Non",CONCATENATE(VLOOKUP(A24,liste_groupe[],5,FALSE),"-",VLOOKUP(A24,liste_groupe[],3,FALSE),VLOOKUP(A24,liste_groupe[],4,FALSE)," : ",ROUND(K24,0),"%"),CONCATENATE(VLOOKUP(A24,liste_groupe[],5,FALSE)," : ",ROUND(K24,0),"%"))</f>
        <v>#N/A</v>
      </c>
      <c r="O24" s="1"/>
    </row>
    <row r="25" spans="1:15" s="77" customFormat="1" ht="15.5" x14ac:dyDescent="0.35">
      <c r="A25" s="80" t="str">
        <f>'Page de garde'!A32</f>
        <v xml:space="preserve"> </v>
      </c>
      <c r="B25" s="100"/>
      <c r="C25" s="80"/>
      <c r="D25" s="80"/>
      <c r="E25" s="82"/>
      <c r="F25" s="98"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3" t="e">
        <f>IF(H25="Non",CONCATENATE(VLOOKUP(A25,liste_groupe[],5,FALSE),"-",VLOOKUP(A25,liste_groupe[],3,FALSE),VLOOKUP(A25,liste_groupe[],4,FALSE)," : ",ROUND(K25,0),"%"),CONCATENATE(VLOOKUP(A25,liste_groupe[],5,FALSE)," : ",ROUND(K25,0),"%"))</f>
        <v>#N/A</v>
      </c>
      <c r="O25" s="1"/>
    </row>
    <row r="26" spans="1:15" s="77" customFormat="1" ht="15.5" x14ac:dyDescent="0.35">
      <c r="A26" s="80" t="str">
        <f>'Page de garde'!A33</f>
        <v xml:space="preserve"> </v>
      </c>
      <c r="B26" s="99"/>
      <c r="C26" s="86"/>
      <c r="D26" s="86"/>
      <c r="E26" s="82"/>
      <c r="F26" s="98"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3" t="e">
        <f>IF(H26="Non",CONCATENATE(VLOOKUP(A26,liste_groupe[],5,FALSE),"-",VLOOKUP(A26,liste_groupe[],3,FALSE),VLOOKUP(A26,liste_groupe[],4,FALSE)," : ",ROUND(K26,0),"%"),CONCATENATE(VLOOKUP(A26,liste_groupe[],5,FALSE)," : ",ROUND(K26,0),"%"))</f>
        <v>#N/A</v>
      </c>
      <c r="O26"/>
    </row>
    <row r="27" spans="1:15" s="77" customFormat="1" ht="15.5" x14ac:dyDescent="0.35">
      <c r="A27"/>
      <c r="B27"/>
      <c r="C27"/>
      <c r="D27"/>
      <c r="E27"/>
      <c r="F27"/>
      <c r="G27"/>
      <c r="H27"/>
      <c r="I27"/>
      <c r="J27"/>
      <c r="K27"/>
      <c r="L27"/>
      <c r="M27"/>
      <c r="N27"/>
      <c r="O27" s="1"/>
    </row>
    <row r="28" spans="1:15" s="77" customFormat="1" ht="31.5" thickBot="1" x14ac:dyDescent="0.4">
      <c r="A28"/>
      <c r="B28" s="88" t="s">
        <v>25</v>
      </c>
      <c r="C28" s="88" t="s">
        <v>26</v>
      </c>
      <c r="D28" s="88" t="s">
        <v>27</v>
      </c>
      <c r="E28" s="89" t="s">
        <v>64</v>
      </c>
      <c r="F28" s="126" t="s">
        <v>80</v>
      </c>
      <c r="G28" s="95" t="s">
        <v>42</v>
      </c>
      <c r="H28" s="95" t="s">
        <v>65</v>
      </c>
      <c r="I28" s="95" t="s">
        <v>66</v>
      </c>
      <c r="J28" s="96" t="s">
        <v>77</v>
      </c>
      <c r="K28" s="96" t="s">
        <v>67</v>
      </c>
      <c r="L28" s="97" t="s">
        <v>76</v>
      </c>
      <c r="M28" s="97" t="s">
        <v>68</v>
      </c>
      <c r="N28" s="97" t="s">
        <v>69</v>
      </c>
      <c r="O28" s="1"/>
    </row>
    <row r="29" spans="1:15" s="77" customFormat="1" ht="15.5" x14ac:dyDescent="0.35">
      <c r="A29" s="84" t="s">
        <v>29</v>
      </c>
      <c r="B29" s="100"/>
      <c r="C29" s="80"/>
      <c r="D29" s="80"/>
      <c r="E29" s="82"/>
      <c r="F29" s="91"/>
      <c r="G29" s="133"/>
      <c r="H29" s="120"/>
      <c r="I29" s="120"/>
      <c r="J29" s="121"/>
      <c r="K29" s="122"/>
      <c r="L29" s="124"/>
      <c r="M29" s="121"/>
      <c r="N29" s="92"/>
      <c r="O29"/>
    </row>
    <row r="30" spans="1:15" s="77" customFormat="1" ht="15.5" x14ac:dyDescent="0.35">
      <c r="A30" s="84" t="s">
        <v>31</v>
      </c>
      <c r="B30" s="100"/>
      <c r="C30" s="80"/>
      <c r="D30" s="80"/>
      <c r="E30" s="82"/>
      <c r="F30" s="91"/>
      <c r="G30" s="132" t="e">
        <f>IF(F30="NS","NC",ROUND(B30-$B$29,2-(1+INT(LOG10(ABS(B30-$B$29))))))</f>
        <v>#NUM!</v>
      </c>
      <c r="H30" s="120"/>
      <c r="I30" s="133"/>
      <c r="J30" s="134"/>
      <c r="K30" s="135"/>
      <c r="L30" s="134"/>
      <c r="M30" s="134"/>
      <c r="N30" s="136"/>
      <c r="O30"/>
    </row>
    <row r="31" spans="1:15" s="77" customFormat="1" ht="15.5" x14ac:dyDescent="0.35">
      <c r="A31" s="84" t="s">
        <v>30</v>
      </c>
      <c r="B31" s="100"/>
      <c r="C31" s="80"/>
      <c r="D31" s="80"/>
      <c r="E31" s="82"/>
      <c r="F31" s="91"/>
      <c r="G31" s="132" t="e">
        <f t="shared" ref="G31:G51" si="6">IF(F31="NS","NC",ROUND(B31-$B$29,2-(1+INT(LOG10(ABS(B31-$B$29))))))</f>
        <v>#NUM!</v>
      </c>
      <c r="H31" s="120"/>
      <c r="I31" s="133"/>
      <c r="J31" s="134"/>
      <c r="K31" s="135"/>
      <c r="L31" s="134"/>
      <c r="M31" s="134"/>
      <c r="N31" s="136"/>
    </row>
    <row r="32" spans="1:15" s="77" customFormat="1" ht="15.5" x14ac:dyDescent="0.35">
      <c r="A32" s="127" t="str">
        <f>'Page de garde'!A38</f>
        <v>Saccharin-0,01mg/L + Testostérone</v>
      </c>
      <c r="B32" s="100"/>
      <c r="C32" s="80"/>
      <c r="D32" s="80"/>
      <c r="E32" s="82"/>
      <c r="F32" s="94"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Saccharin-0,01mg/L : 0%</v>
      </c>
    </row>
    <row r="33" spans="1:14" s="77" customFormat="1" ht="15.5" x14ac:dyDescent="0.35">
      <c r="A33" s="127" t="str">
        <f>'Page de garde'!A39</f>
        <v>Saccharin-0,1mg/L + Testostérone</v>
      </c>
      <c r="B33" s="99"/>
      <c r="C33" s="87"/>
      <c r="D33" s="87"/>
      <c r="E33" s="82"/>
      <c r="F33" s="94"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Saccharin-0,1mg/L : 0%</v>
      </c>
    </row>
    <row r="34" spans="1:14" s="77" customFormat="1" ht="15.5" x14ac:dyDescent="0.35">
      <c r="A34" s="127" t="str">
        <f>'Page de garde'!A40</f>
        <v>Saccharin-1mg/L + Testostérone</v>
      </c>
      <c r="B34" s="100"/>
      <c r="C34" s="80"/>
      <c r="D34" s="80"/>
      <c r="E34" s="82"/>
      <c r="F34" s="94"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Saccharin-1mg/L : 0%</v>
      </c>
    </row>
    <row r="35" spans="1:14" s="77" customFormat="1" ht="15.5" x14ac:dyDescent="0.35">
      <c r="A35" s="127" t="str">
        <f>'Page de garde'!A41</f>
        <v>Saccharin-10mg/L + Testostérone</v>
      </c>
      <c r="B35" s="99"/>
      <c r="C35" s="87"/>
      <c r="D35" s="87"/>
      <c r="E35" s="82"/>
      <c r="F35" s="94"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Saccharin-10mg/L : 0%</v>
      </c>
    </row>
    <row r="36" spans="1:14" s="77" customFormat="1" ht="15.5" x14ac:dyDescent="0.35">
      <c r="A36" s="127" t="str">
        <f>'Page de garde'!A42</f>
        <v>Saccharin-100mg/L + Testostérone</v>
      </c>
      <c r="B36" s="99"/>
      <c r="C36" s="87"/>
      <c r="D36" s="87"/>
      <c r="E36" s="82"/>
      <c r="F36" s="94"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Saccharin-100mg/L : 0%</v>
      </c>
    </row>
    <row r="37" spans="1:14" s="77" customFormat="1" ht="15.5" x14ac:dyDescent="0.35">
      <c r="A37" s="127" t="e">
        <f>'Page de garde'!#REF!</f>
        <v>#REF!</v>
      </c>
      <c r="B37" s="99"/>
      <c r="C37" s="87"/>
      <c r="D37" s="87"/>
      <c r="E37" s="82"/>
      <c r="F37" s="94" t="e">
        <f>HLOOKUP(A37,'pooled normalised values'!$B$74:$V$83,10,FALSE)</f>
        <v>#REF!</v>
      </c>
      <c r="G37" s="132" t="e">
        <f t="shared" si="6"/>
        <v>#REF!</v>
      </c>
      <c r="H37" s="123" t="e">
        <f>IF(VLOOKUP(A37,liste_groupe[],4,FALSE)="%",VLOOKUP(A37,liste_groupe[],3,FALSE)/100,IF(ISBLANK(VLOOKUP(A37,liste_groupe[],4,FALSE)),"Non","Non"))</f>
        <v>#REF!</v>
      </c>
      <c r="I37" s="132" t="e">
        <f t="shared" si="7"/>
        <v>#REF!</v>
      </c>
      <c r="J37" s="137" t="e">
        <f t="shared" si="8"/>
        <v>#REF!</v>
      </c>
      <c r="K37" s="138" t="e">
        <f t="shared" si="9"/>
        <v>#REF!</v>
      </c>
      <c r="L37" s="139"/>
      <c r="M37" s="131" t="e">
        <f t="shared" si="10"/>
        <v>#REF!</v>
      </c>
      <c r="N37" s="140" t="e">
        <f>IF(H37="Non",CONCATENATE(VLOOKUP(A37,liste_groupe[],5,FALSE),"-",VLOOKUP(A37,liste_groupe[],3,FALSE),VLOOKUP(A37,liste_groupe[],4,FALSE)," : ",ROUND(K37,0),"%"),CONCATENATE(VLOOKUP(A37,liste_groupe[],5,FALSE)," : ",ROUND(K37,0),"%"))</f>
        <v>#REF!</v>
      </c>
    </row>
    <row r="38" spans="1:14" s="77" customFormat="1" ht="15.5" x14ac:dyDescent="0.35">
      <c r="A38" s="127" t="e">
        <f>'Page de garde'!#REF!</f>
        <v>#REF!</v>
      </c>
      <c r="B38" s="99"/>
      <c r="C38" s="87"/>
      <c r="D38" s="87"/>
      <c r="E38" s="82"/>
      <c r="F38" s="94" t="e">
        <f>HLOOKUP(A38,'pooled normalised values'!$B$74:$V$83,10,FALSE)</f>
        <v>#REF!</v>
      </c>
      <c r="G38" s="132" t="e">
        <f t="shared" si="6"/>
        <v>#REF!</v>
      </c>
      <c r="H38" s="123" t="e">
        <f>IF(VLOOKUP(A38,liste_groupe[],4,FALSE)="%",VLOOKUP(A38,liste_groupe[],3,FALSE)/100,IF(ISBLANK(VLOOKUP(A38,liste_groupe[],4,FALSE)),"Non","Non"))</f>
        <v>#REF!</v>
      </c>
      <c r="I38" s="132" t="e">
        <f t="shared" si="7"/>
        <v>#REF!</v>
      </c>
      <c r="J38" s="137" t="e">
        <f t="shared" si="8"/>
        <v>#REF!</v>
      </c>
      <c r="K38" s="138" t="e">
        <f t="shared" si="9"/>
        <v>#REF!</v>
      </c>
      <c r="L38" s="139"/>
      <c r="M38" s="131" t="e">
        <f t="shared" si="10"/>
        <v>#REF!</v>
      </c>
      <c r="N38" s="140" t="e">
        <f>IF(H38="Non",CONCATENATE(VLOOKUP(A38,liste_groupe[],5,FALSE),"-",VLOOKUP(A38,liste_groupe[],3,FALSE),VLOOKUP(A38,liste_groupe[],4,FALSE)," : ",ROUND(K38,0),"%"),CONCATENATE(VLOOKUP(A38,liste_groupe[],5,FALSE)," : ",ROUND(K38,0),"%"))</f>
        <v>#REF!</v>
      </c>
    </row>
    <row r="39" spans="1:14" s="77" customFormat="1" ht="15.5" x14ac:dyDescent="0.35">
      <c r="A39" s="127" t="e">
        <f>'Page de garde'!#REF!</f>
        <v>#REF!</v>
      </c>
      <c r="B39" s="99"/>
      <c r="C39" s="87"/>
      <c r="D39" s="87"/>
      <c r="E39" s="82"/>
      <c r="F39" s="94" t="e">
        <f>HLOOKUP(A39,'pooled normalised values'!$B$74:$V$83,10,FALSE)</f>
        <v>#REF!</v>
      </c>
      <c r="G39" s="132" t="e">
        <f t="shared" ref="G39:G50" si="11">IF(F39="NS","NC",ROUND(B39-$B$29,2-(1+INT(LOG10(ABS(B39-$B$29))))))</f>
        <v>#REF!</v>
      </c>
      <c r="H39" s="123" t="e">
        <f>IF(VLOOKUP(A39,liste_groupe[],4,FALSE)="%",VLOOKUP(A39,liste_groupe[],3,FALSE)/100,IF(ISBLANK(VLOOKUP(A39,liste_groupe[],4,FALSE)),"Non","Non"))</f>
        <v>#REF!</v>
      </c>
      <c r="I39" s="132" t="e">
        <f t="shared" si="7"/>
        <v>#REF!</v>
      </c>
      <c r="J39" s="137" t="e">
        <f t="shared" ref="J39:J50" si="12">IF(G39&lt;0,$G$31,$G$30)</f>
        <v>#REF!</v>
      </c>
      <c r="K39" s="138" t="e">
        <f t="shared" si="9"/>
        <v>#REF!</v>
      </c>
      <c r="L39" s="139"/>
      <c r="M39" s="131" t="e">
        <f t="shared" si="10"/>
        <v>#REF!</v>
      </c>
      <c r="N39" s="140" t="e">
        <f>IF(H39="Non",CONCATENATE(VLOOKUP(A39,liste_groupe[],5,FALSE),"-",VLOOKUP(A39,liste_groupe[],3,FALSE),VLOOKUP(A39,liste_groupe[],4,FALSE)," : ",ROUND(K39,0),"%"),CONCATENATE(VLOOKUP(A39,liste_groupe[],5,FALSE)," : ",ROUND(K39,0),"%"))</f>
        <v>#REF!</v>
      </c>
    </row>
    <row r="40" spans="1:14" s="77" customFormat="1" ht="15.5" x14ac:dyDescent="0.35">
      <c r="A40" s="127" t="e">
        <f>'Page de garde'!#REF!</f>
        <v>#REF!</v>
      </c>
      <c r="B40" s="99"/>
      <c r="C40" s="87"/>
      <c r="D40" s="87"/>
      <c r="E40" s="82"/>
      <c r="F40" s="94" t="e">
        <f>HLOOKUP(A40,'pooled normalised values'!$B$74:$V$83,10,FALSE)</f>
        <v>#REF!</v>
      </c>
      <c r="G40" s="132" t="e">
        <f t="shared" si="11"/>
        <v>#REF!</v>
      </c>
      <c r="H40" s="123" t="e">
        <f>IF(VLOOKUP(A40,liste_groupe[],4,FALSE)="%",VLOOKUP(A40,liste_groupe[],3,FALSE)/100,IF(ISBLANK(VLOOKUP(A40,liste_groupe[],4,FALSE)),"Non","Non"))</f>
        <v>#REF!</v>
      </c>
      <c r="I40" s="132" t="e">
        <f t="shared" si="7"/>
        <v>#REF!</v>
      </c>
      <c r="J40" s="137" t="e">
        <f t="shared" si="12"/>
        <v>#REF!</v>
      </c>
      <c r="K40" s="138" t="e">
        <f t="shared" si="9"/>
        <v>#REF!</v>
      </c>
      <c r="L40" s="139"/>
      <c r="M40" s="131" t="e">
        <f t="shared" si="10"/>
        <v>#REF!</v>
      </c>
      <c r="N40" s="140" t="e">
        <f>IF(H40="Non",CONCATENATE(VLOOKUP(A40,liste_groupe[],5,FALSE),"-",VLOOKUP(A40,liste_groupe[],3,FALSE),VLOOKUP(A40,liste_groupe[],4,FALSE)," : ",ROUND(K40,0),"%"),CONCATENATE(VLOOKUP(A40,liste_groupe[],5,FALSE)," : ",ROUND(K40,0),"%"))</f>
        <v>#REF!</v>
      </c>
    </row>
    <row r="41" spans="1:14" s="77" customFormat="1" ht="15.5" x14ac:dyDescent="0.35">
      <c r="A41" s="127" t="e">
        <f>'Page de garde'!#REF!</f>
        <v>#REF!</v>
      </c>
      <c r="B41" s="99"/>
      <c r="C41" s="87"/>
      <c r="D41" s="87"/>
      <c r="E41" s="82"/>
      <c r="F41" s="94" t="e">
        <f>HLOOKUP(A41,'pooled normalised values'!$B$74:$V$83,10,FALSE)</f>
        <v>#REF!</v>
      </c>
      <c r="G41" s="132" t="e">
        <f t="shared" si="11"/>
        <v>#REF!</v>
      </c>
      <c r="H41" s="123" t="e">
        <f>IF(VLOOKUP(A41,liste_groupe[],4,FALSE)="%",VLOOKUP(A41,liste_groupe[],3,FALSE)/100,IF(ISBLANK(VLOOKUP(A41,liste_groupe[],4,FALSE)),"Non","Non"))</f>
        <v>#REF!</v>
      </c>
      <c r="I41" s="132" t="e">
        <f t="shared" si="7"/>
        <v>#REF!</v>
      </c>
      <c r="J41" s="137" t="e">
        <f t="shared" si="12"/>
        <v>#REF!</v>
      </c>
      <c r="K41" s="138" t="e">
        <f t="shared" si="9"/>
        <v>#REF!</v>
      </c>
      <c r="L41" s="139"/>
      <c r="M41" s="131" t="e">
        <f t="shared" si="10"/>
        <v>#REF!</v>
      </c>
      <c r="N41" s="140" t="e">
        <f>IF(H41="Non",CONCATENATE(VLOOKUP(A41,liste_groupe[],5,FALSE),"-",VLOOKUP(A41,liste_groupe[],3,FALSE),VLOOKUP(A41,liste_groupe[],4,FALSE)," : ",ROUND(K41,0),"%"),CONCATENATE(VLOOKUP(A41,liste_groupe[],5,FALSE)," : ",ROUND(K41,0),"%"))</f>
        <v>#REF!</v>
      </c>
    </row>
    <row r="42" spans="1:14" s="77" customFormat="1" ht="15.5" x14ac:dyDescent="0.35">
      <c r="A42" s="127" t="e">
        <f>'Page de garde'!#REF!</f>
        <v>#REF!</v>
      </c>
      <c r="B42" s="99"/>
      <c r="C42" s="87"/>
      <c r="D42" s="87"/>
      <c r="E42" s="82"/>
      <c r="F42" s="94" t="e">
        <f>HLOOKUP(A42,'pooled normalised values'!$B$74:$V$83,10,FALSE)</f>
        <v>#REF!</v>
      </c>
      <c r="G42" s="132" t="e">
        <f t="shared" si="11"/>
        <v>#REF!</v>
      </c>
      <c r="H42" s="123" t="e">
        <f>IF(VLOOKUP(A42,liste_groupe[],4,FALSE)="%",VLOOKUP(A42,liste_groupe[],3,FALSE)/100,IF(ISBLANK(VLOOKUP(A42,liste_groupe[],4,FALSE)),"Non","Non"))</f>
        <v>#REF!</v>
      </c>
      <c r="I42" s="132" t="e">
        <f t="shared" si="7"/>
        <v>#REF!</v>
      </c>
      <c r="J42" s="137" t="e">
        <f t="shared" si="12"/>
        <v>#REF!</v>
      </c>
      <c r="K42" s="138" t="e">
        <f t="shared" si="9"/>
        <v>#REF!</v>
      </c>
      <c r="L42" s="139"/>
      <c r="M42" s="131" t="e">
        <f t="shared" si="10"/>
        <v>#REF!</v>
      </c>
      <c r="N42" s="140" t="e">
        <f>IF(H42="Non",CONCATENATE(VLOOKUP(A42,liste_groupe[],5,FALSE),"-",VLOOKUP(A42,liste_groupe[],3,FALSE),VLOOKUP(A42,liste_groupe[],4,FALSE)," : ",ROUND(K42,0),"%"),CONCATENATE(VLOOKUP(A42,liste_groupe[],5,FALSE)," : ",ROUND(K42,0),"%"))</f>
        <v>#REF!</v>
      </c>
    </row>
    <row r="43" spans="1:14" s="77" customFormat="1" ht="15.5" x14ac:dyDescent="0.35">
      <c r="A43" s="127" t="e">
        <f>'Page de garde'!#REF!</f>
        <v>#REF!</v>
      </c>
      <c r="B43" s="99"/>
      <c r="C43" s="87"/>
      <c r="D43" s="87"/>
      <c r="E43" s="82"/>
      <c r="F43" s="94" t="e">
        <f>HLOOKUP(A43,'pooled normalised values'!$B$74:$V$83,10,FALSE)</f>
        <v>#REF!</v>
      </c>
      <c r="G43" s="132" t="e">
        <f t="shared" si="11"/>
        <v>#REF!</v>
      </c>
      <c r="H43" s="123" t="e">
        <f>IF(VLOOKUP(A43,liste_groupe[],4,FALSE)="%",VLOOKUP(A43,liste_groupe[],3,FALSE)/100,IF(ISBLANK(VLOOKUP(A43,liste_groupe[],4,FALSE)),"Non","Non"))</f>
        <v>#REF!</v>
      </c>
      <c r="I43" s="132" t="e">
        <f t="shared" si="7"/>
        <v>#REF!</v>
      </c>
      <c r="J43" s="137" t="e">
        <f t="shared" si="12"/>
        <v>#REF!</v>
      </c>
      <c r="K43" s="138" t="e">
        <f t="shared" si="9"/>
        <v>#REF!</v>
      </c>
      <c r="L43" s="139"/>
      <c r="M43" s="131" t="e">
        <f t="shared" si="10"/>
        <v>#REF!</v>
      </c>
      <c r="N43" s="140" t="e">
        <f>IF(H43="Non",CONCATENATE(VLOOKUP(A43,liste_groupe[],5,FALSE),"-",VLOOKUP(A43,liste_groupe[],3,FALSE),VLOOKUP(A43,liste_groupe[],4,FALSE)," : ",ROUND(K43,0),"%"),CONCATENATE(VLOOKUP(A43,liste_groupe[],5,FALSE)," : ",ROUND(K43,0),"%"))</f>
        <v>#REF!</v>
      </c>
    </row>
    <row r="44" spans="1:14" s="77" customFormat="1" ht="15.5" x14ac:dyDescent="0.35">
      <c r="A44" s="127" t="e">
        <f>'Page de garde'!#REF!</f>
        <v>#REF!</v>
      </c>
      <c r="B44" s="99"/>
      <c r="C44" s="87"/>
      <c r="D44" s="87"/>
      <c r="E44" s="82"/>
      <c r="F44" s="94" t="e">
        <f>HLOOKUP(A44,'pooled normalised values'!$B$74:$V$83,10,FALSE)</f>
        <v>#REF!</v>
      </c>
      <c r="G44" s="132" t="e">
        <f t="shared" si="11"/>
        <v>#REF!</v>
      </c>
      <c r="H44" s="123" t="e">
        <f>IF(VLOOKUP(A44,liste_groupe[],4,FALSE)="%",VLOOKUP(A44,liste_groupe[],3,FALSE)/100,IF(ISBLANK(VLOOKUP(A44,liste_groupe[],4,FALSE)),"Non","Non"))</f>
        <v>#REF!</v>
      </c>
      <c r="I44" s="132" t="e">
        <f t="shared" si="7"/>
        <v>#REF!</v>
      </c>
      <c r="J44" s="137" t="e">
        <f t="shared" si="12"/>
        <v>#REF!</v>
      </c>
      <c r="K44" s="138" t="e">
        <f t="shared" si="9"/>
        <v>#REF!</v>
      </c>
      <c r="L44" s="139"/>
      <c r="M44" s="131" t="e">
        <f t="shared" si="10"/>
        <v>#REF!</v>
      </c>
      <c r="N44" s="140" t="e">
        <f>IF(H44="Non",CONCATENATE(VLOOKUP(A44,liste_groupe[],5,FALSE),"-",VLOOKUP(A44,liste_groupe[],3,FALSE),VLOOKUP(A44,liste_groupe[],4,FALSE)," : ",ROUND(K44,0),"%"),CONCATENATE(VLOOKUP(A44,liste_groupe[],5,FALSE)," : ",ROUND(K44,0),"%"))</f>
        <v>#REF!</v>
      </c>
    </row>
    <row r="45" spans="1:14" s="77" customFormat="1" ht="15.5" x14ac:dyDescent="0.35">
      <c r="A45" s="127" t="e">
        <f>'Page de garde'!#REF!</f>
        <v>#REF!</v>
      </c>
      <c r="B45" s="99"/>
      <c r="C45" s="87"/>
      <c r="D45" s="87"/>
      <c r="E45" s="82"/>
      <c r="F45" s="94" t="e">
        <f>HLOOKUP(A45,'pooled normalised values'!$B$74:$V$83,10,FALSE)</f>
        <v>#REF!</v>
      </c>
      <c r="G45" s="132" t="e">
        <f t="shared" si="11"/>
        <v>#REF!</v>
      </c>
      <c r="H45" s="123" t="e">
        <f>IF(VLOOKUP(A45,liste_groupe[],4,FALSE)="%",VLOOKUP(A45,liste_groupe[],3,FALSE)/100,IF(ISBLANK(VLOOKUP(A45,liste_groupe[],4,FALSE)),"Non","Non"))</f>
        <v>#REF!</v>
      </c>
      <c r="I45" s="132" t="e">
        <f t="shared" si="7"/>
        <v>#REF!</v>
      </c>
      <c r="J45" s="137" t="e">
        <f t="shared" si="12"/>
        <v>#REF!</v>
      </c>
      <c r="K45" s="138" t="e">
        <f t="shared" si="9"/>
        <v>#REF!</v>
      </c>
      <c r="L45" s="139"/>
      <c r="M45" s="131" t="e">
        <f t="shared" si="10"/>
        <v>#REF!</v>
      </c>
      <c r="N45" s="140" t="e">
        <f>IF(H45="Non",CONCATENATE(VLOOKUP(A45,liste_groupe[],5,FALSE),"-",VLOOKUP(A45,liste_groupe[],3,FALSE),VLOOKUP(A45,liste_groupe[],4,FALSE)," : ",ROUND(K45,0),"%"),CONCATENATE(VLOOKUP(A45,liste_groupe[],5,FALSE)," : ",ROUND(K45,0),"%"))</f>
        <v>#REF!</v>
      </c>
    </row>
    <row r="46" spans="1:14" s="77" customFormat="1" ht="15.5" x14ac:dyDescent="0.35">
      <c r="A46" s="127" t="e">
        <f>'Page de garde'!#REF!</f>
        <v>#REF!</v>
      </c>
      <c r="B46" s="99"/>
      <c r="C46" s="87"/>
      <c r="D46" s="87"/>
      <c r="E46" s="82"/>
      <c r="F46" s="94" t="e">
        <f>HLOOKUP(A46,'pooled normalised values'!$B$74:$V$83,10,FALSE)</f>
        <v>#REF!</v>
      </c>
      <c r="G46" s="132" t="e">
        <f t="shared" si="11"/>
        <v>#REF!</v>
      </c>
      <c r="H46" s="123" t="e">
        <f>IF(VLOOKUP(A46,liste_groupe[],4,FALSE)="%",VLOOKUP(A46,liste_groupe[],3,FALSE)/100,IF(ISBLANK(VLOOKUP(A46,liste_groupe[],4,FALSE)),"Non","Non"))</f>
        <v>#REF!</v>
      </c>
      <c r="I46" s="132" t="e">
        <f t="shared" si="7"/>
        <v>#REF!</v>
      </c>
      <c r="J46" s="137" t="e">
        <f t="shared" si="12"/>
        <v>#REF!</v>
      </c>
      <c r="K46" s="138" t="e">
        <f t="shared" si="9"/>
        <v>#REF!</v>
      </c>
      <c r="L46" s="139"/>
      <c r="M46" s="131" t="e">
        <f t="shared" si="10"/>
        <v>#REF!</v>
      </c>
      <c r="N46" s="140" t="e">
        <f>IF(H46="Non",CONCATENATE(VLOOKUP(A46,liste_groupe[],5,FALSE),"-",VLOOKUP(A46,liste_groupe[],3,FALSE),VLOOKUP(A46,liste_groupe[],4,FALSE)," : ",ROUND(K46,0),"%"),CONCATENATE(VLOOKUP(A46,liste_groupe[],5,FALSE)," : ",ROUND(K46,0),"%"))</f>
        <v>#REF!</v>
      </c>
    </row>
    <row r="47" spans="1:14" s="77" customFormat="1" ht="15.5" x14ac:dyDescent="0.35">
      <c r="A47" s="127" t="e">
        <f>'Page de garde'!#REF!</f>
        <v>#REF!</v>
      </c>
      <c r="B47" s="99"/>
      <c r="C47" s="87"/>
      <c r="D47" s="87"/>
      <c r="E47" s="82"/>
      <c r="F47" s="94" t="e">
        <f>HLOOKUP(A47,'pooled normalised values'!$B$74:$V$83,10,FALSE)</f>
        <v>#REF!</v>
      </c>
      <c r="G47" s="132" t="e">
        <f t="shared" si="11"/>
        <v>#REF!</v>
      </c>
      <c r="H47" s="123" t="e">
        <f>IF(VLOOKUP(A47,liste_groupe[],4,FALSE)="%",VLOOKUP(A47,liste_groupe[],3,FALSE)/100,IF(ISBLANK(VLOOKUP(A47,liste_groupe[],4,FALSE)),"Non","Non"))</f>
        <v>#REF!</v>
      </c>
      <c r="I47" s="132" t="e">
        <f t="shared" si="7"/>
        <v>#REF!</v>
      </c>
      <c r="J47" s="137" t="e">
        <f t="shared" si="12"/>
        <v>#REF!</v>
      </c>
      <c r="K47" s="138" t="e">
        <f t="shared" si="9"/>
        <v>#REF!</v>
      </c>
      <c r="L47" s="139"/>
      <c r="M47" s="131" t="e">
        <f t="shared" si="10"/>
        <v>#REF!</v>
      </c>
      <c r="N47" s="140" t="e">
        <f>IF(H47="Non",CONCATENATE(VLOOKUP(A47,liste_groupe[],5,FALSE),"-",VLOOKUP(A47,liste_groupe[],3,FALSE),VLOOKUP(A47,liste_groupe[],4,FALSE)," : ",ROUND(K47,0),"%"),CONCATENATE(VLOOKUP(A47,liste_groupe[],5,FALSE)," : ",ROUND(K47,0),"%"))</f>
        <v>#REF!</v>
      </c>
    </row>
    <row r="48" spans="1:14" s="77" customFormat="1" ht="15.5" x14ac:dyDescent="0.35">
      <c r="A48" s="127" t="e">
        <f>'Page de garde'!#REF!</f>
        <v>#REF!</v>
      </c>
      <c r="B48" s="99"/>
      <c r="C48" s="87"/>
      <c r="D48" s="87"/>
      <c r="E48" s="82"/>
      <c r="F48" s="94" t="e">
        <f>HLOOKUP(A48,'pooled normalised values'!$B$74:$V$83,10,FALSE)</f>
        <v>#REF!</v>
      </c>
      <c r="G48" s="132" t="e">
        <f t="shared" si="11"/>
        <v>#REF!</v>
      </c>
      <c r="H48" s="123" t="e">
        <f>IF(VLOOKUP(A48,liste_groupe[],4,FALSE)="%",VLOOKUP(A48,liste_groupe[],3,FALSE)/100,IF(ISBLANK(VLOOKUP(A48,liste_groupe[],4,FALSE)),"Non","Non"))</f>
        <v>#REF!</v>
      </c>
      <c r="I48" s="132" t="e">
        <f t="shared" si="7"/>
        <v>#REF!</v>
      </c>
      <c r="J48" s="137" t="e">
        <f t="shared" si="12"/>
        <v>#REF!</v>
      </c>
      <c r="K48" s="138" t="e">
        <f t="shared" si="9"/>
        <v>#REF!</v>
      </c>
      <c r="L48" s="139"/>
      <c r="M48" s="131" t="e">
        <f t="shared" si="10"/>
        <v>#REF!</v>
      </c>
      <c r="N48" s="140" t="e">
        <f>IF(H48="Non",CONCATENATE(VLOOKUP(A48,liste_groupe[],5,FALSE),"-",VLOOKUP(A48,liste_groupe[],3,FALSE),VLOOKUP(A48,liste_groupe[],4,FALSE)," : ",ROUND(K48,0),"%"),CONCATENATE(VLOOKUP(A48,liste_groupe[],5,FALSE)," : ",ROUND(K48,0),"%"))</f>
        <v>#REF!</v>
      </c>
    </row>
    <row r="49" spans="1:15" s="77" customFormat="1" ht="15.5" x14ac:dyDescent="0.35">
      <c r="A49" s="127" t="e">
        <f>'Page de garde'!#REF!</f>
        <v>#REF!</v>
      </c>
      <c r="B49" s="99"/>
      <c r="C49" s="87"/>
      <c r="D49" s="87"/>
      <c r="E49" s="82"/>
      <c r="F49" s="94" t="e">
        <f>HLOOKUP(A49,'pooled normalised values'!$B$74:$V$83,10,FALSE)</f>
        <v>#REF!</v>
      </c>
      <c r="G49" s="132" t="e">
        <f t="shared" si="11"/>
        <v>#REF!</v>
      </c>
      <c r="H49" s="123" t="e">
        <f>IF(VLOOKUP(A49,liste_groupe[],4,FALSE)="%",VLOOKUP(A49,liste_groupe[],3,FALSE)/100,IF(ISBLANK(VLOOKUP(A49,liste_groupe[],4,FALSE)),"Non","Non"))</f>
        <v>#REF!</v>
      </c>
      <c r="I49" s="132" t="e">
        <f t="shared" si="7"/>
        <v>#REF!</v>
      </c>
      <c r="J49" s="137" t="e">
        <f t="shared" si="12"/>
        <v>#REF!</v>
      </c>
      <c r="K49" s="138" t="e">
        <f t="shared" si="9"/>
        <v>#REF!</v>
      </c>
      <c r="L49" s="139"/>
      <c r="M49" s="131" t="e">
        <f t="shared" si="10"/>
        <v>#REF!</v>
      </c>
      <c r="N49" s="140" t="e">
        <f>IF(H49="Non",CONCATENATE(VLOOKUP(A49,liste_groupe[],5,FALSE),"-",VLOOKUP(A49,liste_groupe[],3,FALSE),VLOOKUP(A49,liste_groupe[],4,FALSE)," : ",ROUND(K49,0),"%"),CONCATENATE(VLOOKUP(A49,liste_groupe[],5,FALSE)," : ",ROUND(K49,0),"%"))</f>
        <v>#REF!</v>
      </c>
    </row>
    <row r="50" spans="1:15" s="77" customFormat="1" ht="15.5" x14ac:dyDescent="0.35">
      <c r="A50" s="127" t="e">
        <f>'Page de garde'!#REF!</f>
        <v>#REF!</v>
      </c>
      <c r="B50" s="99"/>
      <c r="C50" s="87"/>
      <c r="D50" s="87"/>
      <c r="E50" s="82"/>
      <c r="F50" s="94" t="e">
        <f>HLOOKUP(A50,'pooled normalised values'!$B$74:$V$83,10,FALSE)</f>
        <v>#REF!</v>
      </c>
      <c r="G50" s="132" t="e">
        <f t="shared" si="11"/>
        <v>#REF!</v>
      </c>
      <c r="H50" s="123" t="e">
        <f>IF(VLOOKUP(A50,liste_groupe[],4,FALSE)="%",VLOOKUP(A50,liste_groupe[],3,FALSE)/100,IF(ISBLANK(VLOOKUP(A50,liste_groupe[],4,FALSE)),"Non","Non"))</f>
        <v>#REF!</v>
      </c>
      <c r="I50" s="132" t="e">
        <f t="shared" si="7"/>
        <v>#REF!</v>
      </c>
      <c r="J50" s="137" t="e">
        <f t="shared" si="12"/>
        <v>#REF!</v>
      </c>
      <c r="K50" s="138" t="e">
        <f t="shared" si="9"/>
        <v>#REF!</v>
      </c>
      <c r="L50" s="139"/>
      <c r="M50" s="131" t="e">
        <f t="shared" si="10"/>
        <v>#REF!</v>
      </c>
      <c r="N50" s="140" t="e">
        <f>IF(H50="Non",CONCATENATE(VLOOKUP(A50,liste_groupe[],5,FALSE),"-",VLOOKUP(A50,liste_groupe[],3,FALSE),VLOOKUP(A50,liste_groupe[],4,FALSE)," : ",ROUND(K50,0),"%"),CONCATENATE(VLOOKUP(A50,liste_groupe[],5,FALSE)," : ",ROUND(K50,0),"%"))</f>
        <v>#REF!</v>
      </c>
    </row>
    <row r="51" spans="1:15" s="77" customFormat="1" ht="15.5" x14ac:dyDescent="0.35">
      <c r="A51" s="127" t="e">
        <f>'Page de garde'!#REF!</f>
        <v>#REF!</v>
      </c>
      <c r="B51" s="99"/>
      <c r="C51" s="87"/>
      <c r="D51" s="87"/>
      <c r="E51" s="82"/>
      <c r="F51" s="94" t="e">
        <f>HLOOKUP(A51,'pooled normalised values'!$B$74:$V$83,10,FALSE)</f>
        <v>#REF!</v>
      </c>
      <c r="G51" s="132" t="e">
        <f t="shared" si="6"/>
        <v>#REF!</v>
      </c>
      <c r="H51" s="123" t="e">
        <f>IF(VLOOKUP(A51,liste_groupe[],4,FALSE)="%",VLOOKUP(A51,liste_groupe[],3,FALSE)/100,IF(ISBLANK(VLOOKUP(A51,liste_groupe[],4,FALSE)),"Non","Non"))</f>
        <v>#REF!</v>
      </c>
      <c r="I51" s="132" t="e">
        <f t="shared" si="7"/>
        <v>#REF!</v>
      </c>
      <c r="J51" s="137" t="e">
        <f t="shared" si="8"/>
        <v>#REF!</v>
      </c>
      <c r="K51" s="138" t="e">
        <f t="shared" si="9"/>
        <v>#REF!</v>
      </c>
      <c r="L51" s="139"/>
      <c r="M51" s="131" t="e">
        <f t="shared" si="10"/>
        <v>#REF!</v>
      </c>
      <c r="N51" s="140" t="e">
        <f>IF(H51="Non",CONCATENATE(VLOOKUP(A51,liste_groupe[],5,FALSE),"-",VLOOKUP(A51,liste_groupe[],3,FALSE),VLOOKUP(A51,liste_groupe[],4,FALSE)," : ",ROUND(K51,0),"%"),CONCATENATE(VLOOKUP(A51,liste_groupe[],5,FALSE)," : ",ROUND(K51,0),"%"))</f>
        <v>#REF!</v>
      </c>
    </row>
    <row r="52" spans="1:15" s="77" customFormat="1" ht="16" thickBot="1" x14ac:dyDescent="0.4">
      <c r="E52" s="78"/>
      <c r="F52" s="78"/>
      <c r="G52" s="78"/>
      <c r="H52" s="78"/>
      <c r="I52" s="78"/>
      <c r="J52" s="78"/>
      <c r="K52" s="78"/>
      <c r="L52" s="78"/>
      <c r="M52" s="78"/>
      <c r="N52" s="78"/>
    </row>
    <row r="53" spans="1:15" s="48" customFormat="1" ht="26.5" thickBot="1" x14ac:dyDescent="0.4">
      <c r="A53" s="225" t="s">
        <v>60</v>
      </c>
      <c r="B53" s="226"/>
      <c r="C53" s="226"/>
      <c r="D53" s="226"/>
      <c r="E53" s="226"/>
      <c r="F53" s="226"/>
      <c r="G53" s="226"/>
      <c r="H53" s="226"/>
      <c r="I53" s="226"/>
      <c r="J53" s="226"/>
      <c r="K53" s="226"/>
      <c r="L53" s="226"/>
      <c r="M53" s="226"/>
      <c r="N53" s="226"/>
      <c r="O53" s="227"/>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53125" defaultRowHeight="14.5" x14ac:dyDescent="0.35"/>
  <cols>
    <col min="1" max="1" width="22.81640625" style="179" customWidth="1"/>
    <col min="2" max="2" width="46.26953125" style="179" customWidth="1"/>
    <col min="3" max="3" width="15.26953125" style="179" customWidth="1"/>
    <col min="4" max="4" width="24.7265625" style="179" customWidth="1"/>
    <col min="5" max="5" width="24.453125" style="179" customWidth="1"/>
    <col min="6" max="6" width="23.1796875" style="179" customWidth="1"/>
    <col min="7" max="7" width="21.26953125" style="179" customWidth="1"/>
    <col min="8" max="16384" width="11.453125" style="179"/>
  </cols>
  <sheetData>
    <row r="1" spans="1:7" ht="29.5" thickBot="1" x14ac:dyDescent="0.4">
      <c r="A1" s="184" t="s">
        <v>130</v>
      </c>
      <c r="B1" s="185" t="s">
        <v>131</v>
      </c>
      <c r="C1" s="185" t="s">
        <v>137</v>
      </c>
      <c r="D1" s="185" t="s">
        <v>136</v>
      </c>
      <c r="E1" s="185" t="s">
        <v>138</v>
      </c>
      <c r="F1" s="186" t="s">
        <v>139</v>
      </c>
      <c r="G1" s="187" t="s">
        <v>140</v>
      </c>
    </row>
    <row r="2" spans="1:7" ht="58" x14ac:dyDescent="0.35">
      <c r="A2" s="180" t="s">
        <v>132</v>
      </c>
      <c r="B2" s="181" t="s">
        <v>133</v>
      </c>
      <c r="C2" s="181" t="s">
        <v>134</v>
      </c>
      <c r="D2" s="181" t="s">
        <v>141</v>
      </c>
      <c r="E2" s="181" t="s">
        <v>135</v>
      </c>
      <c r="F2" s="182" t="s">
        <v>134</v>
      </c>
      <c r="G2" s="183" t="s">
        <v>134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19" width="14.81640625" style="17" customWidth="1"/>
    <col min="20" max="21" width="11.453125" style="17"/>
    <col min="22" max="22" width="13.54296875" style="17" bestFit="1" customWidth="1"/>
    <col min="23" max="34" width="13.54296875" style="17" customWidth="1"/>
    <col min="35" max="35" width="13.54296875" style="17" bestFit="1" customWidth="1"/>
    <col min="36" max="282" width="11.453125" style="17"/>
    <col min="283" max="283" width="18.7265625" style="17" customWidth="1"/>
    <col min="284" max="284" width="13.7265625" style="17" bestFit="1" customWidth="1"/>
    <col min="285" max="285" width="17.26953125" style="17" customWidth="1"/>
    <col min="286" max="286" width="11" style="17" customWidth="1"/>
    <col min="287" max="287" width="12" style="17" bestFit="1" customWidth="1"/>
    <col min="288" max="288" width="14.81640625" style="17" customWidth="1"/>
    <col min="289" max="538" width="11.453125" style="17"/>
    <col min="539" max="539" width="18.7265625" style="17" customWidth="1"/>
    <col min="540" max="540" width="13.7265625" style="17" bestFit="1" customWidth="1"/>
    <col min="541" max="541" width="17.26953125" style="17" customWidth="1"/>
    <col min="542" max="542" width="11" style="17" customWidth="1"/>
    <col min="543" max="543" width="12" style="17" bestFit="1" customWidth="1"/>
    <col min="544" max="544" width="14.81640625" style="17" customWidth="1"/>
    <col min="545" max="794" width="11.453125" style="17"/>
    <col min="795" max="795" width="18.7265625" style="17" customWidth="1"/>
    <col min="796" max="796" width="13.7265625" style="17" bestFit="1" customWidth="1"/>
    <col min="797" max="797" width="17.26953125" style="17" customWidth="1"/>
    <col min="798" max="798" width="11" style="17" customWidth="1"/>
    <col min="799" max="799" width="12" style="17" bestFit="1" customWidth="1"/>
    <col min="800" max="800" width="14.81640625" style="17" customWidth="1"/>
    <col min="801" max="1050" width="11.453125" style="17"/>
    <col min="1051" max="1051" width="18.7265625" style="17" customWidth="1"/>
    <col min="1052" max="1052" width="13.7265625" style="17" bestFit="1" customWidth="1"/>
    <col min="1053" max="1053" width="17.26953125" style="17" customWidth="1"/>
    <col min="1054" max="1054" width="11" style="17" customWidth="1"/>
    <col min="1055" max="1055" width="12" style="17" bestFit="1" customWidth="1"/>
    <col min="1056" max="1056" width="14.81640625" style="17" customWidth="1"/>
    <col min="1057" max="1306" width="11.453125" style="17"/>
    <col min="1307" max="1307" width="18.7265625" style="17" customWidth="1"/>
    <col min="1308" max="1308" width="13.7265625" style="17" bestFit="1" customWidth="1"/>
    <col min="1309" max="1309" width="17.26953125" style="17" customWidth="1"/>
    <col min="1310" max="1310" width="11" style="17" customWidth="1"/>
    <col min="1311" max="1311" width="12" style="17" bestFit="1" customWidth="1"/>
    <col min="1312" max="1312" width="14.81640625" style="17" customWidth="1"/>
    <col min="1313" max="1562" width="11.453125" style="17"/>
    <col min="1563" max="1563" width="18.7265625" style="17" customWidth="1"/>
    <col min="1564" max="1564" width="13.7265625" style="17" bestFit="1" customWidth="1"/>
    <col min="1565" max="1565" width="17.26953125" style="17" customWidth="1"/>
    <col min="1566" max="1566" width="11" style="17" customWidth="1"/>
    <col min="1567" max="1567" width="12" style="17" bestFit="1" customWidth="1"/>
    <col min="1568" max="1568" width="14.81640625" style="17" customWidth="1"/>
    <col min="1569" max="1818" width="11.453125" style="17"/>
    <col min="1819" max="1819" width="18.7265625" style="17" customWidth="1"/>
    <col min="1820" max="1820" width="13.7265625" style="17" bestFit="1" customWidth="1"/>
    <col min="1821" max="1821" width="17.26953125" style="17" customWidth="1"/>
    <col min="1822" max="1822" width="11" style="17" customWidth="1"/>
    <col min="1823" max="1823" width="12" style="17" bestFit="1" customWidth="1"/>
    <col min="1824" max="1824" width="14.81640625" style="17" customWidth="1"/>
    <col min="1825" max="2074" width="11.453125" style="17"/>
    <col min="2075" max="2075" width="18.7265625" style="17" customWidth="1"/>
    <col min="2076" max="2076" width="13.7265625" style="17" bestFit="1" customWidth="1"/>
    <col min="2077" max="2077" width="17.26953125" style="17" customWidth="1"/>
    <col min="2078" max="2078" width="11" style="17" customWidth="1"/>
    <col min="2079" max="2079" width="12" style="17" bestFit="1" customWidth="1"/>
    <col min="2080" max="2080" width="14.81640625" style="17" customWidth="1"/>
    <col min="2081" max="2330" width="11.453125" style="17"/>
    <col min="2331" max="2331" width="18.7265625" style="17" customWidth="1"/>
    <col min="2332" max="2332" width="13.7265625" style="17" bestFit="1" customWidth="1"/>
    <col min="2333" max="2333" width="17.26953125" style="17" customWidth="1"/>
    <col min="2334" max="2334" width="11" style="17" customWidth="1"/>
    <col min="2335" max="2335" width="12" style="17" bestFit="1" customWidth="1"/>
    <col min="2336" max="2336" width="14.81640625" style="17" customWidth="1"/>
    <col min="2337" max="2586" width="11.453125" style="17"/>
    <col min="2587" max="2587" width="18.7265625" style="17" customWidth="1"/>
    <col min="2588" max="2588" width="13.7265625" style="17" bestFit="1" customWidth="1"/>
    <col min="2589" max="2589" width="17.26953125" style="17" customWidth="1"/>
    <col min="2590" max="2590" width="11" style="17" customWidth="1"/>
    <col min="2591" max="2591" width="12" style="17" bestFit="1" customWidth="1"/>
    <col min="2592" max="2592" width="14.81640625" style="17" customWidth="1"/>
    <col min="2593" max="2842" width="11.453125" style="17"/>
    <col min="2843" max="2843" width="18.7265625" style="17" customWidth="1"/>
    <col min="2844" max="2844" width="13.7265625" style="17" bestFit="1" customWidth="1"/>
    <col min="2845" max="2845" width="17.26953125" style="17" customWidth="1"/>
    <col min="2846" max="2846" width="11" style="17" customWidth="1"/>
    <col min="2847" max="2847" width="12" style="17" bestFit="1" customWidth="1"/>
    <col min="2848" max="2848" width="14.81640625" style="17" customWidth="1"/>
    <col min="2849" max="3098" width="11.453125" style="17"/>
    <col min="3099" max="3099" width="18.7265625" style="17" customWidth="1"/>
    <col min="3100" max="3100" width="13.7265625" style="17" bestFit="1" customWidth="1"/>
    <col min="3101" max="3101" width="17.26953125" style="17" customWidth="1"/>
    <col min="3102" max="3102" width="11" style="17" customWidth="1"/>
    <col min="3103" max="3103" width="12" style="17" bestFit="1" customWidth="1"/>
    <col min="3104" max="3104" width="14.81640625" style="17" customWidth="1"/>
    <col min="3105" max="3354" width="11.453125" style="17"/>
    <col min="3355" max="3355" width="18.7265625" style="17" customWidth="1"/>
    <col min="3356" max="3356" width="13.7265625" style="17" bestFit="1" customWidth="1"/>
    <col min="3357" max="3357" width="17.26953125" style="17" customWidth="1"/>
    <col min="3358" max="3358" width="11" style="17" customWidth="1"/>
    <col min="3359" max="3359" width="12" style="17" bestFit="1" customWidth="1"/>
    <col min="3360" max="3360" width="14.81640625" style="17" customWidth="1"/>
    <col min="3361" max="3610" width="11.453125" style="17"/>
    <col min="3611" max="3611" width="18.7265625" style="17" customWidth="1"/>
    <col min="3612" max="3612" width="13.7265625" style="17" bestFit="1" customWidth="1"/>
    <col min="3613" max="3613" width="17.26953125" style="17" customWidth="1"/>
    <col min="3614" max="3614" width="11" style="17" customWidth="1"/>
    <col min="3615" max="3615" width="12" style="17" bestFit="1" customWidth="1"/>
    <col min="3616" max="3616" width="14.81640625" style="17" customWidth="1"/>
    <col min="3617" max="3866" width="11.453125" style="17"/>
    <col min="3867" max="3867" width="18.7265625" style="17" customWidth="1"/>
    <col min="3868" max="3868" width="13.7265625" style="17" bestFit="1" customWidth="1"/>
    <col min="3869" max="3869" width="17.26953125" style="17" customWidth="1"/>
    <col min="3870" max="3870" width="11" style="17" customWidth="1"/>
    <col min="3871" max="3871" width="12" style="17" bestFit="1" customWidth="1"/>
    <col min="3872" max="3872" width="14.81640625" style="17" customWidth="1"/>
    <col min="3873" max="4122" width="11.453125" style="17"/>
    <col min="4123" max="4123" width="18.7265625" style="17" customWidth="1"/>
    <col min="4124" max="4124" width="13.7265625" style="17" bestFit="1" customWidth="1"/>
    <col min="4125" max="4125" width="17.26953125" style="17" customWidth="1"/>
    <col min="4126" max="4126" width="11" style="17" customWidth="1"/>
    <col min="4127" max="4127" width="12" style="17" bestFit="1" customWidth="1"/>
    <col min="4128" max="4128" width="14.81640625" style="17" customWidth="1"/>
    <col min="4129" max="4378" width="11.453125" style="17"/>
    <col min="4379" max="4379" width="18.7265625" style="17" customWidth="1"/>
    <col min="4380" max="4380" width="13.7265625" style="17" bestFit="1" customWidth="1"/>
    <col min="4381" max="4381" width="17.26953125" style="17" customWidth="1"/>
    <col min="4382" max="4382" width="11" style="17" customWidth="1"/>
    <col min="4383" max="4383" width="12" style="17" bestFit="1" customWidth="1"/>
    <col min="4384" max="4384" width="14.81640625" style="17" customWidth="1"/>
    <col min="4385" max="4634" width="11.453125" style="17"/>
    <col min="4635" max="4635" width="18.7265625" style="17" customWidth="1"/>
    <col min="4636" max="4636" width="13.7265625" style="17" bestFit="1" customWidth="1"/>
    <col min="4637" max="4637" width="17.26953125" style="17" customWidth="1"/>
    <col min="4638" max="4638" width="11" style="17" customWidth="1"/>
    <col min="4639" max="4639" width="12" style="17" bestFit="1" customWidth="1"/>
    <col min="4640" max="4640" width="14.81640625" style="17" customWidth="1"/>
    <col min="4641" max="4890" width="11.453125" style="17"/>
    <col min="4891" max="4891" width="18.7265625" style="17" customWidth="1"/>
    <col min="4892" max="4892" width="13.7265625" style="17" bestFit="1" customWidth="1"/>
    <col min="4893" max="4893" width="17.26953125" style="17" customWidth="1"/>
    <col min="4894" max="4894" width="11" style="17" customWidth="1"/>
    <col min="4895" max="4895" width="12" style="17" bestFit="1" customWidth="1"/>
    <col min="4896" max="4896" width="14.81640625" style="17" customWidth="1"/>
    <col min="4897" max="5146" width="11.453125" style="17"/>
    <col min="5147" max="5147" width="18.7265625" style="17" customWidth="1"/>
    <col min="5148" max="5148" width="13.7265625" style="17" bestFit="1" customWidth="1"/>
    <col min="5149" max="5149" width="17.26953125" style="17" customWidth="1"/>
    <col min="5150" max="5150" width="11" style="17" customWidth="1"/>
    <col min="5151" max="5151" width="12" style="17" bestFit="1" customWidth="1"/>
    <col min="5152" max="5152" width="14.81640625" style="17" customWidth="1"/>
    <col min="5153" max="5402" width="11.453125" style="17"/>
    <col min="5403" max="5403" width="18.7265625" style="17" customWidth="1"/>
    <col min="5404" max="5404" width="13.7265625" style="17" bestFit="1" customWidth="1"/>
    <col min="5405" max="5405" width="17.26953125" style="17" customWidth="1"/>
    <col min="5406" max="5406" width="11" style="17" customWidth="1"/>
    <col min="5407" max="5407" width="12" style="17" bestFit="1" customWidth="1"/>
    <col min="5408" max="5408" width="14.81640625" style="17" customWidth="1"/>
    <col min="5409" max="5658" width="11.453125" style="17"/>
    <col min="5659" max="5659" width="18.7265625" style="17" customWidth="1"/>
    <col min="5660" max="5660" width="13.7265625" style="17" bestFit="1" customWidth="1"/>
    <col min="5661" max="5661" width="17.26953125" style="17" customWidth="1"/>
    <col min="5662" max="5662" width="11" style="17" customWidth="1"/>
    <col min="5663" max="5663" width="12" style="17" bestFit="1" customWidth="1"/>
    <col min="5664" max="5664" width="14.81640625" style="17" customWidth="1"/>
    <col min="5665" max="5914" width="11.453125" style="17"/>
    <col min="5915" max="5915" width="18.7265625" style="17" customWidth="1"/>
    <col min="5916" max="5916" width="13.7265625" style="17" bestFit="1" customWidth="1"/>
    <col min="5917" max="5917" width="17.26953125" style="17" customWidth="1"/>
    <col min="5918" max="5918" width="11" style="17" customWidth="1"/>
    <col min="5919" max="5919" width="12" style="17" bestFit="1" customWidth="1"/>
    <col min="5920" max="5920" width="14.81640625" style="17" customWidth="1"/>
    <col min="5921" max="6170" width="11.453125" style="17"/>
    <col min="6171" max="6171" width="18.7265625" style="17" customWidth="1"/>
    <col min="6172" max="6172" width="13.7265625" style="17" bestFit="1" customWidth="1"/>
    <col min="6173" max="6173" width="17.26953125" style="17" customWidth="1"/>
    <col min="6174" max="6174" width="11" style="17" customWidth="1"/>
    <col min="6175" max="6175" width="12" style="17" bestFit="1" customWidth="1"/>
    <col min="6176" max="6176" width="14.81640625" style="17" customWidth="1"/>
    <col min="6177" max="6426" width="11.453125" style="17"/>
    <col min="6427" max="6427" width="18.7265625" style="17" customWidth="1"/>
    <col min="6428" max="6428" width="13.7265625" style="17" bestFit="1" customWidth="1"/>
    <col min="6429" max="6429" width="17.26953125" style="17" customWidth="1"/>
    <col min="6430" max="6430" width="11" style="17" customWidth="1"/>
    <col min="6431" max="6431" width="12" style="17" bestFit="1" customWidth="1"/>
    <col min="6432" max="6432" width="14.81640625" style="17" customWidth="1"/>
    <col min="6433" max="6682" width="11.453125" style="17"/>
    <col min="6683" max="6683" width="18.7265625" style="17" customWidth="1"/>
    <col min="6684" max="6684" width="13.7265625" style="17" bestFit="1" customWidth="1"/>
    <col min="6685" max="6685" width="17.26953125" style="17" customWidth="1"/>
    <col min="6686" max="6686" width="11" style="17" customWidth="1"/>
    <col min="6687" max="6687" width="12" style="17" bestFit="1" customWidth="1"/>
    <col min="6688" max="6688" width="14.81640625" style="17" customWidth="1"/>
    <col min="6689" max="6938" width="11.453125" style="17"/>
    <col min="6939" max="6939" width="18.7265625" style="17" customWidth="1"/>
    <col min="6940" max="6940" width="13.7265625" style="17" bestFit="1" customWidth="1"/>
    <col min="6941" max="6941" width="17.26953125" style="17" customWidth="1"/>
    <col min="6942" max="6942" width="11" style="17" customWidth="1"/>
    <col min="6943" max="6943" width="12" style="17" bestFit="1" customWidth="1"/>
    <col min="6944" max="6944" width="14.81640625" style="17" customWidth="1"/>
    <col min="6945" max="7194" width="11.453125" style="17"/>
    <col min="7195" max="7195" width="18.7265625" style="17" customWidth="1"/>
    <col min="7196" max="7196" width="13.7265625" style="17" bestFit="1" customWidth="1"/>
    <col min="7197" max="7197" width="17.26953125" style="17" customWidth="1"/>
    <col min="7198" max="7198" width="11" style="17" customWidth="1"/>
    <col min="7199" max="7199" width="12" style="17" bestFit="1" customWidth="1"/>
    <col min="7200" max="7200" width="14.81640625" style="17" customWidth="1"/>
    <col min="7201" max="7450" width="11.453125" style="17"/>
    <col min="7451" max="7451" width="18.7265625" style="17" customWidth="1"/>
    <col min="7452" max="7452" width="13.7265625" style="17" bestFit="1" customWidth="1"/>
    <col min="7453" max="7453" width="17.26953125" style="17" customWidth="1"/>
    <col min="7454" max="7454" width="11" style="17" customWidth="1"/>
    <col min="7455" max="7455" width="12" style="17" bestFit="1" customWidth="1"/>
    <col min="7456" max="7456" width="14.81640625" style="17" customWidth="1"/>
    <col min="7457" max="7706" width="11.453125" style="17"/>
    <col min="7707" max="7707" width="18.7265625" style="17" customWidth="1"/>
    <col min="7708" max="7708" width="13.7265625" style="17" bestFit="1" customWidth="1"/>
    <col min="7709" max="7709" width="17.26953125" style="17" customWidth="1"/>
    <col min="7710" max="7710" width="11" style="17" customWidth="1"/>
    <col min="7711" max="7711" width="12" style="17" bestFit="1" customWidth="1"/>
    <col min="7712" max="7712" width="14.81640625" style="17" customWidth="1"/>
    <col min="7713" max="7962" width="11.453125" style="17"/>
    <col min="7963" max="7963" width="18.7265625" style="17" customWidth="1"/>
    <col min="7964" max="7964" width="13.7265625" style="17" bestFit="1" customWidth="1"/>
    <col min="7965" max="7965" width="17.26953125" style="17" customWidth="1"/>
    <col min="7966" max="7966" width="11" style="17" customWidth="1"/>
    <col min="7967" max="7967" width="12" style="17" bestFit="1" customWidth="1"/>
    <col min="7968" max="7968" width="14.81640625" style="17" customWidth="1"/>
    <col min="7969" max="8218" width="11.453125" style="17"/>
    <col min="8219" max="8219" width="18.7265625" style="17" customWidth="1"/>
    <col min="8220" max="8220" width="13.7265625" style="17" bestFit="1" customWidth="1"/>
    <col min="8221" max="8221" width="17.26953125" style="17" customWidth="1"/>
    <col min="8222" max="8222" width="11" style="17" customWidth="1"/>
    <col min="8223" max="8223" width="12" style="17" bestFit="1" customWidth="1"/>
    <col min="8224" max="8224" width="14.81640625" style="17" customWidth="1"/>
    <col min="8225" max="8474" width="11.453125" style="17"/>
    <col min="8475" max="8475" width="18.7265625" style="17" customWidth="1"/>
    <col min="8476" max="8476" width="13.7265625" style="17" bestFit="1" customWidth="1"/>
    <col min="8477" max="8477" width="17.26953125" style="17" customWidth="1"/>
    <col min="8478" max="8478" width="11" style="17" customWidth="1"/>
    <col min="8479" max="8479" width="12" style="17" bestFit="1" customWidth="1"/>
    <col min="8480" max="8480" width="14.81640625" style="17" customWidth="1"/>
    <col min="8481" max="8730" width="11.453125" style="17"/>
    <col min="8731" max="8731" width="18.7265625" style="17" customWidth="1"/>
    <col min="8732" max="8732" width="13.7265625" style="17" bestFit="1" customWidth="1"/>
    <col min="8733" max="8733" width="17.26953125" style="17" customWidth="1"/>
    <col min="8734" max="8734" width="11" style="17" customWidth="1"/>
    <col min="8735" max="8735" width="12" style="17" bestFit="1" customWidth="1"/>
    <col min="8736" max="8736" width="14.81640625" style="17" customWidth="1"/>
    <col min="8737" max="8986" width="11.453125" style="17"/>
    <col min="8987" max="8987" width="18.7265625" style="17" customWidth="1"/>
    <col min="8988" max="8988" width="13.7265625" style="17" bestFit="1" customWidth="1"/>
    <col min="8989" max="8989" width="17.26953125" style="17" customWidth="1"/>
    <col min="8990" max="8990" width="11" style="17" customWidth="1"/>
    <col min="8991" max="8991" width="12" style="17" bestFit="1" customWidth="1"/>
    <col min="8992" max="8992" width="14.81640625" style="17" customWidth="1"/>
    <col min="8993" max="9242" width="11.453125" style="17"/>
    <col min="9243" max="9243" width="18.7265625" style="17" customWidth="1"/>
    <col min="9244" max="9244" width="13.7265625" style="17" bestFit="1" customWidth="1"/>
    <col min="9245" max="9245" width="17.26953125" style="17" customWidth="1"/>
    <col min="9246" max="9246" width="11" style="17" customWidth="1"/>
    <col min="9247" max="9247" width="12" style="17" bestFit="1" customWidth="1"/>
    <col min="9248" max="9248" width="14.81640625" style="17" customWidth="1"/>
    <col min="9249" max="9498" width="11.453125" style="17"/>
    <col min="9499" max="9499" width="18.7265625" style="17" customWidth="1"/>
    <col min="9500" max="9500" width="13.7265625" style="17" bestFit="1" customWidth="1"/>
    <col min="9501" max="9501" width="17.26953125" style="17" customWidth="1"/>
    <col min="9502" max="9502" width="11" style="17" customWidth="1"/>
    <col min="9503" max="9503" width="12" style="17" bestFit="1" customWidth="1"/>
    <col min="9504" max="9504" width="14.81640625" style="17" customWidth="1"/>
    <col min="9505" max="9754" width="11.453125" style="17"/>
    <col min="9755" max="9755" width="18.7265625" style="17" customWidth="1"/>
    <col min="9756" max="9756" width="13.7265625" style="17" bestFit="1" customWidth="1"/>
    <col min="9757" max="9757" width="17.26953125" style="17" customWidth="1"/>
    <col min="9758" max="9758" width="11" style="17" customWidth="1"/>
    <col min="9759" max="9759" width="12" style="17" bestFit="1" customWidth="1"/>
    <col min="9760" max="9760" width="14.81640625" style="17" customWidth="1"/>
    <col min="9761" max="10010" width="11.453125" style="17"/>
    <col min="10011" max="10011" width="18.7265625" style="17" customWidth="1"/>
    <col min="10012" max="10012" width="13.7265625" style="17" bestFit="1" customWidth="1"/>
    <col min="10013" max="10013" width="17.26953125" style="17" customWidth="1"/>
    <col min="10014" max="10014" width="11" style="17" customWidth="1"/>
    <col min="10015" max="10015" width="12" style="17" bestFit="1" customWidth="1"/>
    <col min="10016" max="10016" width="14.81640625" style="17" customWidth="1"/>
    <col min="10017" max="10266" width="11.453125" style="17"/>
    <col min="10267" max="10267" width="18.7265625" style="17" customWidth="1"/>
    <col min="10268" max="10268" width="13.7265625" style="17" bestFit="1" customWidth="1"/>
    <col min="10269" max="10269" width="17.26953125" style="17" customWidth="1"/>
    <col min="10270" max="10270" width="11" style="17" customWidth="1"/>
    <col min="10271" max="10271" width="12" style="17" bestFit="1" customWidth="1"/>
    <col min="10272" max="10272" width="14.81640625" style="17" customWidth="1"/>
    <col min="10273" max="10522" width="11.453125" style="17"/>
    <col min="10523" max="10523" width="18.7265625" style="17" customWidth="1"/>
    <col min="10524" max="10524" width="13.7265625" style="17" bestFit="1" customWidth="1"/>
    <col min="10525" max="10525" width="17.26953125" style="17" customWidth="1"/>
    <col min="10526" max="10526" width="11" style="17" customWidth="1"/>
    <col min="10527" max="10527" width="12" style="17" bestFit="1" customWidth="1"/>
    <col min="10528" max="10528" width="14.81640625" style="17" customWidth="1"/>
    <col min="10529" max="10778" width="11.453125" style="17"/>
    <col min="10779" max="10779" width="18.7265625" style="17" customWidth="1"/>
    <col min="10780" max="10780" width="13.7265625" style="17" bestFit="1" customWidth="1"/>
    <col min="10781" max="10781" width="17.26953125" style="17" customWidth="1"/>
    <col min="10782" max="10782" width="11" style="17" customWidth="1"/>
    <col min="10783" max="10783" width="12" style="17" bestFit="1" customWidth="1"/>
    <col min="10784" max="10784" width="14.81640625" style="17" customWidth="1"/>
    <col min="10785" max="11034" width="11.453125" style="17"/>
    <col min="11035" max="11035" width="18.7265625" style="17" customWidth="1"/>
    <col min="11036" max="11036" width="13.7265625" style="17" bestFit="1" customWidth="1"/>
    <col min="11037" max="11037" width="17.26953125" style="17" customWidth="1"/>
    <col min="11038" max="11038" width="11" style="17" customWidth="1"/>
    <col min="11039" max="11039" width="12" style="17" bestFit="1" customWidth="1"/>
    <col min="11040" max="11040" width="14.81640625" style="17" customWidth="1"/>
    <col min="11041" max="11290" width="11.453125" style="17"/>
    <col min="11291" max="11291" width="18.7265625" style="17" customWidth="1"/>
    <col min="11292" max="11292" width="13.7265625" style="17" bestFit="1" customWidth="1"/>
    <col min="11293" max="11293" width="17.26953125" style="17" customWidth="1"/>
    <col min="11294" max="11294" width="11" style="17" customWidth="1"/>
    <col min="11295" max="11295" width="12" style="17" bestFit="1" customWidth="1"/>
    <col min="11296" max="11296" width="14.81640625" style="17" customWidth="1"/>
    <col min="11297" max="11546" width="11.453125" style="17"/>
    <col min="11547" max="11547" width="18.7265625" style="17" customWidth="1"/>
    <col min="11548" max="11548" width="13.7265625" style="17" bestFit="1" customWidth="1"/>
    <col min="11549" max="11549" width="17.26953125" style="17" customWidth="1"/>
    <col min="11550" max="11550" width="11" style="17" customWidth="1"/>
    <col min="11551" max="11551" width="12" style="17" bestFit="1" customWidth="1"/>
    <col min="11552" max="11552" width="14.81640625" style="17" customWidth="1"/>
    <col min="11553" max="11802" width="11.453125" style="17"/>
    <col min="11803" max="11803" width="18.7265625" style="17" customWidth="1"/>
    <col min="11804" max="11804" width="13.7265625" style="17" bestFit="1" customWidth="1"/>
    <col min="11805" max="11805" width="17.26953125" style="17" customWidth="1"/>
    <col min="11806" max="11806" width="11" style="17" customWidth="1"/>
    <col min="11807" max="11807" width="12" style="17" bestFit="1" customWidth="1"/>
    <col min="11808" max="11808" width="14.81640625" style="17" customWidth="1"/>
    <col min="11809" max="12058" width="11.453125" style="17"/>
    <col min="12059" max="12059" width="18.7265625" style="17" customWidth="1"/>
    <col min="12060" max="12060" width="13.7265625" style="17" bestFit="1" customWidth="1"/>
    <col min="12061" max="12061" width="17.26953125" style="17" customWidth="1"/>
    <col min="12062" max="12062" width="11" style="17" customWidth="1"/>
    <col min="12063" max="12063" width="12" style="17" bestFit="1" customWidth="1"/>
    <col min="12064" max="12064" width="14.81640625" style="17" customWidth="1"/>
    <col min="12065" max="12314" width="11.453125" style="17"/>
    <col min="12315" max="12315" width="18.7265625" style="17" customWidth="1"/>
    <col min="12316" max="12316" width="13.7265625" style="17" bestFit="1" customWidth="1"/>
    <col min="12317" max="12317" width="17.26953125" style="17" customWidth="1"/>
    <col min="12318" max="12318" width="11" style="17" customWidth="1"/>
    <col min="12319" max="12319" width="12" style="17" bestFit="1" customWidth="1"/>
    <col min="12320" max="12320" width="14.81640625" style="17" customWidth="1"/>
    <col min="12321" max="12570" width="11.453125" style="17"/>
    <col min="12571" max="12571" width="18.7265625" style="17" customWidth="1"/>
    <col min="12572" max="12572" width="13.7265625" style="17" bestFit="1" customWidth="1"/>
    <col min="12573" max="12573" width="17.26953125" style="17" customWidth="1"/>
    <col min="12574" max="12574" width="11" style="17" customWidth="1"/>
    <col min="12575" max="12575" width="12" style="17" bestFit="1" customWidth="1"/>
    <col min="12576" max="12576" width="14.81640625" style="17" customWidth="1"/>
    <col min="12577" max="12826" width="11.453125" style="17"/>
    <col min="12827" max="12827" width="18.7265625" style="17" customWidth="1"/>
    <col min="12828" max="12828" width="13.7265625" style="17" bestFit="1" customWidth="1"/>
    <col min="12829" max="12829" width="17.26953125" style="17" customWidth="1"/>
    <col min="12830" max="12830" width="11" style="17" customWidth="1"/>
    <col min="12831" max="12831" width="12" style="17" bestFit="1" customWidth="1"/>
    <col min="12832" max="12832" width="14.81640625" style="17" customWidth="1"/>
    <col min="12833" max="13082" width="11.453125" style="17"/>
    <col min="13083" max="13083" width="18.7265625" style="17" customWidth="1"/>
    <col min="13084" max="13084" width="13.7265625" style="17" bestFit="1" customWidth="1"/>
    <col min="13085" max="13085" width="17.26953125" style="17" customWidth="1"/>
    <col min="13086" max="13086" width="11" style="17" customWidth="1"/>
    <col min="13087" max="13087" width="12" style="17" bestFit="1" customWidth="1"/>
    <col min="13088" max="13088" width="14.81640625" style="17" customWidth="1"/>
    <col min="13089" max="13338" width="11.453125" style="17"/>
    <col min="13339" max="13339" width="18.7265625" style="17" customWidth="1"/>
    <col min="13340" max="13340" width="13.7265625" style="17" bestFit="1" customWidth="1"/>
    <col min="13341" max="13341" width="17.26953125" style="17" customWidth="1"/>
    <col min="13342" max="13342" width="11" style="17" customWidth="1"/>
    <col min="13343" max="13343" width="12" style="17" bestFit="1" customWidth="1"/>
    <col min="13344" max="13344" width="14.81640625" style="17" customWidth="1"/>
    <col min="13345" max="13594" width="11.453125" style="17"/>
    <col min="13595" max="13595" width="18.7265625" style="17" customWidth="1"/>
    <col min="13596" max="13596" width="13.7265625" style="17" bestFit="1" customWidth="1"/>
    <col min="13597" max="13597" width="17.26953125" style="17" customWidth="1"/>
    <col min="13598" max="13598" width="11" style="17" customWidth="1"/>
    <col min="13599" max="13599" width="12" style="17" bestFit="1" customWidth="1"/>
    <col min="13600" max="13600" width="14.81640625" style="17" customWidth="1"/>
    <col min="13601" max="13850" width="11.453125" style="17"/>
    <col min="13851" max="13851" width="18.7265625" style="17" customWidth="1"/>
    <col min="13852" max="13852" width="13.7265625" style="17" bestFit="1" customWidth="1"/>
    <col min="13853" max="13853" width="17.26953125" style="17" customWidth="1"/>
    <col min="13854" max="13854" width="11" style="17" customWidth="1"/>
    <col min="13855" max="13855" width="12" style="17" bestFit="1" customWidth="1"/>
    <col min="13856" max="13856" width="14.81640625" style="17" customWidth="1"/>
    <col min="13857" max="14106" width="11.453125" style="17"/>
    <col min="14107" max="14107" width="18.7265625" style="17" customWidth="1"/>
    <col min="14108" max="14108" width="13.7265625" style="17" bestFit="1" customWidth="1"/>
    <col min="14109" max="14109" width="17.26953125" style="17" customWidth="1"/>
    <col min="14110" max="14110" width="11" style="17" customWidth="1"/>
    <col min="14111" max="14111" width="12" style="17" bestFit="1" customWidth="1"/>
    <col min="14112" max="14112" width="14.81640625" style="17" customWidth="1"/>
    <col min="14113" max="14362" width="11.453125" style="17"/>
    <col min="14363" max="14363" width="18.7265625" style="17" customWidth="1"/>
    <col min="14364" max="14364" width="13.7265625" style="17" bestFit="1" customWidth="1"/>
    <col min="14365" max="14365" width="17.26953125" style="17" customWidth="1"/>
    <col min="14366" max="14366" width="11" style="17" customWidth="1"/>
    <col min="14367" max="14367" width="12" style="17" bestFit="1" customWidth="1"/>
    <col min="14368" max="14368" width="14.81640625" style="17" customWidth="1"/>
    <col min="14369" max="14618" width="11.453125" style="17"/>
    <col min="14619" max="14619" width="18.7265625" style="17" customWidth="1"/>
    <col min="14620" max="14620" width="13.7265625" style="17" bestFit="1" customWidth="1"/>
    <col min="14621" max="14621" width="17.26953125" style="17" customWidth="1"/>
    <col min="14622" max="14622" width="11" style="17" customWidth="1"/>
    <col min="14623" max="14623" width="12" style="17" bestFit="1" customWidth="1"/>
    <col min="14624" max="14624" width="14.81640625" style="17" customWidth="1"/>
    <col min="14625" max="14874" width="11.453125" style="17"/>
    <col min="14875" max="14875" width="18.7265625" style="17" customWidth="1"/>
    <col min="14876" max="14876" width="13.7265625" style="17" bestFit="1" customWidth="1"/>
    <col min="14877" max="14877" width="17.26953125" style="17" customWidth="1"/>
    <col min="14878" max="14878" width="11" style="17" customWidth="1"/>
    <col min="14879" max="14879" width="12" style="17" bestFit="1" customWidth="1"/>
    <col min="14880" max="14880" width="14.81640625" style="17" customWidth="1"/>
    <col min="14881" max="15130" width="11.453125" style="17"/>
    <col min="15131" max="15131" width="18.7265625" style="17" customWidth="1"/>
    <col min="15132" max="15132" width="13.7265625" style="17" bestFit="1" customWidth="1"/>
    <col min="15133" max="15133" width="17.26953125" style="17" customWidth="1"/>
    <col min="15134" max="15134" width="11" style="17" customWidth="1"/>
    <col min="15135" max="15135" width="12" style="17" bestFit="1" customWidth="1"/>
    <col min="15136" max="15136" width="14.81640625" style="17" customWidth="1"/>
    <col min="15137" max="15386" width="11.453125" style="17"/>
    <col min="15387" max="15387" width="18.7265625" style="17" customWidth="1"/>
    <col min="15388" max="15388" width="13.7265625" style="17" bestFit="1" customWidth="1"/>
    <col min="15389" max="15389" width="17.26953125" style="17" customWidth="1"/>
    <col min="15390" max="15390" width="11" style="17" customWidth="1"/>
    <col min="15391" max="15391" width="12" style="17" bestFit="1" customWidth="1"/>
    <col min="15392" max="15392" width="14.81640625" style="17" customWidth="1"/>
    <col min="15393" max="15642" width="11.453125" style="17"/>
    <col min="15643" max="15643" width="18.7265625" style="17" customWidth="1"/>
    <col min="15644" max="15644" width="13.7265625" style="17" bestFit="1" customWidth="1"/>
    <col min="15645" max="15645" width="17.26953125" style="17" customWidth="1"/>
    <col min="15646" max="15646" width="11" style="17" customWidth="1"/>
    <col min="15647" max="15647" width="12" style="17" bestFit="1" customWidth="1"/>
    <col min="15648" max="15648" width="14.81640625" style="17" customWidth="1"/>
    <col min="15649" max="15898" width="11.453125" style="17"/>
    <col min="15899" max="15899" width="18.7265625" style="17" customWidth="1"/>
    <col min="15900" max="15900" width="13.7265625" style="17" bestFit="1" customWidth="1"/>
    <col min="15901" max="15901" width="17.26953125" style="17" customWidth="1"/>
    <col min="15902" max="15902" width="11" style="17" customWidth="1"/>
    <col min="15903" max="15903" width="12" style="17" bestFit="1" customWidth="1"/>
    <col min="15904" max="15904" width="14.81640625" style="17" customWidth="1"/>
    <col min="15905" max="16154" width="11.453125" style="17"/>
    <col min="16155" max="16155" width="18.7265625" style="17" customWidth="1"/>
    <col min="16156" max="16156" width="13.7265625" style="17" bestFit="1" customWidth="1"/>
    <col min="16157" max="16157" width="17.26953125" style="17" customWidth="1"/>
    <col min="16158" max="16158" width="11" style="17" customWidth="1"/>
    <col min="16159" max="16159" width="12" style="17" bestFit="1" customWidth="1"/>
    <col min="16160" max="16160" width="14.81640625" style="17" customWidth="1"/>
    <col min="16161" max="16384" width="11.453125" style="17"/>
  </cols>
  <sheetData>
    <row r="2" spans="1:37" x14ac:dyDescent="0.25">
      <c r="A2" s="17" t="s">
        <v>70</v>
      </c>
      <c r="B2" s="63">
        <f>'pooled normalised values'!B75</f>
        <v>7.8676725833831646E-2</v>
      </c>
      <c r="D2" s="17" t="s">
        <v>9</v>
      </c>
      <c r="E2" s="18"/>
      <c r="F2" s="19" t="str">
        <f>'pooled normalised values'!J74</f>
        <v>Saccharin-0,1mg/L</v>
      </c>
      <c r="G2" s="19" t="str">
        <f>'pooled normalised values'!K74</f>
        <v>Saccharin-1mg/L</v>
      </c>
      <c r="H2" s="19" t="str">
        <f>'pooled normalised values'!L74</f>
        <v>Saccharin-10mg/L</v>
      </c>
      <c r="I2" s="19" t="str">
        <f>'pooled normalised values'!M74</f>
        <v>Saccharin-100mg/L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Saccharin-0,01mg/L + Testostérone</v>
      </c>
      <c r="W2" s="19" t="str">
        <f>'pooled normalised values'!S74</f>
        <v>Saccharin-0,1mg/L + Testostérone</v>
      </c>
      <c r="X2" s="19" t="str">
        <f>'pooled normalised values'!T74</f>
        <v>Saccharin-1mg/L + Testostérone</v>
      </c>
      <c r="Y2" s="19" t="str">
        <f>'pooled normalised values'!U74</f>
        <v>Saccharin-10mg/L + Testostérone</v>
      </c>
      <c r="Z2" s="19" t="str">
        <f>'pooled normalised values'!V74</f>
        <v>Saccharin-100mg/L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8.3693471332277836E-2</v>
      </c>
      <c r="G3" s="19">
        <f>HLOOKUP(G2,'pooled normalised values'!C74:W83,2,FALSE)</f>
        <v>5.8206615243981234E-2</v>
      </c>
      <c r="H3" s="19">
        <f>HLOOKUP(H2,'pooled normalised values'!C74:X83,2,FALSE)</f>
        <v>8.2606671441497956E-2</v>
      </c>
      <c r="I3" s="19">
        <f>HLOOKUP(I2,'pooled normalised values'!D74:Y83,2,FALSE)</f>
        <v>6.6278836476519457E-2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0.82117452174919114</v>
      </c>
      <c r="W3" s="19">
        <f>HLOOKUP(W2,'pooled normalised values'!N74:AM83,2,FALSE)</f>
        <v>0.73940087657718034</v>
      </c>
      <c r="X3" s="19">
        <f>HLOOKUP(X2,'pooled normalised values'!N74:AN83,2,FALSE)</f>
        <v>0.73187028301857115</v>
      </c>
      <c r="Y3" s="19">
        <f>HLOOKUP(Y2,'pooled normalised values'!N74:AO83,2,FALSE)</f>
        <v>0.83586312370307081</v>
      </c>
      <c r="Z3" s="19">
        <f>HLOOKUP(Z2,'pooled normalised values'!N74:AP83,2,FALSE)</f>
        <v>0.76044074864725841</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0.99999999999999989</v>
      </c>
      <c r="D4" s="21" t="s">
        <v>2</v>
      </c>
      <c r="E4" s="22"/>
      <c r="F4" s="19">
        <f>HLOOKUP(F2,'pooled normalised values'!B74:V83,3,FALSE)</f>
        <v>1.7765565226170333E-2</v>
      </c>
      <c r="G4" s="19">
        <f>HLOOKUP(G2,'pooled normalised values'!C74:W83,3,FALSE)</f>
        <v>9.4448316513676932E-3</v>
      </c>
      <c r="H4" s="19">
        <f>HLOOKUP(H2,'pooled normalised values'!C74:X83,3,FALSE)</f>
        <v>1.7372854077347136E-2</v>
      </c>
      <c r="I4" s="19">
        <f>HLOOKUP(I2,'pooled normalised values'!D74:Y83,3,FALSE)</f>
        <v>1.4445433433128889E-2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0.11357796222682913</v>
      </c>
      <c r="W4" s="19">
        <f>HLOOKUP(W2,'pooled normalised values'!N74:AM83,3,FALSE)</f>
        <v>0.10834277808572593</v>
      </c>
      <c r="X4" s="19">
        <f>HLOOKUP(X2,'pooled normalised values'!N74:AN83,3,FALSE)</f>
        <v>0.11030253055208961</v>
      </c>
      <c r="Y4" s="19">
        <f>HLOOKUP(Y2,'pooled normalised values'!N74:AO83,3,FALSE)</f>
        <v>0.12475105389017468</v>
      </c>
      <c r="Z4" s="19">
        <f>HLOOKUP(Z2,'pooled normalised values'!N74:AP83,3,FALSE)</f>
        <v>0.13772881075432172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1.639209691448118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0.10408190609223912</v>
      </c>
      <c r="D6" s="21" t="s">
        <v>12</v>
      </c>
      <c r="E6" s="24">
        <f>$B$2</f>
        <v>7.8676725833831646E-2</v>
      </c>
      <c r="F6" s="24">
        <f>$B$2</f>
        <v>7.8676725833831646E-2</v>
      </c>
      <c r="G6" s="24">
        <f t="shared" ref="G6:R6" si="0">$B$2</f>
        <v>7.8676725833831646E-2</v>
      </c>
      <c r="H6" s="24">
        <f t="shared" si="0"/>
        <v>7.8676725833831646E-2</v>
      </c>
      <c r="I6" s="24">
        <f t="shared" si="0"/>
        <v>7.8676725833831646E-2</v>
      </c>
      <c r="J6" s="24">
        <f t="shared" si="0"/>
        <v>7.8676725833831646E-2</v>
      </c>
      <c r="K6" s="24">
        <f t="shared" si="0"/>
        <v>7.8676725833831646E-2</v>
      </c>
      <c r="L6" s="24">
        <f t="shared" si="0"/>
        <v>7.8676725833831646E-2</v>
      </c>
      <c r="M6" s="24">
        <f t="shared" si="0"/>
        <v>7.8676725833831646E-2</v>
      </c>
      <c r="N6" s="24">
        <f t="shared" si="0"/>
        <v>7.8676725833831646E-2</v>
      </c>
      <c r="O6" s="24">
        <f t="shared" si="0"/>
        <v>7.8676725833831646E-2</v>
      </c>
      <c r="P6" s="24">
        <f t="shared" si="0"/>
        <v>7.8676725833831646E-2</v>
      </c>
      <c r="Q6" s="24">
        <f t="shared" si="0"/>
        <v>7.8676725833831646E-2</v>
      </c>
      <c r="R6" s="24">
        <f t="shared" si="0"/>
        <v>7.8676725833831646E-2</v>
      </c>
      <c r="S6" s="24">
        <f>$B$2</f>
        <v>7.8676725833831646E-2</v>
      </c>
      <c r="T6" s="24">
        <f>$B$2</f>
        <v>7.8676725833831646E-2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0.99999999999999989</v>
      </c>
      <c r="V7" s="25">
        <f t="shared" si="1"/>
        <v>0.99999999999999989</v>
      </c>
      <c r="W7" s="25">
        <f t="shared" si="1"/>
        <v>0.99999999999999989</v>
      </c>
      <c r="X7" s="25">
        <f t="shared" si="1"/>
        <v>0.99999999999999989</v>
      </c>
      <c r="Y7" s="25">
        <f t="shared" si="1"/>
        <v>0.99999999999999989</v>
      </c>
      <c r="Z7" s="25">
        <f t="shared" si="1"/>
        <v>0.99999999999999989</v>
      </c>
      <c r="AA7" s="25">
        <f t="shared" si="1"/>
        <v>0.99999999999999989</v>
      </c>
      <c r="AB7" s="25">
        <f t="shared" si="1"/>
        <v>0.99999999999999989</v>
      </c>
      <c r="AC7" s="25">
        <f t="shared" si="1"/>
        <v>0.99999999999999989</v>
      </c>
      <c r="AD7" s="25">
        <f t="shared" si="1"/>
        <v>0.99999999999999989</v>
      </c>
      <c r="AE7" s="25">
        <f t="shared" si="1"/>
        <v>0.99999999999999989</v>
      </c>
      <c r="AF7" s="25">
        <f t="shared" si="1"/>
        <v>0.99999999999999989</v>
      </c>
      <c r="AG7" s="25">
        <f t="shared" si="1"/>
        <v>0.99999999999999989</v>
      </c>
      <c r="AH7" s="25">
        <f t="shared" si="1"/>
        <v>0.99999999999999989</v>
      </c>
      <c r="AI7" s="25">
        <f t="shared" si="1"/>
        <v>0.99999999999999989</v>
      </c>
      <c r="AJ7" s="25">
        <f t="shared" si="1"/>
        <v>0.99999999999999989</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0.10408190609223912</v>
      </c>
      <c r="V8" s="25">
        <f t="shared" ref="V8:AJ8" si="2">$B$6</f>
        <v>0.10408190609223912</v>
      </c>
      <c r="W8" s="25">
        <f t="shared" si="2"/>
        <v>0.10408190609223912</v>
      </c>
      <c r="X8" s="25">
        <f t="shared" si="2"/>
        <v>0.10408190609223912</v>
      </c>
      <c r="Y8" s="25">
        <f t="shared" si="2"/>
        <v>0.10408190609223912</v>
      </c>
      <c r="Z8" s="25">
        <f t="shared" si="2"/>
        <v>0.10408190609223912</v>
      </c>
      <c r="AA8" s="25">
        <f t="shared" si="2"/>
        <v>0.10408190609223912</v>
      </c>
      <c r="AB8" s="25">
        <f t="shared" si="2"/>
        <v>0.10408190609223912</v>
      </c>
      <c r="AC8" s="25">
        <f t="shared" si="2"/>
        <v>0.10408190609223912</v>
      </c>
      <c r="AD8" s="25">
        <f t="shared" si="2"/>
        <v>0.10408190609223912</v>
      </c>
      <c r="AE8" s="25">
        <f t="shared" si="2"/>
        <v>0.10408190609223912</v>
      </c>
      <c r="AF8" s="25">
        <f t="shared" si="2"/>
        <v>0.10408190609223912</v>
      </c>
      <c r="AG8" s="25">
        <f t="shared" si="2"/>
        <v>0.10408190609223912</v>
      </c>
      <c r="AH8" s="25">
        <f t="shared" si="2"/>
        <v>0.10408190609223912</v>
      </c>
      <c r="AI8" s="25">
        <f t="shared" si="2"/>
        <v>0.10408190609223912</v>
      </c>
      <c r="AJ8" s="25">
        <f t="shared" si="2"/>
        <v>0.10408190609223912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1.5351277853558789</v>
      </c>
      <c r="V9" s="25">
        <f>$B$5-V8</f>
        <v>1.5351277853558789</v>
      </c>
      <c r="W9" s="25">
        <f t="shared" ref="W9:AH9" si="4">$B$5-W8</f>
        <v>1.5351277853558789</v>
      </c>
      <c r="X9" s="25">
        <f t="shared" si="4"/>
        <v>1.5351277853558789</v>
      </c>
      <c r="Y9" s="25">
        <f t="shared" si="4"/>
        <v>1.5351277853558789</v>
      </c>
      <c r="Z9" s="25">
        <f t="shared" si="4"/>
        <v>1.5351277853558789</v>
      </c>
      <c r="AA9" s="25">
        <f t="shared" si="4"/>
        <v>1.5351277853558789</v>
      </c>
      <c r="AB9" s="25">
        <f t="shared" si="4"/>
        <v>1.5351277853558789</v>
      </c>
      <c r="AC9" s="25">
        <f t="shared" si="4"/>
        <v>1.5351277853558789</v>
      </c>
      <c r="AD9" s="25">
        <f t="shared" si="4"/>
        <v>1.5351277853558789</v>
      </c>
      <c r="AE9" s="25">
        <f t="shared" si="4"/>
        <v>1.5351277853558789</v>
      </c>
      <c r="AF9" s="25">
        <f t="shared" si="4"/>
        <v>1.5351277853558789</v>
      </c>
      <c r="AG9" s="25">
        <f t="shared" si="4"/>
        <v>1.5351277853558789</v>
      </c>
      <c r="AH9" s="25">
        <f t="shared" si="4"/>
        <v>1.5351277853558789</v>
      </c>
      <c r="AI9" s="25">
        <f>$B$5-AI8</f>
        <v>1.5351277853558789</v>
      </c>
      <c r="AJ9" s="25">
        <f>$B$5-AJ8</f>
        <v>1.5351277853558789</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0.9648722146441211</v>
      </c>
      <c r="V10" s="25">
        <f>2.5-V9</f>
        <v>0.9648722146441211</v>
      </c>
      <c r="W10" s="25">
        <f t="shared" ref="W10:AH10" si="6">2.5-W9</f>
        <v>0.9648722146441211</v>
      </c>
      <c r="X10" s="25">
        <f t="shared" si="6"/>
        <v>0.9648722146441211</v>
      </c>
      <c r="Y10" s="25">
        <f t="shared" si="6"/>
        <v>0.9648722146441211</v>
      </c>
      <c r="Z10" s="25">
        <f t="shared" si="6"/>
        <v>0.9648722146441211</v>
      </c>
      <c r="AA10" s="25">
        <f t="shared" si="6"/>
        <v>0.9648722146441211</v>
      </c>
      <c r="AB10" s="25">
        <f t="shared" si="6"/>
        <v>0.9648722146441211</v>
      </c>
      <c r="AC10" s="25">
        <f t="shared" si="6"/>
        <v>0.9648722146441211</v>
      </c>
      <c r="AD10" s="25">
        <f t="shared" si="6"/>
        <v>0.9648722146441211</v>
      </c>
      <c r="AE10" s="25">
        <f t="shared" si="6"/>
        <v>0.9648722146441211</v>
      </c>
      <c r="AF10" s="25">
        <f t="shared" si="6"/>
        <v>0.9648722146441211</v>
      </c>
      <c r="AG10" s="25">
        <f t="shared" si="6"/>
        <v>0.9648722146441211</v>
      </c>
      <c r="AH10" s="25">
        <f t="shared" si="6"/>
        <v>0.9648722146441211</v>
      </c>
      <c r="AI10" s="25">
        <f>2.5-AI9</f>
        <v>0.9648722146441211</v>
      </c>
      <c r="AJ10" s="25">
        <f>2.5-AJ9</f>
        <v>0.9648722146441211</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5" x14ac:dyDescent="0.25"/>
  <cols>
    <col min="1" max="1" width="18.81640625" style="17" customWidth="1"/>
    <col min="2" max="2" width="7.26953125" style="17" bestFit="1" customWidth="1"/>
    <col min="3" max="3" width="10.54296875" style="17" customWidth="1"/>
    <col min="4" max="4" width="13.7265625" style="17" bestFit="1" customWidth="1"/>
    <col min="5" max="5" width="12" style="17" bestFit="1" customWidth="1"/>
    <col min="6" max="6" width="14.81640625" style="17" customWidth="1"/>
    <col min="7" max="8" width="11.453125" style="17"/>
    <col min="9" max="9" width="13.54296875" style="17" bestFit="1" customWidth="1"/>
    <col min="10" max="256" width="11.453125" style="17"/>
    <col min="257" max="257" width="18.7265625" style="17" customWidth="1"/>
    <col min="258" max="258" width="13.7265625" style="17" bestFit="1" customWidth="1"/>
    <col min="259" max="259" width="17.26953125" style="17" customWidth="1"/>
    <col min="260" max="260" width="11" style="17" customWidth="1"/>
    <col min="261" max="261" width="12" style="17" bestFit="1" customWidth="1"/>
    <col min="262" max="262" width="14.81640625" style="17" customWidth="1"/>
    <col min="263" max="512" width="11.453125" style="17"/>
    <col min="513" max="513" width="18.7265625" style="17" customWidth="1"/>
    <col min="514" max="514" width="13.7265625" style="17" bestFit="1" customWidth="1"/>
    <col min="515" max="515" width="17.26953125" style="17" customWidth="1"/>
    <col min="516" max="516" width="11" style="17" customWidth="1"/>
    <col min="517" max="517" width="12" style="17" bestFit="1" customWidth="1"/>
    <col min="518" max="518" width="14.81640625" style="17" customWidth="1"/>
    <col min="519" max="768" width="11.453125" style="17"/>
    <col min="769" max="769" width="18.7265625" style="17" customWidth="1"/>
    <col min="770" max="770" width="13.7265625" style="17" bestFit="1" customWidth="1"/>
    <col min="771" max="771" width="17.26953125" style="17" customWidth="1"/>
    <col min="772" max="772" width="11" style="17" customWidth="1"/>
    <col min="773" max="773" width="12" style="17" bestFit="1" customWidth="1"/>
    <col min="774" max="774" width="14.81640625" style="17" customWidth="1"/>
    <col min="775" max="1024" width="11.453125" style="17"/>
    <col min="1025" max="1025" width="18.7265625" style="17" customWidth="1"/>
    <col min="1026" max="1026" width="13.7265625" style="17" bestFit="1" customWidth="1"/>
    <col min="1027" max="1027" width="17.26953125" style="17" customWidth="1"/>
    <col min="1028" max="1028" width="11" style="17" customWidth="1"/>
    <col min="1029" max="1029" width="12" style="17" bestFit="1" customWidth="1"/>
    <col min="1030" max="1030" width="14.81640625" style="17" customWidth="1"/>
    <col min="1031" max="1280" width="11.453125" style="17"/>
    <col min="1281" max="1281" width="18.7265625" style="17" customWidth="1"/>
    <col min="1282" max="1282" width="13.7265625" style="17" bestFit="1" customWidth="1"/>
    <col min="1283" max="1283" width="17.26953125" style="17" customWidth="1"/>
    <col min="1284" max="1284" width="11" style="17" customWidth="1"/>
    <col min="1285" max="1285" width="12" style="17" bestFit="1" customWidth="1"/>
    <col min="1286" max="1286" width="14.81640625" style="17" customWidth="1"/>
    <col min="1287" max="1536" width="11.453125" style="17"/>
    <col min="1537" max="1537" width="18.7265625" style="17" customWidth="1"/>
    <col min="1538" max="1538" width="13.7265625" style="17" bestFit="1" customWidth="1"/>
    <col min="1539" max="1539" width="17.26953125" style="17" customWidth="1"/>
    <col min="1540" max="1540" width="11" style="17" customWidth="1"/>
    <col min="1541" max="1541" width="12" style="17" bestFit="1" customWidth="1"/>
    <col min="1542" max="1542" width="14.81640625" style="17" customWidth="1"/>
    <col min="1543" max="1792" width="11.453125" style="17"/>
    <col min="1793" max="1793" width="18.7265625" style="17" customWidth="1"/>
    <col min="1794" max="1794" width="13.7265625" style="17" bestFit="1" customWidth="1"/>
    <col min="1795" max="1795" width="17.26953125" style="17" customWidth="1"/>
    <col min="1796" max="1796" width="11" style="17" customWidth="1"/>
    <col min="1797" max="1797" width="12" style="17" bestFit="1" customWidth="1"/>
    <col min="1798" max="1798" width="14.81640625" style="17" customWidth="1"/>
    <col min="1799" max="2048" width="11.453125" style="17"/>
    <col min="2049" max="2049" width="18.7265625" style="17" customWidth="1"/>
    <col min="2050" max="2050" width="13.7265625" style="17" bestFit="1" customWidth="1"/>
    <col min="2051" max="2051" width="17.26953125" style="17" customWidth="1"/>
    <col min="2052" max="2052" width="11" style="17" customWidth="1"/>
    <col min="2053" max="2053" width="12" style="17" bestFit="1" customWidth="1"/>
    <col min="2054" max="2054" width="14.81640625" style="17" customWidth="1"/>
    <col min="2055" max="2304" width="11.453125" style="17"/>
    <col min="2305" max="2305" width="18.7265625" style="17" customWidth="1"/>
    <col min="2306" max="2306" width="13.7265625" style="17" bestFit="1" customWidth="1"/>
    <col min="2307" max="2307" width="17.26953125" style="17" customWidth="1"/>
    <col min="2308" max="2308" width="11" style="17" customWidth="1"/>
    <col min="2309" max="2309" width="12" style="17" bestFit="1" customWidth="1"/>
    <col min="2310" max="2310" width="14.81640625" style="17" customWidth="1"/>
    <col min="2311" max="2560" width="11.453125" style="17"/>
    <col min="2561" max="2561" width="18.7265625" style="17" customWidth="1"/>
    <col min="2562" max="2562" width="13.7265625" style="17" bestFit="1" customWidth="1"/>
    <col min="2563" max="2563" width="17.26953125" style="17" customWidth="1"/>
    <col min="2564" max="2564" width="11" style="17" customWidth="1"/>
    <col min="2565" max="2565" width="12" style="17" bestFit="1" customWidth="1"/>
    <col min="2566" max="2566" width="14.81640625" style="17" customWidth="1"/>
    <col min="2567" max="2816" width="11.453125" style="17"/>
    <col min="2817" max="2817" width="18.7265625" style="17" customWidth="1"/>
    <col min="2818" max="2818" width="13.7265625" style="17" bestFit="1" customWidth="1"/>
    <col min="2819" max="2819" width="17.26953125" style="17" customWidth="1"/>
    <col min="2820" max="2820" width="11" style="17" customWidth="1"/>
    <col min="2821" max="2821" width="12" style="17" bestFit="1" customWidth="1"/>
    <col min="2822" max="2822" width="14.81640625" style="17" customWidth="1"/>
    <col min="2823" max="3072" width="11.453125" style="17"/>
    <col min="3073" max="3073" width="18.7265625" style="17" customWidth="1"/>
    <col min="3074" max="3074" width="13.7265625" style="17" bestFit="1" customWidth="1"/>
    <col min="3075" max="3075" width="17.26953125" style="17" customWidth="1"/>
    <col min="3076" max="3076" width="11" style="17" customWidth="1"/>
    <col min="3077" max="3077" width="12" style="17" bestFit="1" customWidth="1"/>
    <col min="3078" max="3078" width="14.81640625" style="17" customWidth="1"/>
    <col min="3079" max="3328" width="11.453125" style="17"/>
    <col min="3329" max="3329" width="18.7265625" style="17" customWidth="1"/>
    <col min="3330" max="3330" width="13.7265625" style="17" bestFit="1" customWidth="1"/>
    <col min="3331" max="3331" width="17.26953125" style="17" customWidth="1"/>
    <col min="3332" max="3332" width="11" style="17" customWidth="1"/>
    <col min="3333" max="3333" width="12" style="17" bestFit="1" customWidth="1"/>
    <col min="3334" max="3334" width="14.81640625" style="17" customWidth="1"/>
    <col min="3335" max="3584" width="11.453125" style="17"/>
    <col min="3585" max="3585" width="18.7265625" style="17" customWidth="1"/>
    <col min="3586" max="3586" width="13.7265625" style="17" bestFit="1" customWidth="1"/>
    <col min="3587" max="3587" width="17.26953125" style="17" customWidth="1"/>
    <col min="3588" max="3588" width="11" style="17" customWidth="1"/>
    <col min="3589" max="3589" width="12" style="17" bestFit="1" customWidth="1"/>
    <col min="3590" max="3590" width="14.81640625" style="17" customWidth="1"/>
    <col min="3591" max="3840" width="11.453125" style="17"/>
    <col min="3841" max="3841" width="18.7265625" style="17" customWidth="1"/>
    <col min="3842" max="3842" width="13.7265625" style="17" bestFit="1" customWidth="1"/>
    <col min="3843" max="3843" width="17.26953125" style="17" customWidth="1"/>
    <col min="3844" max="3844" width="11" style="17" customWidth="1"/>
    <col min="3845" max="3845" width="12" style="17" bestFit="1" customWidth="1"/>
    <col min="3846" max="3846" width="14.81640625" style="17" customWidth="1"/>
    <col min="3847" max="4096" width="11.453125" style="17"/>
    <col min="4097" max="4097" width="18.7265625" style="17" customWidth="1"/>
    <col min="4098" max="4098" width="13.7265625" style="17" bestFit="1" customWidth="1"/>
    <col min="4099" max="4099" width="17.26953125" style="17" customWidth="1"/>
    <col min="4100" max="4100" width="11" style="17" customWidth="1"/>
    <col min="4101" max="4101" width="12" style="17" bestFit="1" customWidth="1"/>
    <col min="4102" max="4102" width="14.81640625" style="17" customWidth="1"/>
    <col min="4103" max="4352" width="11.453125" style="17"/>
    <col min="4353" max="4353" width="18.7265625" style="17" customWidth="1"/>
    <col min="4354" max="4354" width="13.7265625" style="17" bestFit="1" customWidth="1"/>
    <col min="4355" max="4355" width="17.26953125" style="17" customWidth="1"/>
    <col min="4356" max="4356" width="11" style="17" customWidth="1"/>
    <col min="4357" max="4357" width="12" style="17" bestFit="1" customWidth="1"/>
    <col min="4358" max="4358" width="14.81640625" style="17" customWidth="1"/>
    <col min="4359" max="4608" width="11.453125" style="17"/>
    <col min="4609" max="4609" width="18.7265625" style="17" customWidth="1"/>
    <col min="4610" max="4610" width="13.7265625" style="17" bestFit="1" customWidth="1"/>
    <col min="4611" max="4611" width="17.26953125" style="17" customWidth="1"/>
    <col min="4612" max="4612" width="11" style="17" customWidth="1"/>
    <col min="4613" max="4613" width="12" style="17" bestFit="1" customWidth="1"/>
    <col min="4614" max="4614" width="14.81640625" style="17" customWidth="1"/>
    <col min="4615" max="4864" width="11.453125" style="17"/>
    <col min="4865" max="4865" width="18.7265625" style="17" customWidth="1"/>
    <col min="4866" max="4866" width="13.7265625" style="17" bestFit="1" customWidth="1"/>
    <col min="4867" max="4867" width="17.26953125" style="17" customWidth="1"/>
    <col min="4868" max="4868" width="11" style="17" customWidth="1"/>
    <col min="4869" max="4869" width="12" style="17" bestFit="1" customWidth="1"/>
    <col min="4870" max="4870" width="14.81640625" style="17" customWidth="1"/>
    <col min="4871" max="5120" width="11.453125" style="17"/>
    <col min="5121" max="5121" width="18.7265625" style="17" customWidth="1"/>
    <col min="5122" max="5122" width="13.7265625" style="17" bestFit="1" customWidth="1"/>
    <col min="5123" max="5123" width="17.26953125" style="17" customWidth="1"/>
    <col min="5124" max="5124" width="11" style="17" customWidth="1"/>
    <col min="5125" max="5125" width="12" style="17" bestFit="1" customWidth="1"/>
    <col min="5126" max="5126" width="14.81640625" style="17" customWidth="1"/>
    <col min="5127" max="5376" width="11.453125" style="17"/>
    <col min="5377" max="5377" width="18.7265625" style="17" customWidth="1"/>
    <col min="5378" max="5378" width="13.7265625" style="17" bestFit="1" customWidth="1"/>
    <col min="5379" max="5379" width="17.26953125" style="17" customWidth="1"/>
    <col min="5380" max="5380" width="11" style="17" customWidth="1"/>
    <col min="5381" max="5381" width="12" style="17" bestFit="1" customWidth="1"/>
    <col min="5382" max="5382" width="14.81640625" style="17" customWidth="1"/>
    <col min="5383" max="5632" width="11.453125" style="17"/>
    <col min="5633" max="5633" width="18.7265625" style="17" customWidth="1"/>
    <col min="5634" max="5634" width="13.7265625" style="17" bestFit="1" customWidth="1"/>
    <col min="5635" max="5635" width="17.26953125" style="17" customWidth="1"/>
    <col min="5636" max="5636" width="11" style="17" customWidth="1"/>
    <col min="5637" max="5637" width="12" style="17" bestFit="1" customWidth="1"/>
    <col min="5638" max="5638" width="14.81640625" style="17" customWidth="1"/>
    <col min="5639" max="5888" width="11.453125" style="17"/>
    <col min="5889" max="5889" width="18.7265625" style="17" customWidth="1"/>
    <col min="5890" max="5890" width="13.7265625" style="17" bestFit="1" customWidth="1"/>
    <col min="5891" max="5891" width="17.26953125" style="17" customWidth="1"/>
    <col min="5892" max="5892" width="11" style="17" customWidth="1"/>
    <col min="5893" max="5893" width="12" style="17" bestFit="1" customWidth="1"/>
    <col min="5894" max="5894" width="14.81640625" style="17" customWidth="1"/>
    <col min="5895" max="6144" width="11.453125" style="17"/>
    <col min="6145" max="6145" width="18.7265625" style="17" customWidth="1"/>
    <col min="6146" max="6146" width="13.7265625" style="17" bestFit="1" customWidth="1"/>
    <col min="6147" max="6147" width="17.26953125" style="17" customWidth="1"/>
    <col min="6148" max="6148" width="11" style="17" customWidth="1"/>
    <col min="6149" max="6149" width="12" style="17" bestFit="1" customWidth="1"/>
    <col min="6150" max="6150" width="14.81640625" style="17" customWidth="1"/>
    <col min="6151" max="6400" width="11.453125" style="17"/>
    <col min="6401" max="6401" width="18.7265625" style="17" customWidth="1"/>
    <col min="6402" max="6402" width="13.7265625" style="17" bestFit="1" customWidth="1"/>
    <col min="6403" max="6403" width="17.26953125" style="17" customWidth="1"/>
    <col min="6404" max="6404" width="11" style="17" customWidth="1"/>
    <col min="6405" max="6405" width="12" style="17" bestFit="1" customWidth="1"/>
    <col min="6406" max="6406" width="14.81640625" style="17" customWidth="1"/>
    <col min="6407" max="6656" width="11.453125" style="17"/>
    <col min="6657" max="6657" width="18.7265625" style="17" customWidth="1"/>
    <col min="6658" max="6658" width="13.7265625" style="17" bestFit="1" customWidth="1"/>
    <col min="6659" max="6659" width="17.26953125" style="17" customWidth="1"/>
    <col min="6660" max="6660" width="11" style="17" customWidth="1"/>
    <col min="6661" max="6661" width="12" style="17" bestFit="1" customWidth="1"/>
    <col min="6662" max="6662" width="14.81640625" style="17" customWidth="1"/>
    <col min="6663" max="6912" width="11.453125" style="17"/>
    <col min="6913" max="6913" width="18.7265625" style="17" customWidth="1"/>
    <col min="6914" max="6914" width="13.7265625" style="17" bestFit="1" customWidth="1"/>
    <col min="6915" max="6915" width="17.26953125" style="17" customWidth="1"/>
    <col min="6916" max="6916" width="11" style="17" customWidth="1"/>
    <col min="6917" max="6917" width="12" style="17" bestFit="1" customWidth="1"/>
    <col min="6918" max="6918" width="14.81640625" style="17" customWidth="1"/>
    <col min="6919" max="7168" width="11.453125" style="17"/>
    <col min="7169" max="7169" width="18.7265625" style="17" customWidth="1"/>
    <col min="7170" max="7170" width="13.7265625" style="17" bestFit="1" customWidth="1"/>
    <col min="7171" max="7171" width="17.26953125" style="17" customWidth="1"/>
    <col min="7172" max="7172" width="11" style="17" customWidth="1"/>
    <col min="7173" max="7173" width="12" style="17" bestFit="1" customWidth="1"/>
    <col min="7174" max="7174" width="14.81640625" style="17" customWidth="1"/>
    <col min="7175" max="7424" width="11.453125" style="17"/>
    <col min="7425" max="7425" width="18.7265625" style="17" customWidth="1"/>
    <col min="7426" max="7426" width="13.7265625" style="17" bestFit="1" customWidth="1"/>
    <col min="7427" max="7427" width="17.26953125" style="17" customWidth="1"/>
    <col min="7428" max="7428" width="11" style="17" customWidth="1"/>
    <col min="7429" max="7429" width="12" style="17" bestFit="1" customWidth="1"/>
    <col min="7430" max="7430" width="14.81640625" style="17" customWidth="1"/>
    <col min="7431" max="7680" width="11.453125" style="17"/>
    <col min="7681" max="7681" width="18.7265625" style="17" customWidth="1"/>
    <col min="7682" max="7682" width="13.7265625" style="17" bestFit="1" customWidth="1"/>
    <col min="7683" max="7683" width="17.26953125" style="17" customWidth="1"/>
    <col min="7684" max="7684" width="11" style="17" customWidth="1"/>
    <col min="7685" max="7685" width="12" style="17" bestFit="1" customWidth="1"/>
    <col min="7686" max="7686" width="14.81640625" style="17" customWidth="1"/>
    <col min="7687" max="7936" width="11.453125" style="17"/>
    <col min="7937" max="7937" width="18.7265625" style="17" customWidth="1"/>
    <col min="7938" max="7938" width="13.7265625" style="17" bestFit="1" customWidth="1"/>
    <col min="7939" max="7939" width="17.26953125" style="17" customWidth="1"/>
    <col min="7940" max="7940" width="11" style="17" customWidth="1"/>
    <col min="7941" max="7941" width="12" style="17" bestFit="1" customWidth="1"/>
    <col min="7942" max="7942" width="14.81640625" style="17" customWidth="1"/>
    <col min="7943" max="8192" width="11.453125" style="17"/>
    <col min="8193" max="8193" width="18.7265625" style="17" customWidth="1"/>
    <col min="8194" max="8194" width="13.7265625" style="17" bestFit="1" customWidth="1"/>
    <col min="8195" max="8195" width="17.26953125" style="17" customWidth="1"/>
    <col min="8196" max="8196" width="11" style="17" customWidth="1"/>
    <col min="8197" max="8197" width="12" style="17" bestFit="1" customWidth="1"/>
    <col min="8198" max="8198" width="14.81640625" style="17" customWidth="1"/>
    <col min="8199" max="8448" width="11.453125" style="17"/>
    <col min="8449" max="8449" width="18.7265625" style="17" customWidth="1"/>
    <col min="8450" max="8450" width="13.7265625" style="17" bestFit="1" customWidth="1"/>
    <col min="8451" max="8451" width="17.26953125" style="17" customWidth="1"/>
    <col min="8452" max="8452" width="11" style="17" customWidth="1"/>
    <col min="8453" max="8453" width="12" style="17" bestFit="1" customWidth="1"/>
    <col min="8454" max="8454" width="14.81640625" style="17" customWidth="1"/>
    <col min="8455" max="8704" width="11.453125" style="17"/>
    <col min="8705" max="8705" width="18.7265625" style="17" customWidth="1"/>
    <col min="8706" max="8706" width="13.7265625" style="17" bestFit="1" customWidth="1"/>
    <col min="8707" max="8707" width="17.26953125" style="17" customWidth="1"/>
    <col min="8708" max="8708" width="11" style="17" customWidth="1"/>
    <col min="8709" max="8709" width="12" style="17" bestFit="1" customWidth="1"/>
    <col min="8710" max="8710" width="14.81640625" style="17" customWidth="1"/>
    <col min="8711" max="8960" width="11.453125" style="17"/>
    <col min="8961" max="8961" width="18.7265625" style="17" customWidth="1"/>
    <col min="8962" max="8962" width="13.7265625" style="17" bestFit="1" customWidth="1"/>
    <col min="8963" max="8963" width="17.26953125" style="17" customWidth="1"/>
    <col min="8964" max="8964" width="11" style="17" customWidth="1"/>
    <col min="8965" max="8965" width="12" style="17" bestFit="1" customWidth="1"/>
    <col min="8966" max="8966" width="14.81640625" style="17" customWidth="1"/>
    <col min="8967" max="9216" width="11.453125" style="17"/>
    <col min="9217" max="9217" width="18.7265625" style="17" customWidth="1"/>
    <col min="9218" max="9218" width="13.7265625" style="17" bestFit="1" customWidth="1"/>
    <col min="9219" max="9219" width="17.26953125" style="17" customWidth="1"/>
    <col min="9220" max="9220" width="11" style="17" customWidth="1"/>
    <col min="9221" max="9221" width="12" style="17" bestFit="1" customWidth="1"/>
    <col min="9222" max="9222" width="14.81640625" style="17" customWidth="1"/>
    <col min="9223" max="9472" width="11.453125" style="17"/>
    <col min="9473" max="9473" width="18.7265625" style="17" customWidth="1"/>
    <col min="9474" max="9474" width="13.7265625" style="17" bestFit="1" customWidth="1"/>
    <col min="9475" max="9475" width="17.26953125" style="17" customWidth="1"/>
    <col min="9476" max="9476" width="11" style="17" customWidth="1"/>
    <col min="9477" max="9477" width="12" style="17" bestFit="1" customWidth="1"/>
    <col min="9478" max="9478" width="14.81640625" style="17" customWidth="1"/>
    <col min="9479" max="9728" width="11.453125" style="17"/>
    <col min="9729" max="9729" width="18.7265625" style="17" customWidth="1"/>
    <col min="9730" max="9730" width="13.7265625" style="17" bestFit="1" customWidth="1"/>
    <col min="9731" max="9731" width="17.26953125" style="17" customWidth="1"/>
    <col min="9732" max="9732" width="11" style="17" customWidth="1"/>
    <col min="9733" max="9733" width="12" style="17" bestFit="1" customWidth="1"/>
    <col min="9734" max="9734" width="14.81640625" style="17" customWidth="1"/>
    <col min="9735" max="9984" width="11.453125" style="17"/>
    <col min="9985" max="9985" width="18.7265625" style="17" customWidth="1"/>
    <col min="9986" max="9986" width="13.7265625" style="17" bestFit="1" customWidth="1"/>
    <col min="9987" max="9987" width="17.26953125" style="17" customWidth="1"/>
    <col min="9988" max="9988" width="11" style="17" customWidth="1"/>
    <col min="9989" max="9989" width="12" style="17" bestFit="1" customWidth="1"/>
    <col min="9990" max="9990" width="14.81640625" style="17" customWidth="1"/>
    <col min="9991" max="10240" width="11.453125" style="17"/>
    <col min="10241" max="10241" width="18.7265625" style="17" customWidth="1"/>
    <col min="10242" max="10242" width="13.7265625" style="17" bestFit="1" customWidth="1"/>
    <col min="10243" max="10243" width="17.26953125" style="17" customWidth="1"/>
    <col min="10244" max="10244" width="11" style="17" customWidth="1"/>
    <col min="10245" max="10245" width="12" style="17" bestFit="1" customWidth="1"/>
    <col min="10246" max="10246" width="14.81640625" style="17" customWidth="1"/>
    <col min="10247" max="10496" width="11.453125" style="17"/>
    <col min="10497" max="10497" width="18.7265625" style="17" customWidth="1"/>
    <col min="10498" max="10498" width="13.7265625" style="17" bestFit="1" customWidth="1"/>
    <col min="10499" max="10499" width="17.26953125" style="17" customWidth="1"/>
    <col min="10500" max="10500" width="11" style="17" customWidth="1"/>
    <col min="10501" max="10501" width="12" style="17" bestFit="1" customWidth="1"/>
    <col min="10502" max="10502" width="14.81640625" style="17" customWidth="1"/>
    <col min="10503" max="10752" width="11.453125" style="17"/>
    <col min="10753" max="10753" width="18.7265625" style="17" customWidth="1"/>
    <col min="10754" max="10754" width="13.7265625" style="17" bestFit="1" customWidth="1"/>
    <col min="10755" max="10755" width="17.26953125" style="17" customWidth="1"/>
    <col min="10756" max="10756" width="11" style="17" customWidth="1"/>
    <col min="10757" max="10757" width="12" style="17" bestFit="1" customWidth="1"/>
    <col min="10758" max="10758" width="14.81640625" style="17" customWidth="1"/>
    <col min="10759" max="11008" width="11.453125" style="17"/>
    <col min="11009" max="11009" width="18.7265625" style="17" customWidth="1"/>
    <col min="11010" max="11010" width="13.7265625" style="17" bestFit="1" customWidth="1"/>
    <col min="11011" max="11011" width="17.26953125" style="17" customWidth="1"/>
    <col min="11012" max="11012" width="11" style="17" customWidth="1"/>
    <col min="11013" max="11013" width="12" style="17" bestFit="1" customWidth="1"/>
    <col min="11014" max="11014" width="14.81640625" style="17" customWidth="1"/>
    <col min="11015" max="11264" width="11.453125" style="17"/>
    <col min="11265" max="11265" width="18.7265625" style="17" customWidth="1"/>
    <col min="11266" max="11266" width="13.7265625" style="17" bestFit="1" customWidth="1"/>
    <col min="11267" max="11267" width="17.26953125" style="17" customWidth="1"/>
    <col min="11268" max="11268" width="11" style="17" customWidth="1"/>
    <col min="11269" max="11269" width="12" style="17" bestFit="1" customWidth="1"/>
    <col min="11270" max="11270" width="14.81640625" style="17" customWidth="1"/>
    <col min="11271" max="11520" width="11.453125" style="17"/>
    <col min="11521" max="11521" width="18.7265625" style="17" customWidth="1"/>
    <col min="11522" max="11522" width="13.7265625" style="17" bestFit="1" customWidth="1"/>
    <col min="11523" max="11523" width="17.26953125" style="17" customWidth="1"/>
    <col min="11524" max="11524" width="11" style="17" customWidth="1"/>
    <col min="11525" max="11525" width="12" style="17" bestFit="1" customWidth="1"/>
    <col min="11526" max="11526" width="14.81640625" style="17" customWidth="1"/>
    <col min="11527" max="11776" width="11.453125" style="17"/>
    <col min="11777" max="11777" width="18.7265625" style="17" customWidth="1"/>
    <col min="11778" max="11778" width="13.7265625" style="17" bestFit="1" customWidth="1"/>
    <col min="11779" max="11779" width="17.26953125" style="17" customWidth="1"/>
    <col min="11780" max="11780" width="11" style="17" customWidth="1"/>
    <col min="11781" max="11781" width="12" style="17" bestFit="1" customWidth="1"/>
    <col min="11782" max="11782" width="14.81640625" style="17" customWidth="1"/>
    <col min="11783" max="12032" width="11.453125" style="17"/>
    <col min="12033" max="12033" width="18.7265625" style="17" customWidth="1"/>
    <col min="12034" max="12034" width="13.7265625" style="17" bestFit="1" customWidth="1"/>
    <col min="12035" max="12035" width="17.26953125" style="17" customWidth="1"/>
    <col min="12036" max="12036" width="11" style="17" customWidth="1"/>
    <col min="12037" max="12037" width="12" style="17" bestFit="1" customWidth="1"/>
    <col min="12038" max="12038" width="14.81640625" style="17" customWidth="1"/>
    <col min="12039" max="12288" width="11.453125" style="17"/>
    <col min="12289" max="12289" width="18.7265625" style="17" customWidth="1"/>
    <col min="12290" max="12290" width="13.7265625" style="17" bestFit="1" customWidth="1"/>
    <col min="12291" max="12291" width="17.26953125" style="17" customWidth="1"/>
    <col min="12292" max="12292" width="11" style="17" customWidth="1"/>
    <col min="12293" max="12293" width="12" style="17" bestFit="1" customWidth="1"/>
    <col min="12294" max="12294" width="14.81640625" style="17" customWidth="1"/>
    <col min="12295" max="12544" width="11.453125" style="17"/>
    <col min="12545" max="12545" width="18.7265625" style="17" customWidth="1"/>
    <col min="12546" max="12546" width="13.7265625" style="17" bestFit="1" customWidth="1"/>
    <col min="12547" max="12547" width="17.26953125" style="17" customWidth="1"/>
    <col min="12548" max="12548" width="11" style="17" customWidth="1"/>
    <col min="12549" max="12549" width="12" style="17" bestFit="1" customWidth="1"/>
    <col min="12550" max="12550" width="14.81640625" style="17" customWidth="1"/>
    <col min="12551" max="12800" width="11.453125" style="17"/>
    <col min="12801" max="12801" width="18.7265625" style="17" customWidth="1"/>
    <col min="12802" max="12802" width="13.7265625" style="17" bestFit="1" customWidth="1"/>
    <col min="12803" max="12803" width="17.26953125" style="17" customWidth="1"/>
    <col min="12804" max="12804" width="11" style="17" customWidth="1"/>
    <col min="12805" max="12805" width="12" style="17" bestFit="1" customWidth="1"/>
    <col min="12806" max="12806" width="14.81640625" style="17" customWidth="1"/>
    <col min="12807" max="13056" width="11.453125" style="17"/>
    <col min="13057" max="13057" width="18.7265625" style="17" customWidth="1"/>
    <col min="13058" max="13058" width="13.7265625" style="17" bestFit="1" customWidth="1"/>
    <col min="13059" max="13059" width="17.26953125" style="17" customWidth="1"/>
    <col min="13060" max="13060" width="11" style="17" customWidth="1"/>
    <col min="13061" max="13061" width="12" style="17" bestFit="1" customWidth="1"/>
    <col min="13062" max="13062" width="14.81640625" style="17" customWidth="1"/>
    <col min="13063" max="13312" width="11.453125" style="17"/>
    <col min="13313" max="13313" width="18.7265625" style="17" customWidth="1"/>
    <col min="13314" max="13314" width="13.7265625" style="17" bestFit="1" customWidth="1"/>
    <col min="13315" max="13315" width="17.26953125" style="17" customWidth="1"/>
    <col min="13316" max="13316" width="11" style="17" customWidth="1"/>
    <col min="13317" max="13317" width="12" style="17" bestFit="1" customWidth="1"/>
    <col min="13318" max="13318" width="14.81640625" style="17" customWidth="1"/>
    <col min="13319" max="13568" width="11.453125" style="17"/>
    <col min="13569" max="13569" width="18.7265625" style="17" customWidth="1"/>
    <col min="13570" max="13570" width="13.7265625" style="17" bestFit="1" customWidth="1"/>
    <col min="13571" max="13571" width="17.26953125" style="17" customWidth="1"/>
    <col min="13572" max="13572" width="11" style="17" customWidth="1"/>
    <col min="13573" max="13573" width="12" style="17" bestFit="1" customWidth="1"/>
    <col min="13574" max="13574" width="14.81640625" style="17" customWidth="1"/>
    <col min="13575" max="13824" width="11.453125" style="17"/>
    <col min="13825" max="13825" width="18.7265625" style="17" customWidth="1"/>
    <col min="13826" max="13826" width="13.7265625" style="17" bestFit="1" customWidth="1"/>
    <col min="13827" max="13827" width="17.26953125" style="17" customWidth="1"/>
    <col min="13828" max="13828" width="11" style="17" customWidth="1"/>
    <col min="13829" max="13829" width="12" style="17" bestFit="1" customWidth="1"/>
    <col min="13830" max="13830" width="14.81640625" style="17" customWidth="1"/>
    <col min="13831" max="14080" width="11.453125" style="17"/>
    <col min="14081" max="14081" width="18.7265625" style="17" customWidth="1"/>
    <col min="14082" max="14082" width="13.7265625" style="17" bestFit="1" customWidth="1"/>
    <col min="14083" max="14083" width="17.26953125" style="17" customWidth="1"/>
    <col min="14084" max="14084" width="11" style="17" customWidth="1"/>
    <col min="14085" max="14085" width="12" style="17" bestFit="1" customWidth="1"/>
    <col min="14086" max="14086" width="14.81640625" style="17" customWidth="1"/>
    <col min="14087" max="14336" width="11.453125" style="17"/>
    <col min="14337" max="14337" width="18.7265625" style="17" customWidth="1"/>
    <col min="14338" max="14338" width="13.7265625" style="17" bestFit="1" customWidth="1"/>
    <col min="14339" max="14339" width="17.26953125" style="17" customWidth="1"/>
    <col min="14340" max="14340" width="11" style="17" customWidth="1"/>
    <col min="14341" max="14341" width="12" style="17" bestFit="1" customWidth="1"/>
    <col min="14342" max="14342" width="14.81640625" style="17" customWidth="1"/>
    <col min="14343" max="14592" width="11.453125" style="17"/>
    <col min="14593" max="14593" width="18.7265625" style="17" customWidth="1"/>
    <col min="14594" max="14594" width="13.7265625" style="17" bestFit="1" customWidth="1"/>
    <col min="14595" max="14595" width="17.26953125" style="17" customWidth="1"/>
    <col min="14596" max="14596" width="11" style="17" customWidth="1"/>
    <col min="14597" max="14597" width="12" style="17" bestFit="1" customWidth="1"/>
    <col min="14598" max="14598" width="14.81640625" style="17" customWidth="1"/>
    <col min="14599" max="14848" width="11.453125" style="17"/>
    <col min="14849" max="14849" width="18.7265625" style="17" customWidth="1"/>
    <col min="14850" max="14850" width="13.7265625" style="17" bestFit="1" customWidth="1"/>
    <col min="14851" max="14851" width="17.26953125" style="17" customWidth="1"/>
    <col min="14852" max="14852" width="11" style="17" customWidth="1"/>
    <col min="14853" max="14853" width="12" style="17" bestFit="1" customWidth="1"/>
    <col min="14854" max="14854" width="14.81640625" style="17" customWidth="1"/>
    <col min="14855" max="15104" width="11.453125" style="17"/>
    <col min="15105" max="15105" width="18.7265625" style="17" customWidth="1"/>
    <col min="15106" max="15106" width="13.7265625" style="17" bestFit="1" customWidth="1"/>
    <col min="15107" max="15107" width="17.26953125" style="17" customWidth="1"/>
    <col min="15108" max="15108" width="11" style="17" customWidth="1"/>
    <col min="15109" max="15109" width="12" style="17" bestFit="1" customWidth="1"/>
    <col min="15110" max="15110" width="14.81640625" style="17" customWidth="1"/>
    <col min="15111" max="15360" width="11.453125" style="17"/>
    <col min="15361" max="15361" width="18.7265625" style="17" customWidth="1"/>
    <col min="15362" max="15362" width="13.7265625" style="17" bestFit="1" customWidth="1"/>
    <col min="15363" max="15363" width="17.26953125" style="17" customWidth="1"/>
    <col min="15364" max="15364" width="11" style="17" customWidth="1"/>
    <col min="15365" max="15365" width="12" style="17" bestFit="1" customWidth="1"/>
    <col min="15366" max="15366" width="14.81640625" style="17" customWidth="1"/>
    <col min="15367" max="15616" width="11.453125" style="17"/>
    <col min="15617" max="15617" width="18.7265625" style="17" customWidth="1"/>
    <col min="15618" max="15618" width="13.7265625" style="17" bestFit="1" customWidth="1"/>
    <col min="15619" max="15619" width="17.26953125" style="17" customWidth="1"/>
    <col min="15620" max="15620" width="11" style="17" customWidth="1"/>
    <col min="15621" max="15621" width="12" style="17" bestFit="1" customWidth="1"/>
    <col min="15622" max="15622" width="14.81640625" style="17" customWidth="1"/>
    <col min="15623" max="15872" width="11.453125" style="17"/>
    <col min="15873" max="15873" width="18.7265625" style="17" customWidth="1"/>
    <col min="15874" max="15874" width="13.7265625" style="17" bestFit="1" customWidth="1"/>
    <col min="15875" max="15875" width="17.26953125" style="17" customWidth="1"/>
    <col min="15876" max="15876" width="11" style="17" customWidth="1"/>
    <col min="15877" max="15877" width="12" style="17" bestFit="1" customWidth="1"/>
    <col min="15878" max="15878" width="14.81640625" style="17" customWidth="1"/>
    <col min="15879" max="16128" width="11.453125" style="17"/>
    <col min="16129" max="16129" width="18.7265625" style="17" customWidth="1"/>
    <col min="16130" max="16130" width="13.7265625" style="17" bestFit="1" customWidth="1"/>
    <col min="16131" max="16131" width="17.26953125" style="17" customWidth="1"/>
    <col min="16132" max="16132" width="11" style="17" customWidth="1"/>
    <col min="16133" max="16133" width="12" style="17" bestFit="1" customWidth="1"/>
    <col min="16134" max="16134" width="14.81640625" style="17" customWidth="1"/>
    <col min="16135" max="16384" width="11.453125" style="17"/>
  </cols>
  <sheetData>
    <row r="2" spans="1:11" x14ac:dyDescent="0.25">
      <c r="A2" s="17" t="s">
        <v>70</v>
      </c>
      <c r="B2" s="63">
        <f>'pooled normalised values'!B75</f>
        <v>7.8676725833831646E-2</v>
      </c>
      <c r="D2" s="17" t="s">
        <v>9</v>
      </c>
      <c r="E2" s="18"/>
      <c r="F2" s="19" t="str">
        <f>'pooled normalised values'!J74</f>
        <v>Saccharin-0,1mg/L</v>
      </c>
      <c r="G2" s="18"/>
      <c r="H2" s="20"/>
      <c r="I2" s="19" t="str">
        <f>'pooled normalised values'!R74</f>
        <v>Saccharin-0,01mg/L + Testostérone</v>
      </c>
      <c r="J2" s="20"/>
      <c r="K2" s="17" t="s">
        <v>9</v>
      </c>
    </row>
    <row r="3" spans="1:11" x14ac:dyDescent="0.25">
      <c r="A3" s="17" t="s">
        <v>71</v>
      </c>
      <c r="B3" s="63">
        <f>'summary results'!E6</f>
        <v>0</v>
      </c>
      <c r="D3" s="21" t="s">
        <v>10</v>
      </c>
      <c r="E3" s="22"/>
      <c r="F3" s="19">
        <f>HLOOKUP(F2,'pooled normalised values'!B74:V83,2,FALSE)</f>
        <v>8.3693471332277836E-2</v>
      </c>
      <c r="G3" s="22"/>
      <c r="H3" s="20"/>
      <c r="I3" s="19">
        <f>HLOOKUP(I2,'pooled normalised values'!N74:AL83,2,FALSE)</f>
        <v>0.82117452174919114</v>
      </c>
      <c r="J3" s="20"/>
      <c r="K3" s="21" t="s">
        <v>10</v>
      </c>
    </row>
    <row r="4" spans="1:11" x14ac:dyDescent="0.25">
      <c r="A4" s="17" t="s">
        <v>72</v>
      </c>
      <c r="B4" s="63">
        <f>'pooled normalised values'!O75</f>
        <v>0.99999999999999989</v>
      </c>
      <c r="D4" s="21" t="s">
        <v>2</v>
      </c>
      <c r="E4" s="22"/>
      <c r="F4" s="19">
        <f>HLOOKUP(F2,'pooled normalised values'!B74:V83,3,FALSE)</f>
        <v>1.7765565226170333E-2</v>
      </c>
      <c r="G4" s="22"/>
      <c r="H4" s="20"/>
      <c r="I4" s="19">
        <f>HLOOKUP(I2,'pooled normalised values'!N74:AL83,3,FALSE)</f>
        <v>0.11357796222682913</v>
      </c>
      <c r="J4" s="20"/>
      <c r="K4" s="21" t="s">
        <v>2</v>
      </c>
    </row>
    <row r="5" spans="1:11" x14ac:dyDescent="0.25">
      <c r="A5" s="17" t="s">
        <v>73</v>
      </c>
      <c r="B5" s="63">
        <f>'pooled normalised values'!P75</f>
        <v>1.639209691448118</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0.10408190609223912</v>
      </c>
      <c r="D6" s="21" t="s">
        <v>12</v>
      </c>
      <c r="E6" s="24">
        <f>$B$2</f>
        <v>7.8676725833831646E-2</v>
      </c>
      <c r="F6" s="24">
        <f>$B$2</f>
        <v>7.8676725833831646E-2</v>
      </c>
      <c r="G6" s="24">
        <f>$B$2</f>
        <v>7.8676725833831646E-2</v>
      </c>
      <c r="H6" s="25"/>
      <c r="I6" s="25"/>
      <c r="J6" s="25"/>
      <c r="K6" s="21" t="s">
        <v>12</v>
      </c>
    </row>
    <row r="7" spans="1:11" x14ac:dyDescent="0.25">
      <c r="B7" s="26"/>
      <c r="D7" s="26" t="s">
        <v>13</v>
      </c>
      <c r="E7" s="24"/>
      <c r="F7" s="24"/>
      <c r="G7" s="27"/>
      <c r="H7" s="25">
        <f t="shared" ref="H7:J7" si="0">$B$4</f>
        <v>0.99999999999999989</v>
      </c>
      <c r="I7" s="25">
        <f t="shared" si="0"/>
        <v>0.99999999999999989</v>
      </c>
      <c r="J7" s="25">
        <f t="shared" si="0"/>
        <v>0.99999999999999989</v>
      </c>
      <c r="K7" s="26" t="s">
        <v>13</v>
      </c>
    </row>
    <row r="8" spans="1:11" x14ac:dyDescent="0.25">
      <c r="D8" s="28" t="s">
        <v>14</v>
      </c>
      <c r="E8" s="24">
        <v>0</v>
      </c>
      <c r="F8" s="24">
        <v>0</v>
      </c>
      <c r="G8" s="27">
        <v>0</v>
      </c>
      <c r="H8" s="25">
        <f>$B$6</f>
        <v>0.10408190609223912</v>
      </c>
      <c r="I8" s="25">
        <f t="shared" ref="I8:J8" si="1">$B$6</f>
        <v>0.10408190609223912</v>
      </c>
      <c r="J8" s="25">
        <f t="shared" si="1"/>
        <v>0.10408190609223912</v>
      </c>
      <c r="K8" s="28" t="s">
        <v>14</v>
      </c>
    </row>
    <row r="9" spans="1:11" x14ac:dyDescent="0.25">
      <c r="D9" s="28" t="s">
        <v>15</v>
      </c>
      <c r="E9" s="29">
        <f>$B$3-E8</f>
        <v>0</v>
      </c>
      <c r="F9" s="29">
        <f>$B$3-F8</f>
        <v>0</v>
      </c>
      <c r="G9" s="29">
        <f>$B$3-G8</f>
        <v>0</v>
      </c>
      <c r="H9" s="25">
        <f>$B$5-H8</f>
        <v>1.5351277853558789</v>
      </c>
      <c r="I9" s="25">
        <f>$B$5-I8</f>
        <v>1.5351277853558789</v>
      </c>
      <c r="J9" s="25">
        <f>$B$5-J8</f>
        <v>1.5351277853558789</v>
      </c>
      <c r="K9" s="28" t="s">
        <v>15</v>
      </c>
    </row>
    <row r="10" spans="1:11" x14ac:dyDescent="0.25">
      <c r="D10" s="28" t="s">
        <v>16</v>
      </c>
      <c r="E10" s="27">
        <f t="shared" ref="E10:J10" si="2">2.5-E9</f>
        <v>2.5</v>
      </c>
      <c r="F10" s="27">
        <f t="shared" si="2"/>
        <v>2.5</v>
      </c>
      <c r="G10" s="27">
        <f t="shared" si="2"/>
        <v>2.5</v>
      </c>
      <c r="H10" s="25">
        <f t="shared" si="2"/>
        <v>0.9648722146441211</v>
      </c>
      <c r="I10" s="25">
        <f t="shared" si="2"/>
        <v>0.9648722146441211</v>
      </c>
      <c r="J10" s="25">
        <f t="shared" si="2"/>
        <v>0.9648722146441211</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C2" sqref="C2:I590"/>
    </sheetView>
  </sheetViews>
  <sheetFormatPr baseColWidth="10" defaultRowHeight="14.5" x14ac:dyDescent="0.35"/>
  <cols>
    <col min="1" max="1" width="11.453125" style="1"/>
    <col min="3" max="3" width="15.26953125" customWidth="1"/>
    <col min="4" max="4" width="13.7265625" customWidth="1"/>
    <col min="5" max="5" width="18.26953125" customWidth="1"/>
    <col min="6" max="6" width="14" customWidth="1"/>
    <col min="7" max="7" width="14.453125" customWidth="1"/>
    <col min="8" max="8" width="14.26953125" customWidth="1"/>
    <col min="9" max="9" width="17" customWidth="1"/>
    <col min="10" max="10" width="12.54296875" customWidth="1"/>
    <col min="11" max="11" width="13.1796875" customWidth="1"/>
    <col min="12" max="12" width="15.7265625" customWidth="1"/>
    <col min="13" max="14" width="16.1796875" customWidth="1"/>
    <col min="17" max="23" width="9.7265625" customWidth="1"/>
  </cols>
  <sheetData>
    <row r="1" spans="1:23" ht="29.5" thickBot="1" x14ac:dyDescent="0.4">
      <c r="A1" s="146" t="s">
        <v>101</v>
      </c>
      <c r="B1" s="146" t="s">
        <v>102</v>
      </c>
      <c r="C1" s="143" t="s">
        <v>86</v>
      </c>
      <c r="D1" s="143" t="s">
        <v>87</v>
      </c>
      <c r="E1" s="144" t="s">
        <v>88</v>
      </c>
      <c r="F1" s="144" t="s">
        <v>89</v>
      </c>
      <c r="G1" s="143" t="s">
        <v>90</v>
      </c>
      <c r="H1" s="143" t="s">
        <v>91</v>
      </c>
      <c r="I1" s="143" t="s">
        <v>92</v>
      </c>
      <c r="J1" s="143" t="s">
        <v>93</v>
      </c>
      <c r="K1" s="143" t="s">
        <v>94</v>
      </c>
      <c r="L1" s="143" t="s">
        <v>95</v>
      </c>
      <c r="M1" s="143" t="s">
        <v>96</v>
      </c>
      <c r="N1" s="143" t="s">
        <v>97</v>
      </c>
      <c r="Q1" s="228" t="s">
        <v>99</v>
      </c>
      <c r="R1" s="228"/>
      <c r="S1" s="228"/>
      <c r="U1" s="228" t="s">
        <v>98</v>
      </c>
      <c r="V1" s="228"/>
      <c r="W1" s="228"/>
    </row>
    <row r="2" spans="1:23" x14ac:dyDescent="0.35">
      <c r="A2" s="1" t="str">
        <f>Q6</f>
        <v xml:space="preserve"> </v>
      </c>
      <c r="B2">
        <f t="shared" ref="B2:B3" si="0">U6</f>
        <v>0</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105</v>
      </c>
      <c r="U2" s="118" t="s">
        <v>7</v>
      </c>
      <c r="V2" s="1" t="s">
        <v>105</v>
      </c>
    </row>
    <row r="3" spans="1:23" x14ac:dyDescent="0.3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105</v>
      </c>
      <c r="U3" s="118" t="s">
        <v>78</v>
      </c>
      <c r="V3" s="1" t="s">
        <v>50</v>
      </c>
    </row>
    <row r="4" spans="1:23" x14ac:dyDescent="0.3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111</v>
      </c>
    </row>
    <row r="7" spans="1:23" x14ac:dyDescent="0.3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5">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0E7CAB-668A-4C5E-94C8-3E5476E59FA2}"/>
</file>

<file path=customXml/itemProps2.xml><?xml version="1.0" encoding="utf-8"?>
<ds:datastoreItem xmlns:ds="http://schemas.openxmlformats.org/officeDocument/2006/customXml" ds:itemID="{9EC6B6E7-777C-4A2A-8273-B0979B3F87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2022-10-05T14:31:36Z</dcterms:modified>
</cp:coreProperties>
</file>